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namedSheetViews/namedSheetView1.xml" ContentType="application/vnd.ms-excel.namedsheetview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mex-my.sharepoint.com/personal/norma_alicia_torres_pemex_com/Documents/CONTROL DEL PICADE/2021/"/>
    </mc:Choice>
  </mc:AlternateContent>
  <xr:revisionPtr revIDLastSave="5443" documentId="11_19B8ED7A18D2744431B3E321FCF9A839905FAA5D" xr6:coauthVersionLast="47" xr6:coauthVersionMax="47" xr10:uidLastSave="{255C03A4-F39B-453C-9D51-DE2551DA4602}"/>
  <bookViews>
    <workbookView xWindow="-28920" yWindow="-15" windowWidth="29040" windowHeight="15720" tabRatio="898" firstSheet="5" activeTab="22" xr2:uid="{8BDE48CB-067F-43B7-8648-1CDE64B458FD}"/>
  </bookViews>
  <sheets>
    <sheet name="Hoja1" sheetId="25" state="hidden" r:id="rId1"/>
    <sheet name="PICADE" sheetId="23" state="hidden" r:id="rId2"/>
    <sheet name="Seguimiento" sheetId="15" r:id="rId3"/>
    <sheet name="Cursos" sheetId="27" state="hidden" r:id="rId4"/>
    <sheet name="Mensual" sheetId="24" state="hidden" r:id="rId5"/>
    <sheet name="Adicionales" sheetId="21" r:id="rId6"/>
    <sheet name="Ajustado" sheetId="26" state="hidden" r:id="rId7"/>
    <sheet name="Catalogo" sheetId="17" state="hidden" r:id="rId8"/>
    <sheet name="Dos Bocas" sheetId="1" r:id="rId9"/>
    <sheet name="Cd. Carmen" sheetId="2" r:id="rId10"/>
    <sheet name="Perforación" sheetId="3" r:id="rId11"/>
    <sheet name="Reynosa" sheetId="4" r:id="rId12"/>
    <sheet name="Altamira" sheetId="5" r:id="rId13"/>
    <sheet name="Poza Rica" sheetId="7" r:id="rId14"/>
    <sheet name="Veracruz" sheetId="8" r:id="rId15"/>
    <sheet name="Naranjos-Cerro A" sheetId="6" r:id="rId16"/>
    <sheet name="Samaria Luna" sheetId="14" r:id="rId17"/>
    <sheet name="Cinco Presidentes" sheetId="9" r:id="rId18"/>
    <sheet name="Bellota Jujo" sheetId="10" r:id="rId19"/>
    <sheet name="Macuspana" sheetId="11" r:id="rId20"/>
    <sheet name="Villahermosa" sheetId="18" r:id="rId21"/>
    <sheet name="Cd. Méx" sheetId="12" state="hidden" r:id="rId22"/>
    <sheet name="Sede" sheetId="19" r:id="rId23"/>
  </sheets>
  <definedNames>
    <definedName name="_xlnm._FilterDatabase" localSheetId="5" hidden="1">Adicionales!$A$8:$P$109</definedName>
    <definedName name="_xlnm._FilterDatabase" localSheetId="6" hidden="1">Ajustado!$A$4:$O$676</definedName>
    <definedName name="_xlnm._FilterDatabase" localSheetId="12" hidden="1">Altamira!$A$7:$V$47</definedName>
    <definedName name="_xlnm._FilterDatabase" localSheetId="18" hidden="1">'Bellota Jujo'!$A$7:$W$48</definedName>
    <definedName name="_xlnm._FilterDatabase" localSheetId="9" hidden="1">'Cd. Carmen'!$A$7:$V$190</definedName>
    <definedName name="_xlnm._FilterDatabase" localSheetId="17" hidden="1">'Cinco Presidentes'!$A$7:$W$116</definedName>
    <definedName name="_xlnm._FilterDatabase" localSheetId="8" hidden="1">'Dos Bocas'!$A$7:$AA$195</definedName>
    <definedName name="_xlnm._FilterDatabase" localSheetId="19" hidden="1">Macuspana!$A$7:$W$62</definedName>
    <definedName name="_xlnm._FilterDatabase" localSheetId="15" hidden="1">'Naranjos-Cerro A'!$A$7:$V$36</definedName>
    <definedName name="_xlnm._FilterDatabase" localSheetId="10" hidden="1">Perforación!$A$7:$V$88</definedName>
    <definedName name="_xlnm._FilterDatabase" localSheetId="1" hidden="1">PICADE!$A$6:$Q$1008</definedName>
    <definedName name="_xlnm._FilterDatabase" localSheetId="13" hidden="1">'Poza Rica'!$A$7:$V$71</definedName>
    <definedName name="_xlnm._FilterDatabase" localSheetId="11" hidden="1">Reynosa!$A$7:$V$63</definedName>
    <definedName name="_xlnm._FilterDatabase" localSheetId="16" hidden="1">'Samaria Luna'!$A$7:$W$37</definedName>
    <definedName name="_xlnm._FilterDatabase" localSheetId="14" hidden="1">Veracruz!$A$7:$V$47</definedName>
    <definedName name="_xlnm._FilterDatabase" localSheetId="20" hidden="1">Villahermosa!$A$7:$W$29</definedName>
    <definedName name="_xlnm.Print_Area" localSheetId="12">Altamira!$A$7:$U$32</definedName>
    <definedName name="_xlnm.Print_Titles" localSheetId="12">Altamira!$D:$D</definedName>
  </definedNames>
  <calcPr calcId="191028"/>
  <pivotCaches>
    <pivotCache cacheId="12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1" l="1"/>
  <c r="F4" i="21"/>
  <c r="L9" i="15" s="1"/>
  <c r="L49" i="15"/>
  <c r="L47" i="15"/>
  <c r="L43" i="15"/>
  <c r="F3" i="21"/>
  <c r="H4" i="2"/>
  <c r="H4" i="3"/>
  <c r="I4" i="1"/>
  <c r="H4" i="18"/>
  <c r="H4" i="14"/>
  <c r="H4" i="11"/>
  <c r="H4" i="10"/>
  <c r="H4" i="9"/>
  <c r="H4" i="6"/>
  <c r="H4" i="8"/>
  <c r="H4" i="7"/>
  <c r="H4" i="4"/>
  <c r="L4" i="2"/>
  <c r="L3" i="2"/>
  <c r="G3" i="21"/>
  <c r="O10" i="15" s="1"/>
  <c r="G6" i="21"/>
  <c r="O50" i="15"/>
  <c r="O49" i="15"/>
  <c r="O48" i="15"/>
  <c r="O47" i="15"/>
  <c r="O46" i="15"/>
  <c r="O45" i="15"/>
  <c r="O44" i="15"/>
  <c r="O43" i="15"/>
  <c r="G5" i="21"/>
  <c r="O8" i="15" s="1"/>
  <c r="G2" i="21"/>
  <c r="O11" i="15" s="1"/>
  <c r="O53" i="15"/>
  <c r="L53" i="15"/>
  <c r="F6" i="21"/>
  <c r="F5" i="21"/>
  <c r="F2" i="21"/>
  <c r="O54" i="15"/>
  <c r="L54" i="15"/>
  <c r="L52" i="15"/>
  <c r="L51" i="15"/>
  <c r="L50" i="15"/>
  <c r="L48" i="15"/>
  <c r="L46" i="15"/>
  <c r="L45" i="15"/>
  <c r="L44" i="15"/>
  <c r="S13" i="15"/>
  <c r="S14" i="15"/>
  <c r="O37" i="15"/>
  <c r="L8" i="15"/>
  <c r="O26" i="15"/>
  <c r="L4" i="14"/>
  <c r="L2" i="14"/>
  <c r="L1" i="14"/>
  <c r="F3" i="14"/>
  <c r="L4" i="11"/>
  <c r="L3" i="11"/>
  <c r="L2" i="11"/>
  <c r="L1" i="11"/>
  <c r="F2" i="11"/>
  <c r="L2" i="9"/>
  <c r="L3" i="9"/>
  <c r="H1" i="9"/>
  <c r="S83" i="1"/>
  <c r="M4" i="6"/>
  <c r="L37" i="15" l="1"/>
  <c r="H51" i="15"/>
  <c r="G51" i="15"/>
  <c r="H49" i="15"/>
  <c r="G49" i="15"/>
  <c r="G48" i="15"/>
  <c r="G47" i="15"/>
  <c r="H48" i="15"/>
  <c r="G43" i="15"/>
  <c r="F2" i="6"/>
  <c r="H2" i="2"/>
  <c r="F2" i="2"/>
  <c r="H2" i="9" l="1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6" i="27"/>
  <c r="C7" i="27"/>
  <c r="C8" i="27"/>
  <c r="C9" i="27"/>
  <c r="C10" i="27"/>
  <c r="C11" i="27"/>
  <c r="C12" i="27"/>
  <c r="C13" i="27"/>
  <c r="C5" i="27"/>
  <c r="C36" i="27" l="1"/>
  <c r="I52" i="15" l="1"/>
  <c r="O52" i="15" l="1"/>
  <c r="O51" i="15"/>
  <c r="M54" i="15"/>
  <c r="R54" i="15" s="1"/>
  <c r="L12" i="15"/>
  <c r="O12" i="15"/>
  <c r="G45" i="15"/>
  <c r="H44" i="15"/>
  <c r="G44" i="15"/>
  <c r="Q54" i="15" l="1"/>
  <c r="O9" i="15"/>
  <c r="L3" i="18"/>
  <c r="L4" i="18"/>
  <c r="L3" i="14"/>
  <c r="G52" i="15" l="1"/>
  <c r="G50" i="15"/>
  <c r="G46" i="15"/>
  <c r="C50" i="15"/>
  <c r="C49" i="15"/>
  <c r="H2" i="5"/>
  <c r="F51" i="15"/>
  <c r="F48" i="15"/>
  <c r="E51" i="15"/>
  <c r="H1" i="18"/>
  <c r="H2" i="18"/>
  <c r="H1" i="14"/>
  <c r="H2" i="14"/>
  <c r="H1" i="11"/>
  <c r="H2" i="11"/>
  <c r="H2" i="8"/>
  <c r="H1" i="10"/>
  <c r="H2" i="10"/>
  <c r="H2" i="7"/>
  <c r="H2" i="6"/>
  <c r="P766" i="23"/>
  <c r="P767" i="23"/>
  <c r="P768" i="23"/>
  <c r="P769" i="23"/>
  <c r="P770" i="23"/>
  <c r="P771" i="23"/>
  <c r="P772" i="23"/>
  <c r="P773" i="23"/>
  <c r="P774" i="23"/>
  <c r="P775" i="23"/>
  <c r="P776" i="23"/>
  <c r="P777" i="23"/>
  <c r="P778" i="23"/>
  <c r="P779" i="23"/>
  <c r="P780" i="23"/>
  <c r="P781" i="23"/>
  <c r="P782" i="23"/>
  <c r="P783" i="23"/>
  <c r="P784" i="23"/>
  <c r="P785" i="23"/>
  <c r="P786" i="23"/>
  <c r="P787" i="23"/>
  <c r="P788" i="23"/>
  <c r="P789" i="23"/>
  <c r="P790" i="23"/>
  <c r="P791" i="23"/>
  <c r="P792" i="23"/>
  <c r="P793" i="23"/>
  <c r="P794" i="23"/>
  <c r="P795" i="23"/>
  <c r="P796" i="23"/>
  <c r="P797" i="23"/>
  <c r="P798" i="23"/>
  <c r="P799" i="23"/>
  <c r="P800" i="23"/>
  <c r="P801" i="23"/>
  <c r="P802" i="23"/>
  <c r="P803" i="23"/>
  <c r="P804" i="23"/>
  <c r="P805" i="23"/>
  <c r="P806" i="23"/>
  <c r="P807" i="23"/>
  <c r="P808" i="23"/>
  <c r="P809" i="23"/>
  <c r="P810" i="23"/>
  <c r="P811" i="23"/>
  <c r="P812" i="23"/>
  <c r="P813" i="23"/>
  <c r="P814" i="23"/>
  <c r="P815" i="23"/>
  <c r="P816" i="23"/>
  <c r="P817" i="23"/>
  <c r="P818" i="23"/>
  <c r="P819" i="23"/>
  <c r="P820" i="23"/>
  <c r="P821" i="23"/>
  <c r="P822" i="23"/>
  <c r="P823" i="23"/>
  <c r="P824" i="23"/>
  <c r="P825" i="23"/>
  <c r="P826" i="23"/>
  <c r="P827" i="23"/>
  <c r="P828" i="23"/>
  <c r="P829" i="23"/>
  <c r="P830" i="23"/>
  <c r="P831" i="23"/>
  <c r="P832" i="23"/>
  <c r="P833" i="23"/>
  <c r="P834" i="23"/>
  <c r="P835" i="23"/>
  <c r="P836" i="23"/>
  <c r="P837" i="23"/>
  <c r="P838" i="23"/>
  <c r="P839" i="23"/>
  <c r="P840" i="23"/>
  <c r="P841" i="23"/>
  <c r="P842" i="23"/>
  <c r="P843" i="23"/>
  <c r="P844" i="23"/>
  <c r="P845" i="23"/>
  <c r="P846" i="23"/>
  <c r="P847" i="23"/>
  <c r="P848" i="23"/>
  <c r="P849" i="23"/>
  <c r="P850" i="23"/>
  <c r="P851" i="23"/>
  <c r="P852" i="23"/>
  <c r="P853" i="23"/>
  <c r="P854" i="23"/>
  <c r="P855" i="23"/>
  <c r="P856" i="23"/>
  <c r="P857" i="23"/>
  <c r="P858" i="23"/>
  <c r="P859" i="23"/>
  <c r="P860" i="23"/>
  <c r="P861" i="23"/>
  <c r="P862" i="23"/>
  <c r="P863" i="23"/>
  <c r="P864" i="23"/>
  <c r="P865" i="23"/>
  <c r="P866" i="23"/>
  <c r="P867" i="23"/>
  <c r="P868" i="23"/>
  <c r="P869" i="23"/>
  <c r="P870" i="23"/>
  <c r="P871" i="23"/>
  <c r="P872" i="23"/>
  <c r="P873" i="23"/>
  <c r="P874" i="23"/>
  <c r="P875" i="23"/>
  <c r="P876" i="23"/>
  <c r="P877" i="23"/>
  <c r="P878" i="23"/>
  <c r="P879" i="23"/>
  <c r="P880" i="23"/>
  <c r="P881" i="23"/>
  <c r="P882" i="23"/>
  <c r="P883" i="23"/>
  <c r="P884" i="23"/>
  <c r="P885" i="23"/>
  <c r="P886" i="23"/>
  <c r="P887" i="23"/>
  <c r="P888" i="23"/>
  <c r="P889" i="23"/>
  <c r="P890" i="23"/>
  <c r="P891" i="23"/>
  <c r="P892" i="23"/>
  <c r="P893" i="23"/>
  <c r="P894" i="23"/>
  <c r="P895" i="23"/>
  <c r="P896" i="23"/>
  <c r="P897" i="23"/>
  <c r="P898" i="23"/>
  <c r="P899" i="23"/>
  <c r="P900" i="23"/>
  <c r="P901" i="23"/>
  <c r="P902" i="23"/>
  <c r="P903" i="23"/>
  <c r="P904" i="23"/>
  <c r="P905" i="23"/>
  <c r="P906" i="23"/>
  <c r="P907" i="23"/>
  <c r="P908" i="23"/>
  <c r="P909" i="23"/>
  <c r="P910" i="23"/>
  <c r="P911" i="23"/>
  <c r="P912" i="23"/>
  <c r="P913" i="23"/>
  <c r="P914" i="23"/>
  <c r="P915" i="23"/>
  <c r="P916" i="23"/>
  <c r="P917" i="23"/>
  <c r="P918" i="23"/>
  <c r="P919" i="23"/>
  <c r="P920" i="23"/>
  <c r="P921" i="23"/>
  <c r="P922" i="23"/>
  <c r="P923" i="23"/>
  <c r="P924" i="23"/>
  <c r="P925" i="23"/>
  <c r="P926" i="23"/>
  <c r="P927" i="23"/>
  <c r="P928" i="23"/>
  <c r="P929" i="23"/>
  <c r="P930" i="23"/>
  <c r="P931" i="23"/>
  <c r="P932" i="23"/>
  <c r="P933" i="23"/>
  <c r="P934" i="23"/>
  <c r="P935" i="23"/>
  <c r="P936" i="23"/>
  <c r="P937" i="23"/>
  <c r="P938" i="23"/>
  <c r="P939" i="23"/>
  <c r="P940" i="23"/>
  <c r="P941" i="23"/>
  <c r="P942" i="23"/>
  <c r="P943" i="23"/>
  <c r="P944" i="23"/>
  <c r="P945" i="23"/>
  <c r="P946" i="23"/>
  <c r="P947" i="23"/>
  <c r="P948" i="23"/>
  <c r="P949" i="23"/>
  <c r="P950" i="23"/>
  <c r="P951" i="23"/>
  <c r="P952" i="23"/>
  <c r="P765" i="23"/>
  <c r="E49" i="15"/>
  <c r="E47" i="15"/>
  <c r="E52" i="15"/>
  <c r="F46" i="15"/>
  <c r="F43" i="15"/>
  <c r="E43" i="15"/>
  <c r="E48" i="15"/>
  <c r="E46" i="15"/>
  <c r="E44" i="15"/>
  <c r="D51" i="15"/>
  <c r="D46" i="15"/>
  <c r="E45" i="15" l="1"/>
  <c r="C51" i="15"/>
  <c r="C46" i="15"/>
  <c r="D52" i="15"/>
  <c r="D49" i="15"/>
  <c r="D48" i="15"/>
  <c r="D44" i="15"/>
  <c r="K52" i="15"/>
  <c r="H52" i="15"/>
  <c r="F52" i="15"/>
  <c r="C52" i="15"/>
  <c r="H50" i="15"/>
  <c r="D50" i="15"/>
  <c r="C48" i="15" l="1"/>
  <c r="H47" i="15"/>
  <c r="H46" i="15"/>
  <c r="H45" i="15"/>
  <c r="H43" i="15"/>
  <c r="G10" i="15"/>
  <c r="H10" i="15"/>
  <c r="F2" i="3"/>
  <c r="H4" i="5"/>
  <c r="H4" i="12"/>
  <c r="H13" i="15"/>
  <c r="G13" i="15"/>
  <c r="L2" i="12"/>
  <c r="L1" i="12"/>
  <c r="G14" i="15" l="1"/>
  <c r="L3" i="19"/>
  <c r="H14" i="15" s="1"/>
  <c r="L2" i="19"/>
  <c r="F2" i="18"/>
  <c r="F2" i="14"/>
  <c r="F2" i="10"/>
  <c r="F2" i="9"/>
  <c r="H36" i="15" l="1"/>
  <c r="L2" i="18"/>
  <c r="L1" i="18"/>
  <c r="H35" i="15"/>
  <c r="G34" i="15"/>
  <c r="H34" i="15"/>
  <c r="L1" i="9"/>
  <c r="G36" i="15"/>
  <c r="G35" i="15"/>
  <c r="L4" i="10"/>
  <c r="H33" i="15" s="1"/>
  <c r="L3" i="10"/>
  <c r="G33" i="15" s="1"/>
  <c r="L2" i="10"/>
  <c r="L1" i="10"/>
  <c r="L4" i="9"/>
  <c r="G32" i="15" s="1"/>
  <c r="H32" i="15"/>
  <c r="M3" i="1" l="1"/>
  <c r="H11" i="15" s="1"/>
  <c r="E11" i="15"/>
  <c r="F47" i="15"/>
  <c r="F45" i="15"/>
  <c r="E55" i="15" l="1"/>
  <c r="D47" i="15"/>
  <c r="D45" i="15"/>
  <c r="C47" i="15"/>
  <c r="C45" i="15"/>
  <c r="C44" i="15"/>
  <c r="H53" i="15" l="1"/>
  <c r="G53" i="15"/>
  <c r="G55" i="15" s="1"/>
  <c r="H55" i="15"/>
  <c r="M53" i="15"/>
  <c r="R53" i="15" s="1"/>
  <c r="M52" i="15"/>
  <c r="R52" i="15" s="1"/>
  <c r="D43" i="15"/>
  <c r="C43" i="15"/>
  <c r="C55" i="15" s="1"/>
  <c r="L55" i="15" l="1"/>
  <c r="O55" i="15"/>
  <c r="Q53" i="15"/>
  <c r="Q52" i="15"/>
  <c r="L41" i="15" l="1"/>
  <c r="L30" i="15"/>
  <c r="L19" i="15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9" i="1"/>
  <c r="Q10" i="1"/>
  <c r="F49" i="15" s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8" i="1"/>
  <c r="F13" i="15"/>
  <c r="E13" i="15"/>
  <c r="F44" i="15" l="1"/>
  <c r="I2" i="1"/>
  <c r="F11" i="15" s="1"/>
  <c r="M1" i="1"/>
  <c r="M2" i="1"/>
  <c r="L10" i="15"/>
  <c r="D55" i="15" l="1"/>
  <c r="F55" i="15"/>
  <c r="H2" i="3"/>
  <c r="O15" i="15" l="1"/>
  <c r="L11" i="15"/>
  <c r="F14" i="15" l="1"/>
  <c r="E14" i="15"/>
  <c r="H5" i="19"/>
  <c r="P14" i="15" s="1"/>
  <c r="F5" i="19"/>
  <c r="H4" i="19"/>
  <c r="N14" i="15" s="1"/>
  <c r="F4" i="19"/>
  <c r="H3" i="19"/>
  <c r="K14" i="15" s="1"/>
  <c r="M14" i="15" s="1"/>
  <c r="R14" i="15" s="1"/>
  <c r="F3" i="19"/>
  <c r="D14" i="15" s="1"/>
  <c r="D3" i="19"/>
  <c r="F2" i="19"/>
  <c r="C14" i="15" s="1"/>
  <c r="E36" i="15"/>
  <c r="N36" i="15"/>
  <c r="F36" i="15"/>
  <c r="E35" i="15"/>
  <c r="N35" i="15"/>
  <c r="F35" i="15"/>
  <c r="E34" i="15"/>
  <c r="F34" i="15"/>
  <c r="E33" i="15"/>
  <c r="N33" i="15"/>
  <c r="F33" i="15"/>
  <c r="E32" i="15"/>
  <c r="F32" i="15"/>
  <c r="F25" i="15"/>
  <c r="E25" i="15"/>
  <c r="F24" i="15"/>
  <c r="E24" i="15"/>
  <c r="F23" i="15"/>
  <c r="E23" i="15"/>
  <c r="F22" i="15"/>
  <c r="E22" i="15"/>
  <c r="F21" i="15"/>
  <c r="E21" i="15"/>
  <c r="F10" i="15"/>
  <c r="F12" i="15"/>
  <c r="E12" i="15"/>
  <c r="E10" i="15"/>
  <c r="Q14" i="15" l="1"/>
  <c r="E26" i="15"/>
  <c r="E8" i="15" s="1"/>
  <c r="F26" i="15"/>
  <c r="F8" i="15" s="1"/>
  <c r="E37" i="15"/>
  <c r="E9" i="15" s="1"/>
  <c r="F37" i="15"/>
  <c r="F9" i="15" s="1"/>
  <c r="N13" i="15"/>
  <c r="F3" i="12"/>
  <c r="D13" i="15" s="1"/>
  <c r="D3" i="12"/>
  <c r="Q10" i="12" s="1"/>
  <c r="F2" i="12"/>
  <c r="C13" i="15" s="1"/>
  <c r="F3" i="18"/>
  <c r="D36" i="15" s="1"/>
  <c r="D3" i="18"/>
  <c r="C36" i="15"/>
  <c r="D35" i="15"/>
  <c r="D3" i="14"/>
  <c r="Q22" i="14" s="1"/>
  <c r="C35" i="15"/>
  <c r="N34" i="15"/>
  <c r="F3" i="11"/>
  <c r="D34" i="15" s="1"/>
  <c r="D3" i="11"/>
  <c r="Q40" i="11" s="1"/>
  <c r="C34" i="15"/>
  <c r="F3" i="10"/>
  <c r="D33" i="15" s="1"/>
  <c r="D3" i="10"/>
  <c r="Q8" i="10" s="1"/>
  <c r="C33" i="15"/>
  <c r="N32" i="15"/>
  <c r="F3" i="9"/>
  <c r="D32" i="15" s="1"/>
  <c r="D3" i="9"/>
  <c r="Q63" i="9" s="1"/>
  <c r="C32" i="15"/>
  <c r="N37" i="15" l="1"/>
  <c r="N9" i="15" s="1"/>
  <c r="Q62" i="11"/>
  <c r="Q59" i="11"/>
  <c r="Q56" i="11"/>
  <c r="Q57" i="11"/>
  <c r="Q8" i="14"/>
  <c r="Q25" i="14"/>
  <c r="Q56" i="9"/>
  <c r="Q60" i="9"/>
  <c r="Q64" i="9"/>
  <c r="Q68" i="9"/>
  <c r="Q72" i="9"/>
  <c r="Q76" i="9"/>
  <c r="Q80" i="9"/>
  <c r="Q84" i="9"/>
  <c r="Q88" i="9"/>
  <c r="Q92" i="9"/>
  <c r="Q96" i="9"/>
  <c r="Q100" i="9"/>
  <c r="Q104" i="9"/>
  <c r="Q108" i="9"/>
  <c r="Q112" i="9"/>
  <c r="Q116" i="9"/>
  <c r="Q62" i="9"/>
  <c r="Q66" i="9"/>
  <c r="Q74" i="9"/>
  <c r="Q82" i="9"/>
  <c r="Q90" i="9"/>
  <c r="Q94" i="9"/>
  <c r="Q102" i="9"/>
  <c r="Q110" i="9"/>
  <c r="Q55" i="9"/>
  <c r="Q71" i="9"/>
  <c r="Q79" i="9"/>
  <c r="Q87" i="9"/>
  <c r="Q95" i="9"/>
  <c r="Q103" i="9"/>
  <c r="Q111" i="9"/>
  <c r="Q53" i="9"/>
  <c r="Q57" i="9"/>
  <c r="Q61" i="9"/>
  <c r="Q65" i="9"/>
  <c r="Q69" i="9"/>
  <c r="Q73" i="9"/>
  <c r="Q77" i="9"/>
  <c r="Q81" i="9"/>
  <c r="Q85" i="9"/>
  <c r="Q89" i="9"/>
  <c r="Q93" i="9"/>
  <c r="Q97" i="9"/>
  <c r="Q101" i="9"/>
  <c r="Q105" i="9"/>
  <c r="Q109" i="9"/>
  <c r="Q113" i="9"/>
  <c r="Q58" i="9"/>
  <c r="Q70" i="9"/>
  <c r="Q78" i="9"/>
  <c r="Q86" i="9"/>
  <c r="Q98" i="9"/>
  <c r="Q106" i="9"/>
  <c r="Q114" i="9"/>
  <c r="Q59" i="9"/>
  <c r="Q67" i="9"/>
  <c r="Q75" i="9"/>
  <c r="Q83" i="9"/>
  <c r="Q91" i="9"/>
  <c r="Q99" i="9"/>
  <c r="Q107" i="9"/>
  <c r="Q115" i="9"/>
  <c r="Q54" i="9"/>
  <c r="G37" i="15"/>
  <c r="G9" i="15" s="1"/>
  <c r="H37" i="15"/>
  <c r="H9" i="15" s="1"/>
  <c r="F15" i="15"/>
  <c r="E15" i="15"/>
  <c r="Q9" i="12"/>
  <c r="Q11" i="12"/>
  <c r="Q8" i="12"/>
  <c r="Q11" i="10"/>
  <c r="Q42" i="10"/>
  <c r="Q35" i="10"/>
  <c r="Q16" i="10"/>
  <c r="Q10" i="10"/>
  <c r="Q18" i="10"/>
  <c r="Q22" i="10"/>
  <c r="Q17" i="10"/>
  <c r="Q15" i="10"/>
  <c r="Q29" i="10"/>
  <c r="Q23" i="10"/>
  <c r="Q47" i="10"/>
  <c r="Q40" i="10"/>
  <c r="Q46" i="10"/>
  <c r="Q38" i="10"/>
  <c r="Q8" i="9"/>
  <c r="Q34" i="11"/>
  <c r="Q45" i="10"/>
  <c r="Q20" i="10"/>
  <c r="Q19" i="10"/>
  <c r="Q43" i="10"/>
  <c r="Q37" i="10"/>
  <c r="Q10" i="9"/>
  <c r="Q14" i="9"/>
  <c r="Q17" i="9"/>
  <c r="Q20" i="9"/>
  <c r="Q24" i="9"/>
  <c r="Q28" i="9"/>
  <c r="Q32" i="9"/>
  <c r="Q35" i="9"/>
  <c r="Q41" i="9"/>
  <c r="Q43" i="9"/>
  <c r="Q46" i="9"/>
  <c r="Q11" i="9"/>
  <c r="Q15" i="9"/>
  <c r="Q52" i="9"/>
  <c r="Q21" i="9"/>
  <c r="Q25" i="9"/>
  <c r="Q29" i="9"/>
  <c r="Q33" i="9"/>
  <c r="Q36" i="9"/>
  <c r="Q38" i="9"/>
  <c r="Q50" i="9"/>
  <c r="Q44" i="9"/>
  <c r="Q47" i="9"/>
  <c r="Q49" i="9"/>
  <c r="Q39" i="9"/>
  <c r="Q26" i="9"/>
  <c r="Q18" i="9"/>
  <c r="Q12" i="9"/>
  <c r="Q9" i="11"/>
  <c r="Q15" i="11"/>
  <c r="Q22" i="11"/>
  <c r="Q30" i="11"/>
  <c r="Q60" i="11"/>
  <c r="Q45" i="11"/>
  <c r="Q10" i="11"/>
  <c r="Q18" i="11"/>
  <c r="Q23" i="11"/>
  <c r="Q50" i="11"/>
  <c r="Q54" i="11"/>
  <c r="Q33" i="11"/>
  <c r="Q8" i="11"/>
  <c r="Q12" i="11"/>
  <c r="Q19" i="11"/>
  <c r="Q25" i="11"/>
  <c r="Q51" i="11"/>
  <c r="Q31" i="9"/>
  <c r="Q23" i="9"/>
  <c r="Q51" i="9"/>
  <c r="Q9" i="9"/>
  <c r="Q32" i="11"/>
  <c r="Q20" i="11"/>
  <c r="Q42" i="9"/>
  <c r="Q37" i="9"/>
  <c r="Q30" i="9"/>
  <c r="Q22" i="9"/>
  <c r="Q16" i="9"/>
  <c r="Q55" i="11"/>
  <c r="Q14" i="11"/>
  <c r="Q45" i="9"/>
  <c r="Q40" i="9"/>
  <c r="Q34" i="9"/>
  <c r="Q27" i="9"/>
  <c r="Q19" i="9"/>
  <c r="Q13" i="9"/>
  <c r="Q52" i="11"/>
  <c r="Q48" i="10"/>
  <c r="Q41" i="10"/>
  <c r="Q39" i="10"/>
  <c r="Q36" i="10"/>
  <c r="Q9" i="18"/>
  <c r="Q11" i="18"/>
  <c r="Q15" i="18"/>
  <c r="Q24" i="18"/>
  <c r="Q17" i="18"/>
  <c r="Q12" i="18"/>
  <c r="Q14" i="18"/>
  <c r="Q25" i="18"/>
  <c r="Q20" i="18"/>
  <c r="Q28" i="18"/>
  <c r="Q29" i="18"/>
  <c r="Q21" i="18"/>
  <c r="Q8" i="18"/>
  <c r="Q18" i="18"/>
  <c r="Q26" i="18"/>
  <c r="Q16" i="18"/>
  <c r="Q10" i="18"/>
  <c r="Q13" i="18"/>
  <c r="Q22" i="18"/>
  <c r="Q23" i="18"/>
  <c r="Q19" i="18"/>
  <c r="Q35" i="14"/>
  <c r="Q33" i="14"/>
  <c r="Q19" i="14"/>
  <c r="Q34" i="14"/>
  <c r="Q21" i="14"/>
  <c r="Q46" i="11"/>
  <c r="Q35" i="11"/>
  <c r="Q58" i="11"/>
  <c r="Q31" i="11"/>
  <c r="Q28" i="11"/>
  <c r="Q26" i="11"/>
  <c r="Q47" i="11"/>
  <c r="Q16" i="11"/>
  <c r="Q11" i="11"/>
  <c r="D37" i="15"/>
  <c r="D9" i="15" s="1"/>
  <c r="Q28" i="14"/>
  <c r="Q11" i="14"/>
  <c r="Q31" i="14"/>
  <c r="Q20" i="14"/>
  <c r="Q18" i="14"/>
  <c r="Q14" i="14"/>
  <c r="Q10" i="14"/>
  <c r="Q32" i="14"/>
  <c r="Q36" i="14"/>
  <c r="Q29" i="14"/>
  <c r="Q17" i="14"/>
  <c r="Q13" i="14"/>
  <c r="Q9" i="14"/>
  <c r="Q30" i="14"/>
  <c r="Q27" i="14"/>
  <c r="Q24" i="14"/>
  <c r="Q12" i="14"/>
  <c r="C37" i="15"/>
  <c r="C9" i="15" s="1"/>
  <c r="Q36" i="11"/>
  <c r="Q61" i="11"/>
  <c r="Q53" i="11"/>
  <c r="Q29" i="11"/>
  <c r="Q27" i="11"/>
  <c r="Q24" i="11"/>
  <c r="Q21" i="11"/>
  <c r="Q17" i="11"/>
  <c r="Q13" i="11"/>
  <c r="Q14" i="10"/>
  <c r="Q24" i="10"/>
  <c r="Q21" i="10"/>
  <c r="Q9" i="10"/>
  <c r="Q30" i="10"/>
  <c r="Q13" i="10"/>
  <c r="Q12" i="10"/>
  <c r="N25" i="15"/>
  <c r="F3" i="8"/>
  <c r="D25" i="15" s="1"/>
  <c r="H25" i="15" s="1"/>
  <c r="D3" i="8"/>
  <c r="F2" i="8"/>
  <c r="C25" i="15" s="1"/>
  <c r="G25" i="15" s="1"/>
  <c r="N24" i="15"/>
  <c r="F3" i="7"/>
  <c r="D24" i="15" s="1"/>
  <c r="H24" i="15" s="1"/>
  <c r="D3" i="7"/>
  <c r="F2" i="7"/>
  <c r="C24" i="15" s="1"/>
  <c r="G24" i="15" s="1"/>
  <c r="N23" i="15"/>
  <c r="F3" i="6"/>
  <c r="D23" i="15" s="1"/>
  <c r="H23" i="15" s="1"/>
  <c r="D3" i="6"/>
  <c r="C23" i="15"/>
  <c r="G23" i="15" s="1"/>
  <c r="N22" i="15"/>
  <c r="F3" i="5"/>
  <c r="D22" i="15" s="1"/>
  <c r="H22" i="15" s="1"/>
  <c r="D3" i="5"/>
  <c r="Q9" i="5" s="1"/>
  <c r="F2" i="5"/>
  <c r="C22" i="15" s="1"/>
  <c r="G22" i="15" s="1"/>
  <c r="L26" i="15"/>
  <c r="M6" i="2"/>
  <c r="F3" i="2"/>
  <c r="D10" i="15" s="1"/>
  <c r="N21" i="15"/>
  <c r="F3" i="4"/>
  <c r="D21" i="15" s="1"/>
  <c r="H21" i="15" s="1"/>
  <c r="D3" i="4"/>
  <c r="F2" i="4"/>
  <c r="N12" i="15"/>
  <c r="F3" i="3"/>
  <c r="D12" i="15" s="1"/>
  <c r="H12" i="15" s="1"/>
  <c r="C12" i="15"/>
  <c r="G12" i="15" s="1"/>
  <c r="D3" i="3"/>
  <c r="N10" i="15"/>
  <c r="D3" i="2"/>
  <c r="Q189" i="2" s="1"/>
  <c r="C10" i="15"/>
  <c r="N11" i="15"/>
  <c r="G3" i="1"/>
  <c r="D11" i="15" s="1"/>
  <c r="E3" i="1"/>
  <c r="K47" i="15" l="1"/>
  <c r="M47" i="15" s="1"/>
  <c r="H3" i="10"/>
  <c r="H3" i="9"/>
  <c r="K32" i="15" s="1"/>
  <c r="M32" i="15" s="1"/>
  <c r="H3" i="14"/>
  <c r="K35" i="15" s="1"/>
  <c r="H3" i="18"/>
  <c r="K36" i="15" s="1"/>
  <c r="H5" i="18"/>
  <c r="H3" i="11"/>
  <c r="K34" i="15" s="1"/>
  <c r="H5" i="11"/>
  <c r="P34" i="15" s="1"/>
  <c r="N47" i="15"/>
  <c r="N26" i="15"/>
  <c r="Q56" i="4"/>
  <c r="Q44" i="4"/>
  <c r="Q42" i="4"/>
  <c r="Q43" i="4"/>
  <c r="Q45" i="4"/>
  <c r="K33" i="15"/>
  <c r="F4" i="9"/>
  <c r="I32" i="15" s="1"/>
  <c r="U170" i="1"/>
  <c r="U94" i="1"/>
  <c r="F5" i="11"/>
  <c r="J34" i="15" s="1"/>
  <c r="F4" i="11"/>
  <c r="I34" i="15" s="1"/>
  <c r="J47" i="15"/>
  <c r="F4" i="14"/>
  <c r="I35" i="15" s="1"/>
  <c r="H5" i="9"/>
  <c r="P32" i="15" s="1"/>
  <c r="Q41" i="3"/>
  <c r="Q66" i="3"/>
  <c r="U180" i="1"/>
  <c r="U148" i="1"/>
  <c r="U167" i="1"/>
  <c r="U134" i="1"/>
  <c r="U166" i="1"/>
  <c r="U124" i="1"/>
  <c r="U157" i="1"/>
  <c r="Q176" i="2"/>
  <c r="Q168" i="2"/>
  <c r="Q155" i="2"/>
  <c r="Q141" i="2"/>
  <c r="Q132" i="2"/>
  <c r="Q121" i="2"/>
  <c r="Q108" i="2"/>
  <c r="Q100" i="2"/>
  <c r="Q80" i="2"/>
  <c r="Q71" i="2"/>
  <c r="Q63" i="2"/>
  <c r="Q54" i="2"/>
  <c r="Q42" i="2"/>
  <c r="Q34" i="2"/>
  <c r="Q186" i="2"/>
  <c r="Q175" i="2"/>
  <c r="Q163" i="2"/>
  <c r="Q152" i="2"/>
  <c r="Q139" i="2"/>
  <c r="Q131" i="2"/>
  <c r="Q119" i="2"/>
  <c r="Q105" i="2"/>
  <c r="Q92" i="2"/>
  <c r="Q79" i="2"/>
  <c r="Q70" i="2"/>
  <c r="Q61" i="2"/>
  <c r="Q52" i="2"/>
  <c r="Q40" i="2"/>
  <c r="Q177" i="2"/>
  <c r="Q169" i="2"/>
  <c r="Q158" i="2"/>
  <c r="Q146" i="2"/>
  <c r="Q135" i="2"/>
  <c r="Q124" i="2"/>
  <c r="Q113" i="2"/>
  <c r="Q102" i="2"/>
  <c r="Q87" i="2"/>
  <c r="Q72" i="2"/>
  <c r="Q65" i="2"/>
  <c r="Q56" i="2"/>
  <c r="Q43" i="2"/>
  <c r="Q37" i="2"/>
  <c r="Q183" i="2"/>
  <c r="Q174" i="2"/>
  <c r="Q162" i="2"/>
  <c r="Q149" i="2"/>
  <c r="Q137" i="2"/>
  <c r="Q125" i="2"/>
  <c r="Q117" i="2"/>
  <c r="Q103" i="2"/>
  <c r="Q88" i="2"/>
  <c r="Q77" i="2"/>
  <c r="Q67" i="2"/>
  <c r="Q57" i="2"/>
  <c r="Q47" i="2"/>
  <c r="Q38" i="2"/>
  <c r="Q10" i="4"/>
  <c r="Q54" i="4"/>
  <c r="Q97" i="2"/>
  <c r="Q98" i="2"/>
  <c r="Q99" i="2"/>
  <c r="Q101" i="2"/>
  <c r="Q104" i="2"/>
  <c r="Q106" i="2"/>
  <c r="Q107" i="2"/>
  <c r="Q118" i="2"/>
  <c r="Q120" i="2"/>
  <c r="Q126" i="2"/>
  <c r="Q127" i="2"/>
  <c r="Q128" i="2"/>
  <c r="Q129" i="2"/>
  <c r="Q130" i="2"/>
  <c r="Q133" i="2"/>
  <c r="Q134" i="2"/>
  <c r="Q136" i="2"/>
  <c r="Q138" i="2"/>
  <c r="Q140" i="2"/>
  <c r="Q142" i="2"/>
  <c r="Q143" i="2"/>
  <c r="Q144" i="2"/>
  <c r="Q145" i="2"/>
  <c r="Q147" i="2"/>
  <c r="Q148" i="2"/>
  <c r="Q150" i="2"/>
  <c r="Q151" i="2"/>
  <c r="Q153" i="2"/>
  <c r="Q154" i="2"/>
  <c r="Q156" i="2"/>
  <c r="Q157" i="2"/>
  <c r="Q159" i="2"/>
  <c r="Q160" i="2"/>
  <c r="Q161" i="2"/>
  <c r="Q164" i="2"/>
  <c r="Q165" i="2"/>
  <c r="Q166" i="2"/>
  <c r="Q167" i="2"/>
  <c r="Q170" i="2"/>
  <c r="Q171" i="2"/>
  <c r="Q172" i="2"/>
  <c r="Q173" i="2"/>
  <c r="Q178" i="2"/>
  <c r="Q179" i="2"/>
  <c r="Q180" i="2"/>
  <c r="Q181" i="2"/>
  <c r="Q182" i="2"/>
  <c r="Q184" i="2"/>
  <c r="Q185" i="2"/>
  <c r="Q187" i="2"/>
  <c r="Q188" i="2"/>
  <c r="Q190" i="2"/>
  <c r="Q93" i="2"/>
  <c r="Q94" i="2"/>
  <c r="Q95" i="2"/>
  <c r="Q96" i="2"/>
  <c r="Q76" i="2"/>
  <c r="Q90" i="2"/>
  <c r="Q75" i="2"/>
  <c r="Q91" i="2"/>
  <c r="Q89" i="2"/>
  <c r="Q74" i="2"/>
  <c r="Q24" i="6"/>
  <c r="Q13" i="6"/>
  <c r="U125" i="1"/>
  <c r="U123" i="1"/>
  <c r="U126" i="1"/>
  <c r="P47" i="15"/>
  <c r="Q8" i="8"/>
  <c r="Q27" i="8"/>
  <c r="F5" i="18"/>
  <c r="J36" i="15" s="1"/>
  <c r="F5" i="9"/>
  <c r="J32" i="15" s="1"/>
  <c r="I47" i="15"/>
  <c r="F5" i="10"/>
  <c r="J33" i="15" s="1"/>
  <c r="H5" i="10"/>
  <c r="P33" i="15" s="1"/>
  <c r="F4" i="10"/>
  <c r="I33" i="15" s="1"/>
  <c r="F5" i="14"/>
  <c r="J35" i="15" s="1"/>
  <c r="U109" i="1"/>
  <c r="U111" i="1"/>
  <c r="U110" i="1"/>
  <c r="C21" i="15"/>
  <c r="C26" i="15" s="1"/>
  <c r="C8" i="15" s="1"/>
  <c r="G21" i="15"/>
  <c r="G26" i="15" s="1"/>
  <c r="G8" i="15" s="1"/>
  <c r="F4" i="18"/>
  <c r="I36" i="15" s="1"/>
  <c r="H5" i="14"/>
  <c r="P35" i="15" s="1"/>
  <c r="U113" i="1"/>
  <c r="U117" i="1"/>
  <c r="U121" i="1"/>
  <c r="U129" i="1"/>
  <c r="U133" i="1"/>
  <c r="U137" i="1"/>
  <c r="U141" i="1"/>
  <c r="U145" i="1"/>
  <c r="U149" i="1"/>
  <c r="U153" i="1"/>
  <c r="U161" i="1"/>
  <c r="U165" i="1"/>
  <c r="U169" i="1"/>
  <c r="U173" i="1"/>
  <c r="U177" i="1"/>
  <c r="U181" i="1"/>
  <c r="U185" i="1"/>
  <c r="U189" i="1"/>
  <c r="U193" i="1"/>
  <c r="U108" i="1"/>
  <c r="U118" i="1"/>
  <c r="U122" i="1"/>
  <c r="U130" i="1"/>
  <c r="U138" i="1"/>
  <c r="U142" i="1"/>
  <c r="U146" i="1"/>
  <c r="U150" i="1"/>
  <c r="U154" i="1"/>
  <c r="U158" i="1"/>
  <c r="U162" i="1"/>
  <c r="U174" i="1"/>
  <c r="U178" i="1"/>
  <c r="U182" i="1"/>
  <c r="U186" i="1"/>
  <c r="U190" i="1"/>
  <c r="U194" i="1"/>
  <c r="U119" i="1"/>
  <c r="U127" i="1"/>
  <c r="U131" i="1"/>
  <c r="U135" i="1"/>
  <c r="U139" i="1"/>
  <c r="U143" i="1"/>
  <c r="U147" i="1"/>
  <c r="U151" i="1"/>
  <c r="U155" i="1"/>
  <c r="U159" i="1"/>
  <c r="U163" i="1"/>
  <c r="U175" i="1"/>
  <c r="U179" i="1"/>
  <c r="U183" i="1"/>
  <c r="U187" i="1"/>
  <c r="U191" i="1"/>
  <c r="U195" i="1"/>
  <c r="U140" i="1"/>
  <c r="U156" i="1"/>
  <c r="U172" i="1"/>
  <c r="U188" i="1"/>
  <c r="U112" i="1"/>
  <c r="U128" i="1"/>
  <c r="U144" i="1"/>
  <c r="U160" i="1"/>
  <c r="U176" i="1"/>
  <c r="U192" i="1"/>
  <c r="U132" i="1"/>
  <c r="U164" i="1"/>
  <c r="U120" i="1"/>
  <c r="U136" i="1"/>
  <c r="U152" i="1"/>
  <c r="U168" i="1"/>
  <c r="U184" i="1"/>
  <c r="Q12" i="2"/>
  <c r="Q44" i="2"/>
  <c r="Q48" i="2"/>
  <c r="Q60" i="2"/>
  <c r="Q64" i="2"/>
  <c r="Q68" i="2"/>
  <c r="Q33" i="2"/>
  <c r="Q32" i="2"/>
  <c r="Q41" i="2"/>
  <c r="Q45" i="2"/>
  <c r="Q49" i="2"/>
  <c r="Q53" i="2"/>
  <c r="Q69" i="2"/>
  <c r="Q73" i="2"/>
  <c r="Q46" i="2"/>
  <c r="Q50" i="2"/>
  <c r="Q58" i="2"/>
  <c r="Q62" i="2"/>
  <c r="Q66" i="2"/>
  <c r="Q59" i="2"/>
  <c r="Q51" i="2"/>
  <c r="Q39" i="2"/>
  <c r="Q55" i="2"/>
  <c r="L15" i="15"/>
  <c r="Q9" i="3"/>
  <c r="Q10" i="3"/>
  <c r="U9" i="1"/>
  <c r="U106" i="1"/>
  <c r="H26" i="15"/>
  <c r="H8" i="15" s="1"/>
  <c r="H15" i="15" s="1"/>
  <c r="F4" i="12"/>
  <c r="Q8" i="4"/>
  <c r="Q16" i="8"/>
  <c r="Q19" i="4"/>
  <c r="Q41" i="4"/>
  <c r="H3" i="12"/>
  <c r="K13" i="15" s="1"/>
  <c r="H5" i="12"/>
  <c r="P13" i="15" s="1"/>
  <c r="Q32" i="4"/>
  <c r="F5" i="12"/>
  <c r="Q12" i="3"/>
  <c r="Q12" i="6"/>
  <c r="Q52" i="4"/>
  <c r="Q9" i="4"/>
  <c r="Q36" i="3"/>
  <c r="Q49" i="4"/>
  <c r="Q40" i="4"/>
  <c r="Q17" i="4"/>
  <c r="Q41" i="5"/>
  <c r="Q32" i="5"/>
  <c r="Q20" i="5"/>
  <c r="Q13" i="5"/>
  <c r="Q21" i="3"/>
  <c r="Q57" i="4"/>
  <c r="Q48" i="4"/>
  <c r="Q36" i="4"/>
  <c r="Q24" i="4"/>
  <c r="Q16" i="4"/>
  <c r="Q40" i="5"/>
  <c r="Q28" i="5"/>
  <c r="Q17" i="5"/>
  <c r="Q20" i="6"/>
  <c r="Q11" i="8"/>
  <c r="Q44" i="5"/>
  <c r="Q33" i="5"/>
  <c r="Q24" i="5"/>
  <c r="Q11" i="5"/>
  <c r="Q60" i="4"/>
  <c r="Q27" i="4"/>
  <c r="Q17" i="3"/>
  <c r="Q33" i="4"/>
  <c r="Q23" i="4"/>
  <c r="Q12" i="4"/>
  <c r="Q8" i="5"/>
  <c r="Q36" i="5"/>
  <c r="Q25" i="5"/>
  <c r="Q16" i="5"/>
  <c r="Q32" i="8"/>
  <c r="Q28" i="6"/>
  <c r="Q40" i="8"/>
  <c r="Q24" i="8"/>
  <c r="Q44" i="8"/>
  <c r="Q28" i="8"/>
  <c r="Q10" i="8"/>
  <c r="Q82" i="3"/>
  <c r="Q67" i="3"/>
  <c r="Q28" i="3"/>
  <c r="Q53" i="4"/>
  <c r="Q37" i="4"/>
  <c r="Q28" i="4"/>
  <c r="Q20" i="4"/>
  <c r="Q13" i="4"/>
  <c r="Q45" i="5"/>
  <c r="Q37" i="5"/>
  <c r="Q29" i="5"/>
  <c r="Q21" i="5"/>
  <c r="Q12" i="5"/>
  <c r="Q36" i="8"/>
  <c r="Q20" i="8"/>
  <c r="Q12" i="7"/>
  <c r="Q16" i="7"/>
  <c r="Q20" i="7"/>
  <c r="Q26" i="7"/>
  <c r="Q28" i="7"/>
  <c r="Q32" i="7"/>
  <c r="Q36" i="7"/>
  <c r="Q40" i="7"/>
  <c r="Q44" i="7"/>
  <c r="Q48" i="7"/>
  <c r="Q52" i="7"/>
  <c r="Q56" i="7"/>
  <c r="Q60" i="7"/>
  <c r="Q64" i="7"/>
  <c r="Q68" i="7"/>
  <c r="Q8" i="7"/>
  <c r="Q11" i="7"/>
  <c r="Q19" i="7"/>
  <c r="Q23" i="7"/>
  <c r="Q31" i="7"/>
  <c r="Q39" i="7"/>
  <c r="Q9" i="7"/>
  <c r="Q13" i="7"/>
  <c r="Q17" i="7"/>
  <c r="Q21" i="7"/>
  <c r="Q24" i="7"/>
  <c r="Q29" i="7"/>
  <c r="Q33" i="7"/>
  <c r="Q37" i="7"/>
  <c r="Q41" i="7"/>
  <c r="Q45" i="7"/>
  <c r="Q49" i="7"/>
  <c r="Q53" i="7"/>
  <c r="Q57" i="7"/>
  <c r="Q61" i="7"/>
  <c r="Q65" i="7"/>
  <c r="Q69" i="7"/>
  <c r="Q10" i="7"/>
  <c r="Q14" i="7"/>
  <c r="Q18" i="7"/>
  <c r="Q22" i="7"/>
  <c r="Q25" i="7"/>
  <c r="Q30" i="7"/>
  <c r="Q34" i="7"/>
  <c r="Q38" i="7"/>
  <c r="Q42" i="7"/>
  <c r="Q46" i="7"/>
  <c r="Q50" i="7"/>
  <c r="Q54" i="7"/>
  <c r="Q58" i="7"/>
  <c r="Q62" i="7"/>
  <c r="Q66" i="7"/>
  <c r="Q70" i="7"/>
  <c r="Q15" i="7"/>
  <c r="Q27" i="7"/>
  <c r="Q35" i="7"/>
  <c r="Q43" i="7"/>
  <c r="Q67" i="7"/>
  <c r="Q51" i="7"/>
  <c r="Q63" i="7"/>
  <c r="Q47" i="7"/>
  <c r="Q9" i="6"/>
  <c r="Q17" i="6"/>
  <c r="Q21" i="6"/>
  <c r="Q25" i="6"/>
  <c r="Q29" i="6"/>
  <c r="Q33" i="6"/>
  <c r="Q8" i="6"/>
  <c r="Q19" i="6"/>
  <c r="Q10" i="6"/>
  <c r="Q14" i="6"/>
  <c r="Q18" i="6"/>
  <c r="Q22" i="6"/>
  <c r="Q26" i="6"/>
  <c r="Q30" i="6"/>
  <c r="Q34" i="6"/>
  <c r="Q15" i="6"/>
  <c r="Q23" i="6"/>
  <c r="Q27" i="6"/>
  <c r="Q35" i="6"/>
  <c r="Q11" i="6"/>
  <c r="Q31" i="6"/>
  <c r="Q32" i="6"/>
  <c r="Q16" i="6"/>
  <c r="Q59" i="7"/>
  <c r="Q71" i="7"/>
  <c r="Q55" i="7"/>
  <c r="Q47" i="8"/>
  <c r="Q43" i="8"/>
  <c r="Q39" i="8"/>
  <c r="Q35" i="8"/>
  <c r="Q31" i="8"/>
  <c r="Q23" i="8"/>
  <c r="Q19" i="8"/>
  <c r="Q15" i="8"/>
  <c r="Q12" i="8"/>
  <c r="Q80" i="3"/>
  <c r="Q71" i="3"/>
  <c r="Q62" i="3"/>
  <c r="Q56" i="3"/>
  <c r="Q35" i="3"/>
  <c r="Q11" i="3"/>
  <c r="Q59" i="4"/>
  <c r="Q55" i="4"/>
  <c r="Q51" i="4"/>
  <c r="Q47" i="4"/>
  <c r="Q39" i="4"/>
  <c r="Q35" i="4"/>
  <c r="Q31" i="4"/>
  <c r="Q22" i="4"/>
  <c r="Q29" i="4"/>
  <c r="Q15" i="4"/>
  <c r="Q11" i="4"/>
  <c r="Q47" i="5"/>
  <c r="Q43" i="5"/>
  <c r="Q39" i="5"/>
  <c r="Q35" i="5"/>
  <c r="Q31" i="5"/>
  <c r="Q27" i="5"/>
  <c r="Q23" i="5"/>
  <c r="Q19" i="5"/>
  <c r="Q15" i="5"/>
  <c r="Q10" i="5"/>
  <c r="D26" i="15"/>
  <c r="D8" i="15" s="1"/>
  <c r="D15" i="15" s="1"/>
  <c r="Q46" i="8"/>
  <c r="Q42" i="8"/>
  <c r="Q38" i="8"/>
  <c r="Q34" i="8"/>
  <c r="Q30" i="8"/>
  <c r="Q26" i="8"/>
  <c r="Q22" i="8"/>
  <c r="Q18" i="8"/>
  <c r="Q14" i="8"/>
  <c r="Q9" i="8"/>
  <c r="Q22" i="2"/>
  <c r="Q83" i="3"/>
  <c r="Q75" i="3"/>
  <c r="Q50" i="3"/>
  <c r="Q40" i="3"/>
  <c r="Q58" i="4"/>
  <c r="Q50" i="4"/>
  <c r="Q46" i="4"/>
  <c r="Q38" i="4"/>
  <c r="Q34" i="4"/>
  <c r="Q30" i="4"/>
  <c r="Q25" i="4"/>
  <c r="Q21" i="4"/>
  <c r="Q18" i="4"/>
  <c r="Q14" i="4"/>
  <c r="Q46" i="5"/>
  <c r="Q42" i="5"/>
  <c r="Q38" i="5"/>
  <c r="Q34" i="5"/>
  <c r="Q30" i="5"/>
  <c r="Q26" i="5"/>
  <c r="Q22" i="5"/>
  <c r="Q18" i="5"/>
  <c r="Q14" i="5"/>
  <c r="Q45" i="8"/>
  <c r="Q41" i="8"/>
  <c r="Q37" i="8"/>
  <c r="Q33" i="8"/>
  <c r="Q29" i="8"/>
  <c r="Q25" i="8"/>
  <c r="Q21" i="8"/>
  <c r="Q17" i="8"/>
  <c r="Q13" i="8"/>
  <c r="Q85" i="3"/>
  <c r="Q78" i="3"/>
  <c r="Q65" i="3"/>
  <c r="Q58" i="3"/>
  <c r="Q53" i="3"/>
  <c r="Q49" i="3"/>
  <c r="Q44" i="3"/>
  <c r="Q38" i="3"/>
  <c r="Q32" i="3"/>
  <c r="Q25" i="3"/>
  <c r="Q14" i="3"/>
  <c r="Q88" i="3"/>
  <c r="Q77" i="3"/>
  <c r="Q68" i="3"/>
  <c r="Q61" i="3"/>
  <c r="Q52" i="3"/>
  <c r="Q48" i="3"/>
  <c r="Q43" i="3"/>
  <c r="Q37" i="3"/>
  <c r="Q31" i="3"/>
  <c r="Q24" i="3"/>
  <c r="Q18" i="3"/>
  <c r="U69" i="1"/>
  <c r="Q8" i="3"/>
  <c r="Q87" i="3"/>
  <c r="Q81" i="3"/>
  <c r="Q74" i="3"/>
  <c r="Q72" i="3"/>
  <c r="Q70" i="3"/>
  <c r="Q64" i="3"/>
  <c r="Q55" i="3"/>
  <c r="Q47" i="3"/>
  <c r="Q46" i="3"/>
  <c r="Q42" i="3"/>
  <c r="Q34" i="3"/>
  <c r="Q30" i="3"/>
  <c r="Q27" i="3"/>
  <c r="Q23" i="3"/>
  <c r="Q20" i="3"/>
  <c r="Q16" i="3"/>
  <c r="U56" i="1"/>
  <c r="U93" i="1"/>
  <c r="Q86" i="3"/>
  <c r="Q84" i="3"/>
  <c r="Q79" i="3"/>
  <c r="Q76" i="3"/>
  <c r="Q73" i="3"/>
  <c r="Q69" i="3"/>
  <c r="Q63" i="3"/>
  <c r="Q60" i="3"/>
  <c r="Q59" i="3"/>
  <c r="Q57" i="3"/>
  <c r="Q54" i="3"/>
  <c r="Q51" i="3"/>
  <c r="Q45" i="3"/>
  <c r="Q39" i="3"/>
  <c r="Q33" i="3"/>
  <c r="Q29" i="3"/>
  <c r="Q26" i="3"/>
  <c r="Q22" i="3"/>
  <c r="Q19" i="3"/>
  <c r="Q15" i="3"/>
  <c r="Q13" i="3"/>
  <c r="U29" i="1"/>
  <c r="U90" i="1"/>
  <c r="U64" i="1"/>
  <c r="U55" i="1"/>
  <c r="Q17" i="2"/>
  <c r="U88" i="1"/>
  <c r="U62" i="1"/>
  <c r="U53" i="1"/>
  <c r="U39" i="1"/>
  <c r="U27" i="1"/>
  <c r="Q35" i="2"/>
  <c r="Q11" i="2"/>
  <c r="U82" i="1"/>
  <c r="U72" i="1"/>
  <c r="U37" i="1"/>
  <c r="U15" i="1"/>
  <c r="Q8" i="2"/>
  <c r="Q27" i="2"/>
  <c r="Q26" i="2"/>
  <c r="Q15" i="2"/>
  <c r="Q31" i="2"/>
  <c r="Q21" i="2"/>
  <c r="Q10" i="2"/>
  <c r="Q30" i="2"/>
  <c r="Q25" i="2"/>
  <c r="Q19" i="2"/>
  <c r="Q14" i="2"/>
  <c r="Q9" i="2"/>
  <c r="U103" i="1"/>
  <c r="U96" i="1"/>
  <c r="U86" i="1"/>
  <c r="U76" i="1"/>
  <c r="U51" i="1"/>
  <c r="U31" i="1"/>
  <c r="U18" i="1"/>
  <c r="Q36" i="2"/>
  <c r="Q29" i="2"/>
  <c r="Q23" i="2"/>
  <c r="Q18" i="2"/>
  <c r="Q13" i="2"/>
  <c r="U105" i="1"/>
  <c r="U102" i="1"/>
  <c r="U95" i="1"/>
  <c r="U85" i="1"/>
  <c r="U75" i="1"/>
  <c r="U68" i="1"/>
  <c r="U63" i="1"/>
  <c r="U48" i="1"/>
  <c r="U43" i="1"/>
  <c r="U38" i="1"/>
  <c r="U34" i="1"/>
  <c r="U26" i="1"/>
  <c r="U24" i="1"/>
  <c r="U20" i="1"/>
  <c r="U17" i="1"/>
  <c r="U11" i="1"/>
  <c r="U107" i="1"/>
  <c r="U101" i="1"/>
  <c r="U100" i="1"/>
  <c r="U87" i="1"/>
  <c r="U84" i="1"/>
  <c r="U80" i="1"/>
  <c r="U78" i="1"/>
  <c r="U74" i="1"/>
  <c r="U67" i="1"/>
  <c r="U61" i="1"/>
  <c r="U60" i="1"/>
  <c r="U57" i="1"/>
  <c r="U54" i="1"/>
  <c r="U50" i="1"/>
  <c r="U47" i="1"/>
  <c r="U45" i="1"/>
  <c r="U36" i="1"/>
  <c r="U33" i="1"/>
  <c r="U28" i="1"/>
  <c r="U25" i="1"/>
  <c r="U23" i="1"/>
  <c r="U21" i="1"/>
  <c r="U16" i="1"/>
  <c r="U13" i="1"/>
  <c r="U10" i="1"/>
  <c r="U104" i="1"/>
  <c r="U98" i="1"/>
  <c r="U92" i="1"/>
  <c r="U81" i="1"/>
  <c r="U71" i="1"/>
  <c r="U66" i="1"/>
  <c r="U58" i="1"/>
  <c r="U46" i="1"/>
  <c r="U41" i="1"/>
  <c r="U14" i="1"/>
  <c r="U8" i="1"/>
  <c r="U97" i="1"/>
  <c r="U99" i="1"/>
  <c r="U91" i="1"/>
  <c r="U89" i="1"/>
  <c r="U83" i="1"/>
  <c r="U79" i="1"/>
  <c r="U77" i="1"/>
  <c r="U73" i="1"/>
  <c r="U70" i="1"/>
  <c r="U65" i="1"/>
  <c r="U59" i="1"/>
  <c r="U52" i="1"/>
  <c r="U49" i="1"/>
  <c r="U44" i="1"/>
  <c r="U42" i="1"/>
  <c r="U40" i="1"/>
  <c r="U35" i="1"/>
  <c r="U32" i="1"/>
  <c r="U30" i="1"/>
  <c r="U22" i="1"/>
  <c r="U19" i="1"/>
  <c r="U12" i="1"/>
  <c r="Q28" i="2"/>
  <c r="Q24" i="2"/>
  <c r="Q20" i="2"/>
  <c r="Q16" i="2"/>
  <c r="K48" i="15" l="1"/>
  <c r="M48" i="15" s="1"/>
  <c r="R48" i="15" s="1"/>
  <c r="I3" i="1"/>
  <c r="H5" i="2"/>
  <c r="P10" i="15" s="1"/>
  <c r="H3" i="2"/>
  <c r="H3" i="3"/>
  <c r="K12" i="15" s="1"/>
  <c r="H3" i="6"/>
  <c r="H3" i="8"/>
  <c r="K25" i="15" s="1"/>
  <c r="H3" i="7"/>
  <c r="K24" i="15" s="1"/>
  <c r="M24" i="15" s="1"/>
  <c r="H3" i="4"/>
  <c r="K21" i="15" s="1"/>
  <c r="H3" i="5"/>
  <c r="N43" i="15"/>
  <c r="P46" i="15"/>
  <c r="N45" i="15"/>
  <c r="P45" i="15"/>
  <c r="K45" i="15"/>
  <c r="M45" i="15" s="1"/>
  <c r="K50" i="15"/>
  <c r="M50" i="15" s="1"/>
  <c r="N50" i="15"/>
  <c r="N44" i="15"/>
  <c r="K44" i="15"/>
  <c r="K46" i="15"/>
  <c r="M46" i="15" s="1"/>
  <c r="N46" i="15"/>
  <c r="N49" i="15"/>
  <c r="K49" i="15"/>
  <c r="M49" i="15" s="1"/>
  <c r="N48" i="15"/>
  <c r="F4" i="6"/>
  <c r="F5" i="6"/>
  <c r="I5" i="1"/>
  <c r="P11" i="15" s="1"/>
  <c r="J44" i="15"/>
  <c r="J49" i="15"/>
  <c r="I44" i="15"/>
  <c r="I43" i="15"/>
  <c r="K43" i="15"/>
  <c r="P48" i="15"/>
  <c r="P49" i="15"/>
  <c r="P51" i="15"/>
  <c r="K51" i="15"/>
  <c r="M51" i="15" s="1"/>
  <c r="R51" i="15" s="1"/>
  <c r="P44" i="15"/>
  <c r="I49" i="15"/>
  <c r="I48" i="15"/>
  <c r="J51" i="15"/>
  <c r="P50" i="15"/>
  <c r="J48" i="15"/>
  <c r="J45" i="15"/>
  <c r="I50" i="15"/>
  <c r="F4" i="2"/>
  <c r="I10" i="15" s="1"/>
  <c r="F5" i="2"/>
  <c r="J10" i="15" s="1"/>
  <c r="F5" i="3"/>
  <c r="J12" i="15" s="1"/>
  <c r="F4" i="3"/>
  <c r="I12" i="15" s="1"/>
  <c r="K11" i="15"/>
  <c r="G5" i="1"/>
  <c r="J11" i="15" s="1"/>
  <c r="G4" i="1"/>
  <c r="I11" i="15" s="1"/>
  <c r="J50" i="15"/>
  <c r="J46" i="15"/>
  <c r="F5" i="8"/>
  <c r="J25" i="15" s="1"/>
  <c r="F4" i="8"/>
  <c r="I25" i="15" s="1"/>
  <c r="F4" i="7"/>
  <c r="I24" i="15" s="1"/>
  <c r="F5" i="7"/>
  <c r="J24" i="15" s="1"/>
  <c r="J23" i="15"/>
  <c r="I23" i="15"/>
  <c r="F5" i="5"/>
  <c r="J22" i="15" s="1"/>
  <c r="F4" i="5"/>
  <c r="I22" i="15" s="1"/>
  <c r="F5" i="4"/>
  <c r="J21" i="15" s="1"/>
  <c r="F4" i="4"/>
  <c r="I21" i="15" s="1"/>
  <c r="I46" i="15"/>
  <c r="I51" i="15"/>
  <c r="I45" i="15"/>
  <c r="H5" i="4"/>
  <c r="P21" i="15" s="1"/>
  <c r="H5" i="8"/>
  <c r="P25" i="15" s="1"/>
  <c r="H5" i="7"/>
  <c r="P24" i="15" s="1"/>
  <c r="H5" i="5"/>
  <c r="P22" i="15" s="1"/>
  <c r="K22" i="15"/>
  <c r="M22" i="15" s="1"/>
  <c r="H5" i="3"/>
  <c r="P12" i="15" s="1"/>
  <c r="K37" i="15"/>
  <c r="J43" i="15"/>
  <c r="P43" i="15"/>
  <c r="Q47" i="15"/>
  <c r="R47" i="15"/>
  <c r="N8" i="15"/>
  <c r="N15" i="15" s="1"/>
  <c r="N57" i="15" s="1"/>
  <c r="H5" i="6"/>
  <c r="P23" i="15" s="1"/>
  <c r="K23" i="15"/>
  <c r="M35" i="15"/>
  <c r="M33" i="15"/>
  <c r="M13" i="15"/>
  <c r="J37" i="15"/>
  <c r="J9" i="15" s="1"/>
  <c r="M36" i="15"/>
  <c r="R36" i="15" s="1"/>
  <c r="I37" i="15"/>
  <c r="I9" i="15" s="1"/>
  <c r="P37" i="15"/>
  <c r="P9" i="15" s="1"/>
  <c r="M34" i="15"/>
  <c r="M37" i="15" l="1"/>
  <c r="K9" i="15"/>
  <c r="M12" i="15"/>
  <c r="R12" i="15" s="1"/>
  <c r="S12" i="15"/>
  <c r="M11" i="15"/>
  <c r="Q11" i="15" s="1"/>
  <c r="S11" i="15"/>
  <c r="I55" i="15"/>
  <c r="M44" i="15"/>
  <c r="Q44" i="15" s="1"/>
  <c r="K55" i="15"/>
  <c r="R49" i="15"/>
  <c r="J55" i="15"/>
  <c r="J26" i="15"/>
  <c r="J8" i="15" s="1"/>
  <c r="J15" i="15" s="1"/>
  <c r="K10" i="15"/>
  <c r="M43" i="15"/>
  <c r="Q51" i="15"/>
  <c r="P55" i="15"/>
  <c r="N55" i="15"/>
  <c r="N59" i="15" s="1"/>
  <c r="Q50" i="15"/>
  <c r="R50" i="15"/>
  <c r="R34" i="15"/>
  <c r="Q34" i="15"/>
  <c r="Q48" i="15"/>
  <c r="R35" i="15"/>
  <c r="Q35" i="15"/>
  <c r="R24" i="15"/>
  <c r="Q24" i="15"/>
  <c r="Q22" i="15"/>
  <c r="R22" i="15"/>
  <c r="Q46" i="15"/>
  <c r="R46" i="15"/>
  <c r="Q49" i="15"/>
  <c r="Q36" i="15"/>
  <c r="R32" i="15"/>
  <c r="Q32" i="15"/>
  <c r="Q45" i="15"/>
  <c r="R45" i="15"/>
  <c r="R33" i="15"/>
  <c r="Q33" i="15"/>
  <c r="Q13" i="15"/>
  <c r="R13" i="15"/>
  <c r="M21" i="15"/>
  <c r="I26" i="15"/>
  <c r="I8" i="15" s="1"/>
  <c r="I15" i="15" s="1"/>
  <c r="P26" i="15"/>
  <c r="M25" i="15"/>
  <c r="R25" i="15" s="1"/>
  <c r="M23" i="15"/>
  <c r="K26" i="15"/>
  <c r="K8" i="15" s="1"/>
  <c r="K15" i="15" l="1"/>
  <c r="Q12" i="15"/>
  <c r="M55" i="15"/>
  <c r="Q55" i="15" s="1"/>
  <c r="S8" i="15"/>
  <c r="M10" i="15"/>
  <c r="R10" i="15" s="1"/>
  <c r="S10" i="15"/>
  <c r="R37" i="15"/>
  <c r="R44" i="15"/>
  <c r="Q43" i="15"/>
  <c r="R43" i="15"/>
  <c r="Q25" i="15"/>
  <c r="Q23" i="15"/>
  <c r="R23" i="15"/>
  <c r="Q21" i="15"/>
  <c r="R21" i="15"/>
  <c r="Q37" i="15"/>
  <c r="M8" i="15"/>
  <c r="P8" i="15"/>
  <c r="P15" i="15" s="1"/>
  <c r="P57" i="15" s="1"/>
  <c r="M26" i="15"/>
  <c r="R26" i="15" s="1"/>
  <c r="G2" i="1"/>
  <c r="L6" i="15"/>
  <c r="Q10" i="15" l="1"/>
  <c r="M9" i="15"/>
  <c r="R9" i="15" s="1"/>
  <c r="S9" i="15"/>
  <c r="R8" i="15"/>
  <c r="Q8" i="15"/>
  <c r="R55" i="15"/>
  <c r="Q26" i="15"/>
  <c r="C11" i="15"/>
  <c r="C15" i="15" s="1"/>
  <c r="M4" i="1"/>
  <c r="G11" i="15" s="1"/>
  <c r="Q9" i="15" l="1"/>
  <c r="G15" i="15"/>
  <c r="C17" i="15" s="1"/>
  <c r="R11" i="15"/>
  <c r="S15" i="15"/>
  <c r="Q15" i="15" l="1"/>
  <c r="R1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Huerta Reza Dayana</author>
  </authors>
  <commentList>
    <comment ref="N29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19/04/2021 en PICADE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Huerta Reza Dayana</author>
    <author>Dayana</author>
  </authors>
  <commentList>
    <comment ref="G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se restaron los cursos vencidos antes de que se aprobar el PICADE y los ajustes solicitados por las GSSTPA</t>
        </r>
      </text>
    </comment>
    <comment ref="G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91 cursos ajustados con  la LN (falta de instructor, curso con menos de 7 capacitandos)</t>
        </r>
      </text>
    </comment>
    <comment ref="C1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Se incluyen los 57 cursos de la SPMP que se impartiran en CASES</t>
        </r>
      </text>
    </comment>
    <comment ref="G1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Dayana:</t>
        </r>
        <r>
          <rPr>
            <sz val="9"/>
            <color indexed="81"/>
            <rFont val="Tahoma"/>
            <family val="2"/>
          </rPr>
          <t xml:space="preserve">
97 cursos ajustados con la LN</t>
        </r>
      </text>
    </comment>
    <comment ref="H1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Dayana:</t>
        </r>
        <r>
          <rPr>
            <sz val="9"/>
            <color indexed="81"/>
            <rFont val="Tahoma"/>
            <family val="2"/>
          </rPr>
          <t xml:space="preserve">
de los 97 cursos ajustados corresponden 356 participantes</t>
        </r>
      </text>
    </comment>
    <comment ref="G13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4 cursos cancelados por tener menos de 7 participantes</t>
        </r>
      </text>
    </comment>
    <comment ref="G32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39 cursos cancelados </t>
        </r>
      </text>
    </comment>
    <comment ref="G33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10 cursos cancelados</t>
        </r>
      </text>
    </comment>
    <comment ref="G34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31 cursos cancelados</t>
        </r>
      </text>
    </comment>
    <comment ref="G35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2 cursos cancelados</t>
        </r>
      </text>
    </comment>
    <comment ref="G36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9 cursos cancelados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Huerta Reza Dayana</author>
  </authors>
  <commentList>
    <comment ref="D1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Villahermosa</t>
        </r>
      </text>
    </comment>
    <comment ref="D26" authorId="0" shapeId="0" xr:uid="{AEE9BE56-E0D5-4A29-86B3-9EE49D9B46C2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Villahermosa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Huerta Reza Dayana</author>
  </authors>
  <commentList>
    <comment ref="M35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19/04/2021 en PICADE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Huerta Reza Dayana</author>
  </authors>
  <commentList>
    <comment ref="H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Incluidas claves que dejaron disponibles por la fusión de grupos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Huerta Reza Dayana</author>
  </authors>
  <commentList>
    <comment ref="N29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Huerta Reza Dayana:</t>
        </r>
        <r>
          <rPr>
            <sz val="9"/>
            <color indexed="81"/>
            <rFont val="Tahoma"/>
            <family val="2"/>
          </rPr>
          <t xml:space="preserve">
19/04/2021 en PICADE</t>
        </r>
      </text>
    </comment>
  </commentList>
</comments>
</file>

<file path=xl/sharedStrings.xml><?xml version="1.0" encoding="utf-8"?>
<sst xmlns="http://schemas.openxmlformats.org/spreadsheetml/2006/main" count="25354" uniqueCount="913">
  <si>
    <t>Fecha de Inicio</t>
  </si>
  <si>
    <t>(Todas)</t>
  </si>
  <si>
    <t>AREACH</t>
  </si>
  <si>
    <t>Etiquetas de fila</t>
  </si>
  <si>
    <t>Cuenta de IDSDNCA</t>
  </si>
  <si>
    <t>Suma de Asistentes Totales</t>
  </si>
  <si>
    <t>Subdirección de Administración de Servicios para Exploración y Producción</t>
  </si>
  <si>
    <t>Subdirección de Coordinación Operativa y Comercial</t>
  </si>
  <si>
    <t>Subdirección de Exploración</t>
  </si>
  <si>
    <t>Subdirección de Exploración y Producción por Contratos y Asociaciones</t>
  </si>
  <si>
    <t>Subdirección de Producción Región Marina Suroeste</t>
  </si>
  <si>
    <t>Subdirección de Producción Región Sur</t>
  </si>
  <si>
    <t>Subdirección de Seguridad, Salud en el Trabajo y Protección Ambiental</t>
  </si>
  <si>
    <t>Subdirección de Producción Región Marina Noreste</t>
  </si>
  <si>
    <t>Subdirección de Perforación y Mantenimiento de Pozos</t>
  </si>
  <si>
    <t>Subdirección de Producción Región Norte</t>
  </si>
  <si>
    <t>Total general</t>
  </si>
  <si>
    <t>Mes</t>
  </si>
  <si>
    <t>(Varios elementos)</t>
  </si>
  <si>
    <t>Fecha de Termino</t>
  </si>
  <si>
    <t>Cons</t>
  </si>
  <si>
    <t>ID_SAP</t>
  </si>
  <si>
    <t>IDSDNCA</t>
  </si>
  <si>
    <t>Subdirección</t>
  </si>
  <si>
    <t>Gerencia/Activo</t>
  </si>
  <si>
    <t>Curso</t>
  </si>
  <si>
    <t>Tipo de Impartición</t>
  </si>
  <si>
    <t>Ficha</t>
  </si>
  <si>
    <t>Instructor</t>
  </si>
  <si>
    <t>Duración
(Horas)</t>
  </si>
  <si>
    <t>Días</t>
  </si>
  <si>
    <t>Asistentes Totales</t>
  </si>
  <si>
    <t>Ciudad del Carmen</t>
  </si>
  <si>
    <t>Coordinación de Servicios Marinos y de Mantenimiento, Confiabilidad y Construcción de Infraestructura</t>
  </si>
  <si>
    <t>REACREDITACION DE SIGNATARIOS DEL SPPTR (RSPTR)</t>
  </si>
  <si>
    <t>PRESENCIAL</t>
  </si>
  <si>
    <t>Hernan Zurita Dominguez</t>
  </si>
  <si>
    <t>05/02/2021</t>
  </si>
  <si>
    <t>Febrero</t>
  </si>
  <si>
    <t>CIUDAD DEL CARMEN, CAMPECHE</t>
  </si>
  <si>
    <t>SISTEMA DE PERMISOS PARA TRABAJOS CON RIESGO (SPTR)</t>
  </si>
  <si>
    <t>Eduardo Gonzalez Rodriguez</t>
  </si>
  <si>
    <t>15/02/2021</t>
  </si>
  <si>
    <t>Francisco Antonio Castro Reyes</t>
  </si>
  <si>
    <t>17/02/2021</t>
  </si>
  <si>
    <t>18/02/2021</t>
  </si>
  <si>
    <t>19/02/2021</t>
  </si>
  <si>
    <t>22/02/2021</t>
  </si>
  <si>
    <t>23/02/2021</t>
  </si>
  <si>
    <t>01/03/2021</t>
  </si>
  <si>
    <t>Marzo</t>
  </si>
  <si>
    <t>04/03/2021</t>
  </si>
  <si>
    <t>05/03/2021</t>
  </si>
  <si>
    <t>16/03/2021</t>
  </si>
  <si>
    <t>17/03/2021</t>
  </si>
  <si>
    <t>18/03/2021</t>
  </si>
  <si>
    <t>19/03/2021</t>
  </si>
  <si>
    <t>22/03/2021</t>
  </si>
  <si>
    <t>23/03/2021</t>
  </si>
  <si>
    <t>15/04/2021</t>
  </si>
  <si>
    <t>Abril</t>
  </si>
  <si>
    <t>Gerencia de Seguridad, Salud en el Trabajo y Protección Ambiental Región Marina</t>
  </si>
  <si>
    <t>BRIGADAS DE BUSQUEDA Y RESCATE (BBR)</t>
  </si>
  <si>
    <t>Raul Armando Garza Torre</t>
  </si>
  <si>
    <t>14/04/2021</t>
  </si>
  <si>
    <t>SEGURIDAD Y SOBREVIVENCIA COSTA AFUERA (SSCA)</t>
  </si>
  <si>
    <t>Cesar Ivan Chulines Granados</t>
  </si>
  <si>
    <t>19/04/2021</t>
  </si>
  <si>
    <t>BRIGADAS CONTRAINCENDIOS (BCII)</t>
  </si>
  <si>
    <t>Azariel Lopez Lara</t>
  </si>
  <si>
    <t>29/04/2021</t>
  </si>
  <si>
    <t>ADMINISTRACION AMBIENTAL</t>
  </si>
  <si>
    <t>A DISTANCIA</t>
  </si>
  <si>
    <t>Ines Alvarez Piste</t>
  </si>
  <si>
    <t>Gerencia de Mantenimiento, Confiabilidad y Construcción</t>
  </si>
  <si>
    <t>Edgar Mendoza Rodriguez</t>
  </si>
  <si>
    <t>12/05/2021</t>
  </si>
  <si>
    <t>Mayo</t>
  </si>
  <si>
    <t>Gerencia de Coordinación de Operaciones</t>
  </si>
  <si>
    <t>REVALIDACION DE SEGURIDAD Y SOBREVIVENCIA COSTA AFUERA (RSSCA)</t>
  </si>
  <si>
    <t>11/05/2021</t>
  </si>
  <si>
    <t>Gerencia de Perforación y Reparación de Pozos Marina</t>
  </si>
  <si>
    <t>Julio Andres Barrios Almazan</t>
  </si>
  <si>
    <t>13/05/2021</t>
  </si>
  <si>
    <t>PREVENCION DE RIESGOS LABORALES</t>
  </si>
  <si>
    <t>José Trinidad Osorno Requena</t>
  </si>
  <si>
    <t>18/05/2021</t>
  </si>
  <si>
    <t>19/05/2021</t>
  </si>
  <si>
    <t>Gerencia de Servicios a Pozos</t>
  </si>
  <si>
    <t>BASICO DE SEGURIDAD (BS)</t>
  </si>
  <si>
    <t>21/05/2021</t>
  </si>
  <si>
    <t>24/05/2021</t>
  </si>
  <si>
    <t>22/05/2021</t>
  </si>
  <si>
    <t>26/05/2021</t>
  </si>
  <si>
    <t>SOBREVIVENCIA EN EL MAR (SM)</t>
  </si>
  <si>
    <t>CASES</t>
  </si>
  <si>
    <t>INSTRUCTOR CASES .</t>
  </si>
  <si>
    <t>27/05/2021</t>
  </si>
  <si>
    <t>Pedro Zacarias Alcocer</t>
  </si>
  <si>
    <t>01/06/2021</t>
  </si>
  <si>
    <t>Junio</t>
  </si>
  <si>
    <t>02/06/2021</t>
  </si>
  <si>
    <t>08/06/2021</t>
  </si>
  <si>
    <t>09/06/2021</t>
  </si>
  <si>
    <t>10/06/2021</t>
  </si>
  <si>
    <t>DISCIPLINA OPERATIVA</t>
  </si>
  <si>
    <t>17/06/2021</t>
  </si>
  <si>
    <t>16/06/2021</t>
  </si>
  <si>
    <t>21/06/2021</t>
  </si>
  <si>
    <t>19/06/2021</t>
  </si>
  <si>
    <t>24/06/2021</t>
  </si>
  <si>
    <t>26/06/2021</t>
  </si>
  <si>
    <t>Carlos Alfredo Ramirez Barrenechea</t>
  </si>
  <si>
    <t>25/06/2021</t>
  </si>
  <si>
    <t>27/06/2021</t>
  </si>
  <si>
    <t>29/06/2021</t>
  </si>
  <si>
    <t>30/06/2021</t>
  </si>
  <si>
    <t>02/07/2021</t>
  </si>
  <si>
    <t>03/07/2021</t>
  </si>
  <si>
    <t>Julio</t>
  </si>
  <si>
    <t>08/07/2021</t>
  </si>
  <si>
    <t>09/07/2021</t>
  </si>
  <si>
    <t>Francisco Carvallo Uscanga</t>
  </si>
  <si>
    <t>07/07/2021</t>
  </si>
  <si>
    <t>10/07/2021</t>
  </si>
  <si>
    <t>Daniel Diamantis Gonzalez Perez</t>
  </si>
  <si>
    <t>12/07/2021</t>
  </si>
  <si>
    <t>LIDERAZGO EN SSPA</t>
  </si>
  <si>
    <t>14/07/2021</t>
  </si>
  <si>
    <t>16/07/2021</t>
  </si>
  <si>
    <t>17/07/2021</t>
  </si>
  <si>
    <t>21/07/2021</t>
  </si>
  <si>
    <t>22/07/2021</t>
  </si>
  <si>
    <t>24/07/2021</t>
  </si>
  <si>
    <t>26/07/2021</t>
  </si>
  <si>
    <t>27/07/2021</t>
  </si>
  <si>
    <t>28/07/2021</t>
  </si>
  <si>
    <t>29/07/2021</t>
  </si>
  <si>
    <t>Activo de Producción Cantarell</t>
  </si>
  <si>
    <t>02/08/2021</t>
  </si>
  <si>
    <t>03/08/2021</t>
  </si>
  <si>
    <t>Agosto</t>
  </si>
  <si>
    <t>Gerencia de Caracterización de Yacimientos y Exploración de Campos</t>
  </si>
  <si>
    <t>04/08/2021</t>
  </si>
  <si>
    <t>Hermilo Vazquez Hernandez</t>
  </si>
  <si>
    <t>05/08/2021</t>
  </si>
  <si>
    <t>06/08/2021</t>
  </si>
  <si>
    <t>08/08/2021</t>
  </si>
  <si>
    <t>REVALIDACION BASICO DE SEGURIDAD (BS)</t>
  </si>
  <si>
    <t>09/08/2021</t>
  </si>
  <si>
    <t>Oscar Freddy Dominguez Sanchez</t>
  </si>
  <si>
    <t>10/08/2021</t>
  </si>
  <si>
    <t>11/08/2021</t>
  </si>
  <si>
    <t>12/08/2021</t>
  </si>
  <si>
    <t>16/08/2021</t>
  </si>
  <si>
    <t>17/08/2021</t>
  </si>
  <si>
    <t>18/08/2021</t>
  </si>
  <si>
    <t>19/08/2021</t>
  </si>
  <si>
    <t>20/08/2021</t>
  </si>
  <si>
    <t>BRIGADAS DE PRIMEROS AUXILIOS(BPA)</t>
  </si>
  <si>
    <t>22/08/2021</t>
  </si>
  <si>
    <t>23/08/2021</t>
  </si>
  <si>
    <t>Activo de Exploración Marina Sur</t>
  </si>
  <si>
    <t>Javier Becerril Morales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</si>
  <si>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</si>
  <si>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</si>
  <si>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</si>
  <si>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</si>
  <si>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</si>
  <si>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</si>
  <si>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</si>
  <si>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ADMINISTRACION DE RIESGOS EN PEMEX EXPLORACION Y PRODUCCION</t>
  </si>
  <si>
    <t>02/09/2021</t>
  </si>
  <si>
    <t>Septiembre</t>
  </si>
  <si>
    <t>03/09/2021</t>
  </si>
  <si>
    <t>04/09/2021</t>
  </si>
  <si>
    <t>05/09/2021</t>
  </si>
  <si>
    <t>06/09/2021</t>
  </si>
  <si>
    <t>Rubén Darío Alcaraz Medina</t>
  </si>
  <si>
    <t>08/09/2021</t>
  </si>
  <si>
    <t>09/09/2021</t>
  </si>
  <si>
    <t>07/09/2021</t>
  </si>
  <si>
    <t>10/09/2021</t>
  </si>
  <si>
    <t>11/09/2021</t>
  </si>
  <si>
    <t>13/09/2021</t>
  </si>
  <si>
    <t>14/09/2021</t>
  </si>
  <si>
    <t>Gerencia de Coordinación Operativa</t>
  </si>
  <si>
    <t>15/09/2021</t>
  </si>
  <si>
    <t>16/09/2021</t>
  </si>
  <si>
    <t>17/09/2021</t>
  </si>
  <si>
    <t>21/09/2021</t>
  </si>
  <si>
    <t>22/09/2021</t>
  </si>
  <si>
    <t>23/09/2021</t>
  </si>
  <si>
    <t>24/09/2021</t>
  </si>
  <si>
    <t>25/09/2021</t>
  </si>
  <si>
    <t>27/09/2021</t>
  </si>
  <si>
    <t>28/09/2021</t>
  </si>
  <si>
    <t>29/09/2021</t>
  </si>
  <si>
    <t>30/09/2021</t>
  </si>
  <si>
    <t>VERIFICADOR DE GAS (VG)</t>
  </si>
  <si>
    <t>01/10/2021</t>
  </si>
  <si>
    <t>02/10/2021</t>
  </si>
  <si>
    <t>Octubre</t>
  </si>
  <si>
    <t>05/10/2021</t>
  </si>
  <si>
    <t>06/10/2021</t>
  </si>
  <si>
    <t>07/10/2021</t>
  </si>
  <si>
    <t>08/10/2021</t>
  </si>
  <si>
    <t>10/10/2021</t>
  </si>
  <si>
    <t>11/10/2021</t>
  </si>
  <si>
    <t>13/10/2021</t>
  </si>
  <si>
    <t>14/10/2021</t>
  </si>
  <si>
    <t>15/10/2021</t>
  </si>
  <si>
    <t>16/10/2021</t>
  </si>
  <si>
    <t>17/10/2021</t>
  </si>
  <si>
    <t>Damian Celis Cruz</t>
  </si>
  <si>
    <t>20/10/2021</t>
  </si>
  <si>
    <t>21/10/2021</t>
  </si>
  <si>
    <t>19/10/2021</t>
  </si>
  <si>
    <t>22/10/2021</t>
  </si>
  <si>
    <t>23/10/2021</t>
  </si>
  <si>
    <t>25/10/2021</t>
  </si>
  <si>
    <t>26/10/2021</t>
  </si>
  <si>
    <t>27/10/2021</t>
  </si>
  <si>
    <t>ADMINISTRACION DE EMERGENCIAS MAYORES (AEM)</t>
  </si>
  <si>
    <t>28/10/2021</t>
  </si>
  <si>
    <t>29/10/2021</t>
  </si>
  <si>
    <t>03/11/2021</t>
  </si>
  <si>
    <t>Noviembre</t>
  </si>
  <si>
    <t>05/11/2021</t>
  </si>
  <si>
    <t>07/11/2021</t>
  </si>
  <si>
    <t>08/11/2021</t>
  </si>
  <si>
    <t>09/11/2021</t>
  </si>
  <si>
    <t>11/11/2021</t>
  </si>
  <si>
    <t>12/11/2021</t>
  </si>
  <si>
    <t>13/11/2021</t>
  </si>
  <si>
    <t>SEGURIDAD EN CENTROS ADMINISTRACIONS (SCA)</t>
  </si>
  <si>
    <t>15/11/2021</t>
  </si>
  <si>
    <t>16/11/2021</t>
  </si>
  <si>
    <t>17/11/2021</t>
  </si>
  <si>
    <t>18/11/2021</t>
  </si>
  <si>
    <t>19/11/2021</t>
  </si>
  <si>
    <t>20/11/2021</t>
  </si>
  <si>
    <t>25/11/2021</t>
  </si>
  <si>
    <t>24/11/2021</t>
  </si>
  <si>
    <t>26/11/2021</t>
  </si>
  <si>
    <t>27/11/2021</t>
  </si>
  <si>
    <t>30/11/2021</t>
  </si>
  <si>
    <t>01/12/2021</t>
  </si>
  <si>
    <t>03/12/2021</t>
  </si>
  <si>
    <t>Diciembre</t>
  </si>
  <si>
    <t>06/12/2021</t>
  </si>
  <si>
    <t>07/12/2021</t>
  </si>
  <si>
    <t>08/12/2021</t>
  </si>
  <si>
    <t>09/12/2021</t>
  </si>
  <si>
    <t>10/12/2021</t>
  </si>
  <si>
    <t>15/12/2021</t>
  </si>
  <si>
    <t>16/12/2021</t>
  </si>
  <si>
    <t>17/12/2021</t>
  </si>
  <si>
    <t>22/12/2021</t>
  </si>
  <si>
    <t>24/12/2021</t>
  </si>
  <si>
    <t>27/12/2021</t>
  </si>
  <si>
    <t>28/12/2021</t>
  </si>
  <si>
    <t>ALTAMIRA, TAMAULIPAS</t>
  </si>
  <si>
    <t>Gerencia de Perforación y Reparación de Pozos Terrestre Norte</t>
  </si>
  <si>
    <t>ACIDO SULFHIDRICO (H2S)</t>
  </si>
  <si>
    <t>Jesus Alfredo Duran Enriquez</t>
  </si>
  <si>
    <t>05/04/2021</t>
  </si>
  <si>
    <t>30/04/2021</t>
  </si>
  <si>
    <t>VILLAHERMOSA, TABASCO</t>
  </si>
  <si>
    <t>Gerencia de Perforación y Reparación de Pozos Terrestre Sur</t>
  </si>
  <si>
    <t>Norma Alicia Torres Hernandez</t>
  </si>
  <si>
    <t>03/05/2021</t>
  </si>
  <si>
    <t>04/05/2021</t>
  </si>
  <si>
    <t>REYNOSA, TAMAULIPAS</t>
  </si>
  <si>
    <t>Raymundo Olivera Zaragoza</t>
  </si>
  <si>
    <t>06/05/2021</t>
  </si>
  <si>
    <t>AGUA DULCE, VERACRUZ</t>
  </si>
  <si>
    <t>Manuel Gordillo Izquierdo</t>
  </si>
  <si>
    <t>CENTRO DE CAPACITACION CASTAÑO</t>
  </si>
  <si>
    <t>ENTRENAMIENTO BASICO EN SISTEMA PEMEX SSPA (EB SSPA)</t>
  </si>
  <si>
    <t>Jose Enrique Bergman Ocampo</t>
  </si>
  <si>
    <t>17/05/2021</t>
  </si>
  <si>
    <t>Felipe Eleazar Reyes Delgado</t>
  </si>
  <si>
    <t>Gilberto Ruben Rios Vela</t>
  </si>
  <si>
    <t>20/05/2021</t>
  </si>
  <si>
    <t>TIERRA BLANCA</t>
  </si>
  <si>
    <t>Sihnue Hernandez Dominguez</t>
  </si>
  <si>
    <t>David Antonio Amador Castillo</t>
  </si>
  <si>
    <t>PLANEACION SEGURA DE LOS TRABAJOS</t>
  </si>
  <si>
    <t>03/06/2021</t>
  </si>
  <si>
    <t>04/06/2021</t>
  </si>
  <si>
    <t>Victor Gabriel Kayser Espinosa</t>
  </si>
  <si>
    <t>05/06/2021</t>
  </si>
  <si>
    <t>06/06/2021</t>
  </si>
  <si>
    <t>MANEJO A LA DEFENSIVA (MD)</t>
  </si>
  <si>
    <t>07/06/2021</t>
  </si>
  <si>
    <t>Jose Luis Renteral Cardenas</t>
  </si>
  <si>
    <t>VERACRUZ,VERACRUZ</t>
  </si>
  <si>
    <t>11/06/2021</t>
  </si>
  <si>
    <t>14/06/2021</t>
  </si>
  <si>
    <t>15/06/2021</t>
  </si>
  <si>
    <t>Saul Leonardo Rodriguez Garcia</t>
  </si>
  <si>
    <t>AUDITORIAS EFECTIVAS</t>
  </si>
  <si>
    <t>18/06/2021</t>
  </si>
  <si>
    <t>22/06/2021</t>
  </si>
  <si>
    <t>23/06/2021</t>
  </si>
  <si>
    <t>28/06/2021</t>
  </si>
  <si>
    <t>PEDRO  GONZALEZ GONZALEZ</t>
  </si>
  <si>
    <t>01/07/2021</t>
  </si>
  <si>
    <t>VERACRUZ</t>
  </si>
  <si>
    <t>05/07/2021</t>
  </si>
  <si>
    <t>06/07/2021</t>
  </si>
  <si>
    <t>POZA RICA DE HIDALGO,VERACRUZ</t>
  </si>
  <si>
    <t>Gerencia de Operación y Mantenimiento de Equipos</t>
  </si>
  <si>
    <t>Jorge Alfredo Jasso Gonzalez</t>
  </si>
  <si>
    <t>13/07/2021</t>
  </si>
  <si>
    <t>Elias Cordova Perez</t>
  </si>
  <si>
    <t>RESPUESTA A EMERGENCIAS CON MATERIALES PELIGROSOS (REMP)</t>
  </si>
  <si>
    <t>15/07/2021</t>
  </si>
  <si>
    <t>CARDENAS, TABASCO</t>
  </si>
  <si>
    <t>Eduardo Mena Piñeyro</t>
  </si>
  <si>
    <t>RIG PASS</t>
  </si>
  <si>
    <t>14/08/2021</t>
  </si>
  <si>
    <t>28/08/2021</t>
  </si>
  <si>
    <t>Ivan Raudell Carballo Cardoza</t>
  </si>
  <si>
    <t>18/09/2021</t>
  </si>
  <si>
    <t>Roberto Gonzalez Tepox</t>
  </si>
  <si>
    <t>04/10/2021</t>
  </si>
  <si>
    <t>09/10/2021</t>
  </si>
  <si>
    <t>Gustavo Alberto Romero Manzano</t>
  </si>
  <si>
    <t>12/10/2021</t>
  </si>
  <si>
    <t>LIDERAZGO OPERATIVO PARA LA ADMINISTRACION DE RIESGOS</t>
  </si>
  <si>
    <t>Pedro Esteban Barrios Jimenez</t>
  </si>
  <si>
    <t>18/10/2021</t>
  </si>
  <si>
    <t>Jorge Martin Peralta Jonguitud</t>
  </si>
  <si>
    <t>22/11/2021</t>
  </si>
  <si>
    <t>Reynosa</t>
  </si>
  <si>
    <t>Activo de Producción Reynosa</t>
  </si>
  <si>
    <t>Lucio Alfonso Posadas Ramírez</t>
  </si>
  <si>
    <t>08/03/2021</t>
  </si>
  <si>
    <t>11/03/2021</t>
  </si>
  <si>
    <t>Ernesto Sánchez García</t>
  </si>
  <si>
    <t>29/03/2021</t>
  </si>
  <si>
    <t>08/04/2021</t>
  </si>
  <si>
    <t>12/04/2021</t>
  </si>
  <si>
    <t>Felix Horacio Aleman Garcia</t>
  </si>
  <si>
    <t>PROCEDIMIENTOS CRITICOS (PC)</t>
  </si>
  <si>
    <t>Juan Rojas Diaz</t>
  </si>
  <si>
    <t>Ivan Gonzalez Morales</t>
  </si>
  <si>
    <t>Gerencia de Seguridad, Salud en el Trabajo y Protección Ambiental Región Norte</t>
  </si>
  <si>
    <t>31/05/2021</t>
  </si>
  <si>
    <t>David Michael Madrigal Eliseo</t>
  </si>
  <si>
    <t>Gerencia de Servicios de Soporte y Logística Terrestre</t>
  </si>
  <si>
    <t>Justo Jesus del Angel del Angel</t>
  </si>
  <si>
    <t>Julio Cesar Chirinos Cabañas</t>
  </si>
  <si>
    <t>Francisco Arcos Garcia</t>
  </si>
  <si>
    <t>Raul Muñoz Lozano</t>
  </si>
  <si>
    <t>19/07/2021</t>
  </si>
  <si>
    <t>30/07/2021</t>
  </si>
  <si>
    <t>Alejandra L. Gonzalez Loredo</t>
  </si>
  <si>
    <t>Elio Mendez Damasco</t>
  </si>
  <si>
    <t>20/09/2021</t>
  </si>
  <si>
    <t>SALUD EN EL TRABAJO</t>
  </si>
  <si>
    <t>Claudia Consuelo Cuellar Burela</t>
  </si>
  <si>
    <t>Alejandro Sanchez Garcia</t>
  </si>
  <si>
    <t>04/11/2021</t>
  </si>
  <si>
    <t>10/11/2021</t>
  </si>
  <si>
    <t>Altamira</t>
  </si>
  <si>
    <t>Miguel Hernandez Chavez</t>
  </si>
  <si>
    <t>Activo de Producción Poza Rica - Altamira</t>
  </si>
  <si>
    <t>Maria Guadalupe Savino Comsille</t>
  </si>
  <si>
    <t>07/04/2021</t>
  </si>
  <si>
    <t>09/04/2021</t>
  </si>
  <si>
    <t>Roberto Augusto Rosas Hernandez</t>
  </si>
  <si>
    <t>Maria Teresa Perez Capilla</t>
  </si>
  <si>
    <t>20/04/2021</t>
  </si>
  <si>
    <t>Jorge Alberto Dominguez Reyes</t>
  </si>
  <si>
    <t>26/04/2021</t>
  </si>
  <si>
    <t>07/05/2021</t>
  </si>
  <si>
    <t>Guillermo Velez Baca</t>
  </si>
  <si>
    <t>14/05/2021</t>
  </si>
  <si>
    <t>Gonzalo Moral Jordan</t>
  </si>
  <si>
    <t>Luz Del Carmen Ruiz Camarena</t>
  </si>
  <si>
    <t>Alfredo Lopez Herrera</t>
  </si>
  <si>
    <t>29/11/2021</t>
  </si>
  <si>
    <t>02/12/2021</t>
  </si>
  <si>
    <t>CERRO AZUL,VERACRUZ</t>
  </si>
  <si>
    <t>09/03/2021</t>
  </si>
  <si>
    <t>NARANJOS</t>
  </si>
  <si>
    <t>Jorge Eduardo Hernandez Galvan</t>
  </si>
  <si>
    <t>MANEJO A LA DEFENSIVA</t>
  </si>
  <si>
    <t>21/04/2021</t>
  </si>
  <si>
    <t>Jair de Jesus Carrillo Cabello</t>
  </si>
  <si>
    <t>IMP CERRO AZUL</t>
  </si>
  <si>
    <t>Poza Rica</t>
  </si>
  <si>
    <t>Activo de Exploración Marina Norte</t>
  </si>
  <si>
    <t>01/02/2021</t>
  </si>
  <si>
    <t>08/02/2021</t>
  </si>
  <si>
    <t>Activo de Exploración Terrestre Norte</t>
  </si>
  <si>
    <t>Jose Cuitlahuac Estrada Arras</t>
  </si>
  <si>
    <t>16/02/2021</t>
  </si>
  <si>
    <t>INVESTIGACION DE INCIDENTES Y ANALISIS DE CAUSA RAIZ (IIACR)</t>
  </si>
  <si>
    <t>Eduardo Hernandez Gomez</t>
  </si>
  <si>
    <t>15/03/2021</t>
  </si>
  <si>
    <t>Jose Manuel Hernandez de Leon</t>
  </si>
  <si>
    <t>24/03/2021</t>
  </si>
  <si>
    <t>Jorge Alberto Jaramillo Ruanova</t>
  </si>
  <si>
    <t>02/04/2021</t>
  </si>
  <si>
    <t>31/03/2021</t>
  </si>
  <si>
    <t>Josue Isai Rodriguez Cruz</t>
  </si>
  <si>
    <t>06/04/2021</t>
  </si>
  <si>
    <t>13/04/2021</t>
  </si>
  <si>
    <t>Gustavo Adolfo Miranda Rosas</t>
  </si>
  <si>
    <t>27/04/2021</t>
  </si>
  <si>
    <t>Edmundo Angel Hernandez Ramirez</t>
  </si>
  <si>
    <t>María de los Angeles Alday Alvarez</t>
  </si>
  <si>
    <t>Leove Rosas Ontiveros</t>
  </si>
  <si>
    <t>Erick D. Castillo Melo</t>
  </si>
  <si>
    <t>Javier Patiño Macias</t>
  </si>
  <si>
    <t>Veracruz</t>
  </si>
  <si>
    <t>Activo de Producción Veracruz</t>
  </si>
  <si>
    <t>Fernando Fabian Ludewig Melgarejo</t>
  </si>
  <si>
    <t>Francisco Ruben Chavez Osorio</t>
  </si>
  <si>
    <t>22/04/2021</t>
  </si>
  <si>
    <t>23/04/2021</t>
  </si>
  <si>
    <t>10/05/2021</t>
  </si>
  <si>
    <t>25/05/2021</t>
  </si>
  <si>
    <t>Ubaldo Santiago Sobrevilla</t>
  </si>
  <si>
    <t>28/05/2021</t>
  </si>
  <si>
    <t>13/08/2021</t>
  </si>
  <si>
    <t>Agua Dulce</t>
  </si>
  <si>
    <t>Alexander Julian Alcantara Santillan</t>
  </si>
  <si>
    <t>25/01/2021</t>
  </si>
  <si>
    <t>Enero</t>
  </si>
  <si>
    <t>Activo de Producción Cinco Presidentes</t>
  </si>
  <si>
    <t>Antonio Oziel Almaguer Trevino</t>
  </si>
  <si>
    <t>Roony Joanathan Quevedo Lopez</t>
  </si>
  <si>
    <t>Cristian Arturo Martinez de la Rosa</t>
  </si>
  <si>
    <t>28/04/2021</t>
  </si>
  <si>
    <t>Nora Edith Velarde Tovar</t>
  </si>
  <si>
    <t>ESPERANZA LILIANA ALATORRE GERONIMO</t>
  </si>
  <si>
    <t>13/12/2021</t>
  </si>
  <si>
    <t>Gerencia de Seguridad, Salud en el Trabajo y Protección Ambiental Región Sur</t>
  </si>
  <si>
    <t>Ignacio Cessa Lopez</t>
  </si>
  <si>
    <t>23/07/2021</t>
  </si>
  <si>
    <t>23/11/2021</t>
  </si>
  <si>
    <t>Maria Irene Cruz Magaña</t>
  </si>
  <si>
    <t>Roger Cancino Maldonado</t>
  </si>
  <si>
    <t>Ubaldo Martinez Ocampo</t>
  </si>
  <si>
    <t>Comalcalco</t>
  </si>
  <si>
    <t>Activo de Producción Bellota Jujo</t>
  </si>
  <si>
    <t>Hugo Alonso Villa Flores</t>
  </si>
  <si>
    <t>Miguel Beristain Benitez</t>
  </si>
  <si>
    <t>Ronnie Muñoz Potenciano</t>
  </si>
  <si>
    <t>Maximiliano Jimenez Martinez</t>
  </si>
  <si>
    <t>Homero Sánchez Flores</t>
  </si>
  <si>
    <t>Hugo Guadalupe Angeles Romero</t>
  </si>
  <si>
    <t>Tobias Magaña Ruiz</t>
  </si>
  <si>
    <t>02/11/2021</t>
  </si>
  <si>
    <t>Macuspana</t>
  </si>
  <si>
    <t>CHIAPAS</t>
  </si>
  <si>
    <t>Activo de Producción Macuspana - Múspac</t>
  </si>
  <si>
    <t>Juan Arturo Romero Victorino</t>
  </si>
  <si>
    <t>03/03/2021</t>
  </si>
  <si>
    <t>Jose Ramon Cordova Ovando</t>
  </si>
  <si>
    <t>Antonio Estrada Cerino</t>
  </si>
  <si>
    <t>IMP REFORMA</t>
  </si>
  <si>
    <t>Miguel Herrera Sanchez</t>
  </si>
  <si>
    <t>Gabriel Ángel Alonzo Díaz</t>
  </si>
  <si>
    <t>Ciudad Pemex</t>
  </si>
  <si>
    <t>Fidel Alberto Estrada Pineda</t>
  </si>
  <si>
    <t>David Hernández Ortiz</t>
  </si>
  <si>
    <t>Joel Caballero Acosta</t>
  </si>
  <si>
    <t>Raymundo Flores Marquez</t>
  </si>
  <si>
    <t>Santiago Alberto Mendoza Hernandez</t>
  </si>
  <si>
    <t>TABASCO</t>
  </si>
  <si>
    <t>Activo de Producción Samaria Luna</t>
  </si>
  <si>
    <t>MARCOS QUEVEDO MAGAÑA</t>
  </si>
  <si>
    <t>25/03/2021</t>
  </si>
  <si>
    <t>Joel Cruz Sigala</t>
  </si>
  <si>
    <t>Alejandro Padilla Roldan</t>
  </si>
  <si>
    <t>VILLAHERMOSA</t>
  </si>
  <si>
    <t>Benjamin Nicolas Hernandez Hernandez</t>
  </si>
  <si>
    <t>Homero Gomez Guzman</t>
  </si>
  <si>
    <t>José del Carmen Contreras Cruz</t>
  </si>
  <si>
    <t>Cesar Valencia Viveros</t>
  </si>
  <si>
    <t>Patricia Vizcarra Zamudio</t>
  </si>
  <si>
    <t>Gerencia de Operación de Contratos y Asociaciones de Producción Sur</t>
  </si>
  <si>
    <t>Alberto Ruiz Barbosa</t>
  </si>
  <si>
    <t>Gerencia de Servicios de Mantenimiento, Confiabilidad y Construcción de Infraestructura Terrestre</t>
  </si>
  <si>
    <t>CIUDAD DE MEXICO</t>
  </si>
  <si>
    <t>Gerencia de Medición y Balances</t>
  </si>
  <si>
    <t>Omar Hernandez Carrera</t>
  </si>
  <si>
    <t>PORTLAND, OREGON</t>
  </si>
  <si>
    <t>Gerencia del Sistema Pemex Seguridad, Salud y Protección Ambiental e Integración de Proyectos</t>
  </si>
  <si>
    <t>Dayana Huerta Reza</t>
  </si>
  <si>
    <t>Gerencia de Evaluación, Auditoría y Normatividad</t>
  </si>
  <si>
    <t>Dos Bocas</t>
  </si>
  <si>
    <t>Activo de Producción Litoral de Tabasco</t>
  </si>
  <si>
    <t>José Guadalupe Resendíz Robles</t>
  </si>
  <si>
    <t>Joel Licona Mar</t>
  </si>
  <si>
    <t>Eduardo Moheno Torres</t>
  </si>
  <si>
    <t>Ivonne del Carmen Calderon Cruz</t>
  </si>
  <si>
    <t>Nicky Aguilera Pavon</t>
  </si>
  <si>
    <t>20/07/2021</t>
  </si>
  <si>
    <t>Felipe Coronel Solis</t>
  </si>
  <si>
    <t>Orlando Ignacio Castellanos Chi</t>
  </si>
  <si>
    <t>Eduardo Martinez Gonzalez</t>
  </si>
  <si>
    <t>Alma Delia Garcia Olan</t>
  </si>
  <si>
    <t>Carlos Alberto Martinez Aguillen</t>
  </si>
  <si>
    <t>14/12/2021</t>
  </si>
  <si>
    <t>Activo de Producción Abkatun Pol Chuc</t>
  </si>
  <si>
    <t>23/05/2021</t>
  </si>
  <si>
    <t>06/11/2021</t>
  </si>
  <si>
    <t>05/12/2021</t>
  </si>
  <si>
    <t xml:space="preserve">Fecha de corte </t>
  </si>
  <si>
    <t>Periodo</t>
  </si>
  <si>
    <t>PICADE Autorizado</t>
  </si>
  <si>
    <t>Vencidos antes de PICADE</t>
  </si>
  <si>
    <t>PICADE Ajustado con LN</t>
  </si>
  <si>
    <t>01 de ene al</t>
  </si>
  <si>
    <t>Zona</t>
  </si>
  <si>
    <t>Cursos</t>
  </si>
  <si>
    <t>Capacitandos</t>
  </si>
  <si>
    <t>Programados</t>
  </si>
  <si>
    <t>Realizados en prog.</t>
  </si>
  <si>
    <t>Adicionales</t>
  </si>
  <si>
    <t>Total Realizados</t>
  </si>
  <si>
    <t>Capacitandos Adicionales</t>
  </si>
  <si>
    <t>Cancelados</t>
  </si>
  <si>
    <t>Cumplimiento en el periodo (%)</t>
  </si>
  <si>
    <t>Avance del PICADE ajustado (%)</t>
  </si>
  <si>
    <t>Norte</t>
  </si>
  <si>
    <t>Sur</t>
  </si>
  <si>
    <t>Cd. Carmen</t>
  </si>
  <si>
    <t xml:space="preserve">Perforación </t>
  </si>
  <si>
    <t>Cd. Méx.</t>
  </si>
  <si>
    <t>Sede</t>
  </si>
  <si>
    <t>Total PEP</t>
  </si>
  <si>
    <t>19 de abril al</t>
  </si>
  <si>
    <t>Región Norte</t>
  </si>
  <si>
    <t>Realizados</t>
  </si>
  <si>
    <t>Naranjos-Cerro A</t>
  </si>
  <si>
    <t>Región Sur</t>
  </si>
  <si>
    <t>Cinco Presidentes</t>
  </si>
  <si>
    <t>Bellota Jujo</t>
  </si>
  <si>
    <t>Samaria Luna</t>
  </si>
  <si>
    <t>Villahermosa</t>
  </si>
  <si>
    <t>SPRN</t>
  </si>
  <si>
    <t>SPRMSO</t>
  </si>
  <si>
    <t>SPRMNE</t>
  </si>
  <si>
    <t>SCOC</t>
  </si>
  <si>
    <t>SPRS</t>
  </si>
  <si>
    <t>SASEP</t>
  </si>
  <si>
    <t>SSSTPA</t>
  </si>
  <si>
    <t>SPMP</t>
  </si>
  <si>
    <t>SE</t>
  </si>
  <si>
    <t>SEPCA</t>
  </si>
  <si>
    <t>SPEE</t>
  </si>
  <si>
    <t>Servicio Médico</t>
  </si>
  <si>
    <t>Total</t>
  </si>
  <si>
    <t>Programado</t>
  </si>
  <si>
    <t>Basico de Seguridad (BS)</t>
  </si>
  <si>
    <t>Rig Pass</t>
  </si>
  <si>
    <t>Seguridad en Centros Administrativos (SCA)</t>
  </si>
  <si>
    <t>Sobrevivencia en el Mar (SM)</t>
  </si>
  <si>
    <t>Seguridad y Sobrevivencia en el Mar para Visitas (SSMV)</t>
  </si>
  <si>
    <t>Revalidacion SEGURIDAD Y SOBREVIVENCIA COSTA AFUERA (RSSCA)</t>
  </si>
  <si>
    <t>Liderazgo en SSPA</t>
  </si>
  <si>
    <t>Liderazgo Operativo para la Administración de Riesgos</t>
  </si>
  <si>
    <t>Planeacion Segura de los Trabajos</t>
  </si>
  <si>
    <t>Procedimientos Criticos (PC)</t>
  </si>
  <si>
    <t>Prevencion de Riesgos Laborales</t>
  </si>
  <si>
    <t>Sistema de Permisos para Trabajos con Riesgo  (SPTR)</t>
  </si>
  <si>
    <t>Verificador de Gas (VG)</t>
  </si>
  <si>
    <t>Manejo a la Defensiva (MD)</t>
  </si>
  <si>
    <t>Acido Sulfhídrico (H2S)</t>
  </si>
  <si>
    <t>Brigadas de Primeros Auxílios (BPA)</t>
  </si>
  <si>
    <t>Brigadas Contraincendios (BCI)</t>
  </si>
  <si>
    <t>Brigadas de Busqueda y Rescate (BBR)</t>
  </si>
  <si>
    <t>Administracion de Emergencias Mayores (AEM)</t>
  </si>
  <si>
    <t>Respuesta a Emergencias con Materiales Peligrosos (REMP)</t>
  </si>
  <si>
    <t>Formacion de Timoneles de Botes de Salvamento (FTBS)</t>
  </si>
  <si>
    <t>Entrenamiento Basico en Sistema PEMEX SSPA (EB SSPA)</t>
  </si>
  <si>
    <t>Investigacion de Incidentes y Análisis de Causa Raiz (IIACR)</t>
  </si>
  <si>
    <t>Administracion de Riesgos en Pemex Exploración y Producción</t>
  </si>
  <si>
    <t>Salud en el Trabajo</t>
  </si>
  <si>
    <t>Disciplina Operativa</t>
  </si>
  <si>
    <t>Auditorias Efectivas</t>
  </si>
  <si>
    <t>Administracion Ambiental</t>
  </si>
  <si>
    <t>Bos Bocas</t>
  </si>
  <si>
    <t xml:space="preserve">junio </t>
  </si>
  <si>
    <t>14/06/2022</t>
  </si>
  <si>
    <t xml:space="preserve">Junio </t>
  </si>
  <si>
    <t>Naranjos-Cerro Azul</t>
  </si>
  <si>
    <t>Cinco presidentes</t>
  </si>
  <si>
    <t>Bellota</t>
  </si>
  <si>
    <t>Perforación</t>
  </si>
  <si>
    <t>Cases</t>
  </si>
  <si>
    <t>Observaciones</t>
  </si>
  <si>
    <t>Subdirección de Servicios de Salud</t>
  </si>
  <si>
    <t>Dirección Corporativa de Administración</t>
  </si>
  <si>
    <t>SEGURIDAD Y SOBREVIVENCIA COSTA AFUERA</t>
  </si>
  <si>
    <t>Presencial</t>
  </si>
  <si>
    <t>Activo de Producción Ku Maloob Zaap</t>
  </si>
  <si>
    <t>REACREDITACION DE SIGNATARIOS DEL SPPTR</t>
  </si>
  <si>
    <t>A distancia</t>
  </si>
  <si>
    <t>Jonathan Olguin Castellanos</t>
  </si>
  <si>
    <t>Adicional</t>
  </si>
  <si>
    <t>Gerencia de Servicios de Soporte y Logística Marina</t>
  </si>
  <si>
    <t>GPRPM</t>
  </si>
  <si>
    <t>Tinajas</t>
  </si>
  <si>
    <t>GPRPN</t>
  </si>
  <si>
    <t>06-05-2021 </t>
  </si>
  <si>
    <t>GSSTPARS</t>
  </si>
  <si>
    <t>SEGURIDAD EN CENTROS ADMINISTRATIVOS</t>
  </si>
  <si>
    <t>Adicional PEP-DE-SASEP-CSMMCCI-1162-2021</t>
  </si>
  <si>
    <t>Edgar Mendoza Rodríguez</t>
  </si>
  <si>
    <t xml:space="preserve">Adicional PEP-DG-SPRMNE-AAPKMZ-607-2021 </t>
  </si>
  <si>
    <t xml:space="preserve">Adicional PEP-DG-SPRMNE-AAPKMZ-468-2021 </t>
  </si>
  <si>
    <t>Gerencia de Servicios de Soporte y Logítica Marina</t>
  </si>
  <si>
    <t>Eduardo González Rodríguez</t>
  </si>
  <si>
    <t>Adicional PEP-DG-SASEP-GSSLM-324-2021</t>
  </si>
  <si>
    <t>César Iván Chulines Granados</t>
  </si>
  <si>
    <t>APCP</t>
  </si>
  <si>
    <t>Capacitación Integral Normas Oficiales Mexicanas</t>
  </si>
  <si>
    <t>BASICO DE SEGURIDAD</t>
  </si>
  <si>
    <t>ADMINISTRACION DE EMERGENCIAS MAYORES</t>
  </si>
  <si>
    <t>Elio Méndez Damasco</t>
  </si>
  <si>
    <t>APAPCH</t>
  </si>
  <si>
    <t>Luis Antonio Ibañez Narvaez</t>
  </si>
  <si>
    <t>José Guadalupe Resendiz Robles</t>
  </si>
  <si>
    <t>REVALIDACION BASICO DE SEGURIDAD</t>
  </si>
  <si>
    <t>dos Bocas</t>
  </si>
  <si>
    <t xml:space="preserve">Gerencia de seguridad, salud en el Trabajo, Proteccion ambiental perforacion </t>
  </si>
  <si>
    <t>INVESTIGACION DE INCIDENTES Y ANALISIS DE CAUSA RAIZ</t>
  </si>
  <si>
    <t>eduardo Moheno Torres</t>
  </si>
  <si>
    <t>Gerencia de Servicios de Salud</t>
  </si>
  <si>
    <t>Básico de Seguridad en Plataformas y Barcazas</t>
  </si>
  <si>
    <t>Raúl Armando Garza Torre</t>
  </si>
  <si>
    <t>ciudad del Carmen</t>
  </si>
  <si>
    <t>cIUdad del Carmen</t>
  </si>
  <si>
    <t>GEREncia de Servicios de Soporte y Logítica Marina</t>
  </si>
  <si>
    <t>EDuardo González Rodríguez</t>
  </si>
  <si>
    <t>adicional</t>
  </si>
  <si>
    <t>cIudad del Carmen</t>
  </si>
  <si>
    <t>sUbdirección de Administración de Servicios para Exploración y Producción</t>
  </si>
  <si>
    <t>CSMMCCI</t>
  </si>
  <si>
    <t>SUBdirección de Administración de Servicios para Exploración y Producción</t>
  </si>
  <si>
    <t>BÁSICO DE SEGURIDAD</t>
  </si>
  <si>
    <t>subdirección de Perforación y Mantenimiento de Pozos</t>
  </si>
  <si>
    <t>BÁSico de Seguridad en Plataformas y Barcazas</t>
  </si>
  <si>
    <t>José Atahualpa Días Núñez</t>
  </si>
  <si>
    <t>Carlos Alfredo Ramírez Barrenechea</t>
  </si>
  <si>
    <t>Sobrevivencia en el Mar</t>
  </si>
  <si>
    <t>presencial</t>
  </si>
  <si>
    <t>Daniel Diamantis González Pérez</t>
  </si>
  <si>
    <t>Reforma</t>
  </si>
  <si>
    <t>Reacreditación de Signatarios del SPTR</t>
  </si>
  <si>
    <t>Maria Irene Cruz Magana</t>
  </si>
  <si>
    <t>El Castaño</t>
  </si>
  <si>
    <t>Maximilano</t>
  </si>
  <si>
    <t>ROONY JOANATHAN QUEVEDO LOPEZ</t>
  </si>
  <si>
    <t>APBJ</t>
  </si>
  <si>
    <t>Entrenamiento Básico en SSPA</t>
  </si>
  <si>
    <t>SIST BOM HOR OPER MANTO RUT PIA 5 PRES</t>
  </si>
  <si>
    <t>Externo</t>
  </si>
  <si>
    <t>HECTOR RUIZ MARQUEZ</t>
  </si>
  <si>
    <t>EVENTO ADICIONAL EXTERNO SCI Operativo S. de R.L. de C.V.</t>
  </si>
  <si>
    <t>BRIGADAS DE BUSQUEDA Y RESCATE</t>
  </si>
  <si>
    <t>LUCIO ALFONSO POSADAS RAMIREZ</t>
  </si>
  <si>
    <t>EVENTO ADICIONAL INTERNO</t>
  </si>
  <si>
    <t>Cunduacán</t>
  </si>
  <si>
    <t>APSL</t>
  </si>
  <si>
    <t>Marcos Quevedo Magaña</t>
  </si>
  <si>
    <t>Curso adicional</t>
  </si>
  <si>
    <t>Elí Solís González</t>
  </si>
  <si>
    <t>N/A</t>
  </si>
  <si>
    <t>Gerencia de Seguridad, Salud en el Trabajo y Pretección Ambiental Región Marina</t>
  </si>
  <si>
    <t>Motobombas Contraincendio</t>
  </si>
  <si>
    <t>Luis Alejandro Oerega Moreno</t>
  </si>
  <si>
    <t>Gerencia de Servicios Médicos</t>
  </si>
  <si>
    <t>Alexander</t>
  </si>
  <si>
    <t>COMALCALCO, TABASCO</t>
  </si>
  <si>
    <t>SISTEMA DE PERMISOS P TRABAJOS RIESGO</t>
  </si>
  <si>
    <t>JIMENEZ MARTINEZ MAXIMILIANO</t>
  </si>
  <si>
    <t>MARTINEZ RODRIGUEZ ERNESTO XICOTENCATL U</t>
  </si>
  <si>
    <t>APMM</t>
  </si>
  <si>
    <t>FLORES MARQUEZ RAYMUNDO</t>
  </si>
  <si>
    <t>REACREDITACION DE SIGNATARIOS SPPTR</t>
  </si>
  <si>
    <t>ROMERO VICTORINO JUAN ARTURO</t>
  </si>
  <si>
    <t>ALCANTARA SANTILLAN ALEXANDER JULIAN</t>
  </si>
  <si>
    <t>QUEVEDO MAGAÑA MARCOS</t>
  </si>
  <si>
    <t>GMCC</t>
  </si>
  <si>
    <t>SISTEMA PERMISOS P TRABAJOS CON RIESGOS</t>
  </si>
  <si>
    <t>QUEVEDO LOPEZ ROONY JOANATHAN</t>
  </si>
  <si>
    <t>REACREDITACIÓN DE SIGNATARIOS DEL SPPTR</t>
  </si>
  <si>
    <t>ENT BASICO EN SISTEMA PEMEX SSPA</t>
  </si>
  <si>
    <t>15/06/2022</t>
  </si>
  <si>
    <t>Realizado</t>
  </si>
  <si>
    <t>ACIDO SULFHIDRICO</t>
  </si>
  <si>
    <t>Cancelado</t>
  </si>
  <si>
    <t>BRIGADAS CONTRAINCENDIOS</t>
  </si>
  <si>
    <t>BRIGADAS DE PRIMEROS AUXILIOS</t>
  </si>
  <si>
    <t xml:space="preserve">Servicio Médico </t>
  </si>
  <si>
    <t>ENTRENAMIENTO BASICO EN SISTEMA PEMEX SSPA</t>
  </si>
  <si>
    <t>PROCEDIMIENTOS CRITICOS</t>
  </si>
  <si>
    <t>RESPUESTA A EMERGENCIAS CON MATERIALES PELIGROSOS</t>
  </si>
  <si>
    <t>REVALIDACION DE SEGURIDAD Y SOBREVIVENCIA COSTA AFUERA</t>
  </si>
  <si>
    <t>SEGURIDAD EN CENTROS ADMINISTRACIONS</t>
  </si>
  <si>
    <t>SISTEMA DE PERMISOS PARA TRABAJOS CON RIESGO</t>
  </si>
  <si>
    <t>SOBREVIVENCIA EN EL MAR</t>
  </si>
  <si>
    <t>VERIFICADOR DE GAS</t>
  </si>
  <si>
    <t>Cursos vencidos antes de PICADE (18-Abr-2021)</t>
  </si>
  <si>
    <t>Ajuste LN (disponibles)</t>
  </si>
  <si>
    <t>Cursos Programados</t>
  </si>
  <si>
    <t>Capacitandos antes de PICADE (18-Abr-2021)</t>
  </si>
  <si>
    <t>Ajuste LN</t>
  </si>
  <si>
    <t>Capacitandos Programados</t>
  </si>
  <si>
    <t>Cursos Realizados al periodo</t>
  </si>
  <si>
    <t>Capacitandos ajustados</t>
  </si>
  <si>
    <t>Cursos prog. al periodo</t>
  </si>
  <si>
    <t>Capacitandos al periodo</t>
  </si>
  <si>
    <t>Cursos ajustados</t>
  </si>
  <si>
    <t>Capacitandos prog. al periodo</t>
  </si>
  <si>
    <t>Cursos cancelados al periodo</t>
  </si>
  <si>
    <t>Ajuste</t>
  </si>
  <si>
    <t>Estatus curso</t>
  </si>
  <si>
    <t>Ficha Inst</t>
  </si>
  <si>
    <t>Disponible</t>
  </si>
  <si>
    <t>a realizar</t>
  </si>
  <si>
    <t>José Guadalupe Resnediz Robles</t>
  </si>
  <si>
    <t>La fecha que se impartio fué del 27-28 mayo</t>
  </si>
  <si>
    <t>Se reprograma para el 22/06/2021. Se impartió en la fecha reprogramada.</t>
  </si>
  <si>
    <t>Se realizó el 25 de junio 2021.</t>
  </si>
  <si>
    <t>se reprogramó para impartirse del 17 al 18 de junio 2021. ID integrados: 24515, 24517, 24518, 24519.</t>
  </si>
  <si>
    <t>Se impartió el 23 junio 2021, la ID que liderea este curso es 25321, fucionada con la 25320 y 25322</t>
  </si>
  <si>
    <t>-</t>
  </si>
  <si>
    <t>Este curso de ID: 24517 se integró en el curso que se impartió del 17-18 junio 2021</t>
  </si>
  <si>
    <t>Pendiente por definir fecha de reprogramación</t>
  </si>
  <si>
    <t>Esta ID se fuciono con la 24740</t>
  </si>
  <si>
    <t>Se impartió el 28 al 30 junio 2021, la ID que liderea este curso es 24740, fucionada con la 24739, 24736, 24737 y 24738</t>
  </si>
  <si>
    <t>Se impartió del 20 al 30 julio, ID: 24643 (24640, 24641, 24642, 64658)</t>
  </si>
  <si>
    <t>Esta ID  24885 se integró en la ID 24833 impartida el 21 de julio 2021</t>
  </si>
  <si>
    <t>Se impartió del 30 de agosto al 01 septiembre</t>
  </si>
  <si>
    <t>Se impartió el 13 agosto 2021.</t>
  </si>
  <si>
    <t>La línea de negocio lo reprogramó del 26 al 27 agosto 2021</t>
  </si>
  <si>
    <t>La línea de negocio lo reprogramó 30 septiembre 2021 y se realizó en la fecha reprogramada</t>
  </si>
  <si>
    <t>La línea de negocio lo reprogramó 16-17 dicuembre 2021 (se impartió el 16-17 de dic 2021)</t>
  </si>
  <si>
    <t>La línea de negocio lo reprogramó del 25-26 de octubre 2021 (se impartió el 25-26 de oct 2021)</t>
  </si>
  <si>
    <t>La línea de negocio lo reprogramó 29 noviembre 2021 (impartido el 29/11/2021)</t>
  </si>
  <si>
    <t>La línea de negocio lo reprogramó del 22 al 24 de  noviembre 2021 (impartido del 22-24 noviembre 2021)</t>
  </si>
  <si>
    <t>se impartió del 16 al 17 de noviembre del 2021.</t>
  </si>
  <si>
    <t xml:space="preserve">Eduardo Martinez Gonzalez </t>
  </si>
  <si>
    <t>Impartido del 15 al 17 de diciembre de 2021</t>
  </si>
  <si>
    <t>Se reprograma para el 16 y 18 de septiembre, se renombró a BSPB</t>
  </si>
  <si>
    <t>Impartido del 08 al 10 de diciembre de 2021</t>
  </si>
  <si>
    <t>Inés Álvarez Pisté</t>
  </si>
  <si>
    <t>Impartido del 09 al 14 de diciembre de 2021</t>
  </si>
  <si>
    <t xml:space="preserve">El curso se impartio 12 y 13 de mayo 2021 </t>
  </si>
  <si>
    <t>La LN comunicó que acordará fecha reprogramada con CASES CC</t>
  </si>
  <si>
    <t>Realizado en CASES DB por falta de electrobombas en CASES CC</t>
  </si>
  <si>
    <t>La LN reprogramó el evento para el mes de agosto/2021</t>
  </si>
  <si>
    <t>Se sustituyó el instructor</t>
  </si>
  <si>
    <t>Se realizó en las instalaciones de GPRPM en el Km 4.5 en Cd. Del Carmen</t>
  </si>
  <si>
    <t>Impartido el 1 y 2 de junio 2021</t>
  </si>
  <si>
    <t>La LN cambió la modalidad a Distancia por la modalidad Presencial</t>
  </si>
  <si>
    <t>Se impartió el 07-sep-21 al 08-sep-21. La LN lo reprogramó para el 8 y 9 de julio 2021.</t>
  </si>
  <si>
    <t>Reprogramado para del 16 al 18 de junio 2021</t>
  </si>
  <si>
    <t>Evento efectuado del 12 al 13 de julio 2021</t>
  </si>
  <si>
    <t>Impartido del 14 al 17 de diciembre de 2021. La Linea de Negocios lo reprogramo para septiembre</t>
  </si>
  <si>
    <t>Reprogramado para impartirse del 17 al 19.07.2021</t>
  </si>
  <si>
    <t>José Atahualpa Diaz Nuñez</t>
  </si>
  <si>
    <t>BÁSICO DE SEGURIDAD EN PLATAFORMAS Y BARCAZAS</t>
  </si>
  <si>
    <t>Realizado el 18-oct-21 al 19-oct-21</t>
  </si>
  <si>
    <t>Reprogramado al 24 y 25 de agosto</t>
  </si>
  <si>
    <t>Reprogramado al 26 y 27 de agosto</t>
  </si>
  <si>
    <t>José Atahualpa Díaz Núñez</t>
  </si>
  <si>
    <t>Impartido del 16 al 17 de diciembre de 2021. Se reprograma para el 28 y 29 de septiembre</t>
  </si>
  <si>
    <t>Curso impartido del 26 al 27 de octubre de 2021</t>
  </si>
  <si>
    <t>Pedro Zacarías Alcocer</t>
  </si>
  <si>
    <t>Se reprogramó para el 4 y 5 de octubre</t>
  </si>
  <si>
    <t>Elí Solis González</t>
  </si>
  <si>
    <t>Julio Andréz Barrios Almazán</t>
  </si>
  <si>
    <t>quitar</t>
  </si>
  <si>
    <t>Renombrado a RBSPB</t>
  </si>
  <si>
    <t>Se realizó del 18 al 20 de octubre. Se realizó en aulas de Perforación</t>
  </si>
  <si>
    <t>Fecha original 28/10/2021 al 29/10/2021</t>
  </si>
  <si>
    <t>La LN no gestionó el evento ante la GDC</t>
  </si>
  <si>
    <t>Impartido del 20 al 21 de diciembre de 2021</t>
  </si>
  <si>
    <t>Pedro Zacarías alcocer</t>
  </si>
  <si>
    <t>La LN cambió el nombre a Básico de Seguridad en Plataformas y Barcazas</t>
  </si>
  <si>
    <t>Impartido el 22 de diciembre de 2021.</t>
  </si>
  <si>
    <t>Fecha original 25/11/2021 al 26/11/2021</t>
  </si>
  <si>
    <t>Julio Andrés Barrios Almazán</t>
  </si>
  <si>
    <t>Fecha original 25/11/2021 al 27/11/2021</t>
  </si>
  <si>
    <t>Impartido del 14 al 16 de diciembre de 2021</t>
  </si>
  <si>
    <t>Se reprogramó del 11 al 13 de noviembre de 2021 por la LN.</t>
  </si>
  <si>
    <t>Raymundo olivera Zaragoza</t>
  </si>
  <si>
    <t>se impartio el 25 de mayo del 2021</t>
  </si>
  <si>
    <t>Jesús Alfredo Durán Enriquez</t>
  </si>
  <si>
    <t>David Antonio Amador castillo</t>
  </si>
  <si>
    <t>jose Luis Reinteral Cardenas</t>
  </si>
  <si>
    <t>jesus Alfredo Duran Enriquez</t>
  </si>
  <si>
    <t>ivan Raudell Carballo Cardoza</t>
  </si>
  <si>
    <t>tobias Magaña Ruiz</t>
  </si>
  <si>
    <t>REPROGRAMADO AL 25 DE MARZO DEL 2021</t>
  </si>
  <si>
    <t>ERNESTO SANCHEZ GARCIA</t>
  </si>
  <si>
    <t>FELIX HORACIO ALEMAN GARCIA</t>
  </si>
  <si>
    <t>CARLOS ALBERTO DEL ANGEL GONZALEZ</t>
  </si>
  <si>
    <t>REPROGRAMADO AL 14 DE OCTUBRE DEL 2021</t>
  </si>
  <si>
    <t>OSCAR ARTURO CARREON NOGUEDA</t>
  </si>
  <si>
    <t>REPROGRAMADO AL 18 -19 DE OCTUBRE DEL 2021</t>
  </si>
  <si>
    <t>DAVID MICHAEL MADRIGAL ELISEO</t>
  </si>
  <si>
    <t>REPROGRAMADO AL 13-16 DE DICIEMBRE DEL 2021</t>
  </si>
  <si>
    <t>REPROGRAMADO AL 25 DE JUNIO DEL 2021</t>
  </si>
  <si>
    <t>REPROGRAMADO AL 17 DE JUNIO DEL 2021</t>
  </si>
  <si>
    <t>REPROGRAMADO AL 20 DE SEPTIEMBRE DEL 2021</t>
  </si>
  <si>
    <t>REPROGRAMADO AL 08 JULIO DEL 2021</t>
  </si>
  <si>
    <t>REPROGRAMADO AL 20 JULIO DEL 2021</t>
  </si>
  <si>
    <t>REPROGRAMADO AL 29 JULIO DEL 2021</t>
  </si>
  <si>
    <t>RAUL MUÑOZ LOZANO</t>
  </si>
  <si>
    <t>REPROGRAMADO AL 20- 21 DE OCTUBRE DEL 2021</t>
  </si>
  <si>
    <t>ALEJANDRA GONZALEZ LOREDO</t>
  </si>
  <si>
    <t>REPROGRAMADO AL 25- 26 DE OCTUBRE DEL 2021</t>
  </si>
  <si>
    <t>PENDIENTE FECHA DE REPROGRAMACION</t>
  </si>
  <si>
    <t>REPROGRAMADO AL 22-23 DE SEPTIEMBRE DEL 2021</t>
  </si>
  <si>
    <t>REPROGRAMADO AL 04- 05 DE NOVIEMBRE DEL 2021</t>
  </si>
  <si>
    <t>REPROGRAMADO AL 22- 23 DE OCTUBRE DEL 2021</t>
  </si>
  <si>
    <t>REPROGRAMADO AL 15 DE OCTUBRE DEL 2021</t>
  </si>
  <si>
    <t>ROBERTO AUGUSTO ROSAS HERNADEZ</t>
  </si>
  <si>
    <t>MARIA TERESA PEREZ CAPILLA</t>
  </si>
  <si>
    <t>MIGUEL HERNANDEZ CHAVEZ</t>
  </si>
  <si>
    <t>JOSE ALBERTO DOMINGUEZ REYES</t>
  </si>
  <si>
    <t>MARIA GUADALUPE SAVINO COMSILLE</t>
  </si>
  <si>
    <t>INSTRUCTOR EN INVESTIGACIÓN ADMINISTRATIVA</t>
  </si>
  <si>
    <t>ROCIO RANGEL RIVAS</t>
  </si>
  <si>
    <t>EVENTO REALIZADO EL 26 DE MAYO DEL 2021</t>
  </si>
  <si>
    <t>EVENTO REALIZADO EL 27 DE MAYO DEL 2021</t>
  </si>
  <si>
    <t>GONZALO MORAL JORDAN</t>
  </si>
  <si>
    <t>PERSONAL NO ASISTIO, JUSTIFICANTE OPERATIVO OF PEP-DG-SASEP-GSSLT-CSLOT-AESL-APPRA-ALT-207-2021 Y MEDICO</t>
  </si>
  <si>
    <t>SE LLEVARA A CABO EL 12 Y 13 DE JUL DEL 2021</t>
  </si>
  <si>
    <t>GONZALO MORAN JORDAN</t>
  </si>
  <si>
    <t>REEPROGRAMACIÓN 14 y 15 de diciembre del 2021.</t>
  </si>
  <si>
    <t>REEPROGRAMACIÓN 16 de diciembre del 2021.</t>
  </si>
  <si>
    <t>REEPROGRAMACIÓN  25 AL 28 de octubre del 2021.</t>
  </si>
  <si>
    <t>REEPROGRAMACIÓN  20 y 21 de octubre del 2021.</t>
  </si>
  <si>
    <t>REPROGRAMACION DE 13 AL 14 DE DICIEMBRE DEL 2021</t>
  </si>
  <si>
    <t>Reprogramado para el 16/10/2021</t>
  </si>
  <si>
    <t>ROBERTO AUGUSTO ROSAS HERNANDEZ</t>
  </si>
  <si>
    <t>SUBDIRECCIÓN DE EXPLORACIÓN NO REALIZÓ CURSO</t>
  </si>
  <si>
    <t>FALTA DE DISPONIBILIDAD DE INSTRUCTOR INTERNO</t>
  </si>
  <si>
    <t>REPROGRAMACIÓN AL 30-ABR-21, OF. PEP-DG-SSSTPA-GSSTPARN-342-2021</t>
  </si>
  <si>
    <t>INSTRUCTOR INCAPACITADO</t>
  </si>
  <si>
    <t>REPROGRAMADO PARA EL 28 Y 29 DE JUNIO DEL 2021  SUJETO A DISP. PRESUPUESTAL</t>
  </si>
  <si>
    <t>JORGE EDUARDO HERNANDEZ GALVAN</t>
  </si>
  <si>
    <t>REPROGRAMADO PARA EL 28, 29 Y 30 DE JUNIO DEL 2021</t>
  </si>
  <si>
    <t>JOSUE ISAI RODRIGUEZ CRUZ</t>
  </si>
  <si>
    <t>REPROGRAMADO PARA 20 Y 21 DE JULIO</t>
  </si>
  <si>
    <t>REPROGRAMADO PARA 27 Y 28 DE JULIO</t>
  </si>
  <si>
    <t>REPROGRAMADO PARA 26 Y 27 DE JULIO</t>
  </si>
  <si>
    <t>FRANCISCO RAMÓN LEAL CASTELLANOS</t>
  </si>
  <si>
    <t>REPROGRAMADO DEL 21 AL 23 DE JULIO</t>
  </si>
  <si>
    <t>REPROGRAMADO PARA AGOSTO</t>
  </si>
  <si>
    <t>REPROGRAMADO PARA EL 26 Y 27 DE JULIO</t>
  </si>
  <si>
    <t>REPROGRAMADO PARA EL 28 Y 29 DE JULIO</t>
  </si>
  <si>
    <t>REPROGRAMADO PARA EL 30 Y 31 DE JULIO</t>
  </si>
  <si>
    <t>JORGE ALBERTO JARAMILLO RUANOVA</t>
  </si>
  <si>
    <t>REPROGRAMADO PARA 19 DE OCTUBRE</t>
  </si>
  <si>
    <t>REPROGRAMADO PARA 28 Y 29 DE OCTUBRE</t>
  </si>
  <si>
    <t>REPROGRAMADO PARA 27 DE OCTUBRE</t>
  </si>
  <si>
    <t>PENDIENTE REPROGRAMACIÓN</t>
  </si>
  <si>
    <t>Por reprogramar</t>
  </si>
  <si>
    <t>por reprogramar</t>
  </si>
  <si>
    <t>Reprogramado 26-abr-21</t>
  </si>
  <si>
    <t>Reprogramado al 27/04/2021</t>
  </si>
  <si>
    <t>Francisco Rubén Chávez Osorio</t>
  </si>
  <si>
    <t>Reprogramado al 21 junio-se adicionaron 2 participantes</t>
  </si>
  <si>
    <t>Falta de disponibilidad del Instructor</t>
  </si>
  <si>
    <t>26 AL 28 DE ABRIL-21</t>
  </si>
  <si>
    <t>JAIR DE JESUS CARRILLO CARRILLO</t>
  </si>
  <si>
    <t>REALIZADO 13.MAYO.2021</t>
  </si>
  <si>
    <t>JUSTO DE JESUS DEL ANGEL DEL ANGEL</t>
  </si>
  <si>
    <t>REALIZADO 20.MAYO.2021</t>
  </si>
  <si>
    <t>REALIZADO 19.MAYO.2021</t>
  </si>
  <si>
    <t>NO IMPARTIDO</t>
  </si>
  <si>
    <t>JUSTO JESUS DEL ANGEL DEL ANGEL</t>
  </si>
  <si>
    <t>REALIZADO DEL 14 AL 16 DE JUNIO.2021</t>
  </si>
  <si>
    <t>REALIZADO 17.JUNIO.2021</t>
  </si>
  <si>
    <t>LN</t>
  </si>
  <si>
    <t>CANCELADO</t>
  </si>
  <si>
    <t>OK</t>
  </si>
  <si>
    <t>Miguel Herrera Sánchez</t>
  </si>
  <si>
    <t>Por falta de instructor</t>
  </si>
  <si>
    <t>Se reprogramara, por semaforación naranja</t>
  </si>
  <si>
    <t>Se realizó el 15/10/2021</t>
  </si>
  <si>
    <t>Se realizó el 22/10/2021</t>
  </si>
  <si>
    <t>Se realizó el 29/10/2021</t>
  </si>
  <si>
    <t>Se reprogramo fecha anterior: 08/11/2021, por instructor</t>
  </si>
  <si>
    <t>Se ajusta el número de asistentes</t>
  </si>
  <si>
    <t>Ernesto Xicotencatl</t>
  </si>
  <si>
    <t>ok</t>
  </si>
  <si>
    <t>Reprogramado</t>
  </si>
  <si>
    <t>REPROGRAMADO</t>
  </si>
  <si>
    <t>Cristhian Velarde</t>
  </si>
  <si>
    <t>Ing. Maximiliano</t>
  </si>
  <si>
    <t>Ing: Maximiliano</t>
  </si>
  <si>
    <t>Ing. Homero sanchez Flores</t>
  </si>
  <si>
    <t>CANCELADO (no se imparte en la sur)</t>
  </si>
  <si>
    <t>Impartido 27/05/2021</t>
  </si>
  <si>
    <t>María de los Angeles Alday</t>
  </si>
  <si>
    <t>Cambió de fecha 21 de junio</t>
  </si>
  <si>
    <t>Cambió a 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</si>
</sst>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\ %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/>
      <name val="Montserrat"/>
      <family val="3"/>
    </font>
    <font>
      <sz val="8"/>
      <color theme="1"/>
      <name val="Montserrat"/>
      <family val="3"/>
    </font>
    <font>
      <sz val="11"/>
      <name val="Calibri"/>
      <family val="2"/>
      <scheme val="minor"/>
    </font>
    <font>
      <sz val="10"/>
      <color theme="1"/>
      <name val="Montserrat"/>
    </font>
    <font>
      <b/>
      <sz val="10"/>
      <color theme="1"/>
      <name val="Montserrat"/>
    </font>
    <font>
      <b/>
      <sz val="11"/>
      <color theme="1"/>
      <name val="Calibri"/>
      <family val="2"/>
      <scheme val="minor"/>
    </font>
    <font>
      <b/>
      <sz val="10"/>
      <color rgb="FFFFFFFF"/>
      <name val="Montserrat"/>
    </font>
    <font>
      <sz val="10"/>
      <color rgb="FFFFFFFF"/>
      <name val="Montserrat"/>
    </font>
    <font>
      <sz val="10"/>
      <color rgb="FF000000"/>
      <name val="Montserrat"/>
    </font>
    <font>
      <b/>
      <sz val="10"/>
      <color rgb="FF000000"/>
      <name val="Montserrat"/>
    </font>
    <font>
      <b/>
      <sz val="10"/>
      <color theme="0"/>
      <name val="Montserrat"/>
    </font>
    <font>
      <sz val="9"/>
      <color theme="1"/>
      <name val="Montserrat"/>
    </font>
    <font>
      <b/>
      <sz val="9"/>
      <color theme="1"/>
      <name val="Montserrat"/>
    </font>
    <font>
      <b/>
      <sz val="9"/>
      <name val="Montserrat"/>
    </font>
    <font>
      <sz val="8"/>
      <color theme="1"/>
      <name val="Montserrat"/>
    </font>
    <font>
      <b/>
      <sz val="8"/>
      <color theme="1"/>
      <name val="Montserrat"/>
    </font>
    <font>
      <b/>
      <sz val="8"/>
      <name val="Montserra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0"/>
      <name val="Montserrat"/>
    </font>
    <font>
      <b/>
      <sz val="10"/>
      <name val="Montserrat"/>
    </font>
    <font>
      <sz val="8"/>
      <color rgb="FF000000"/>
      <name val="Montserrat"/>
      <family val="3"/>
    </font>
    <font>
      <sz val="9"/>
      <color rgb="FF000000"/>
      <name val="Montserrat"/>
    </font>
    <font>
      <sz val="11"/>
      <color rgb="FF000000"/>
      <name val="Calibri"/>
      <family val="2"/>
      <scheme val="minor"/>
    </font>
    <font>
      <sz val="8"/>
      <color rgb="FFFF0000"/>
      <name val="Montserrat"/>
      <family val="3"/>
    </font>
    <font>
      <sz val="8"/>
      <name val="Montserrat"/>
      <family val="3"/>
    </font>
    <font>
      <sz val="10"/>
      <color theme="1"/>
      <name val="Calibri"/>
      <family val="2"/>
      <charset val="1"/>
    </font>
    <font>
      <b/>
      <sz val="8"/>
      <name val="Montserrat"/>
      <family val="3"/>
    </font>
    <font>
      <b/>
      <sz val="11"/>
      <name val="Calibri"/>
      <family val="2"/>
      <scheme val="minor"/>
    </font>
    <font>
      <sz val="8"/>
      <color rgb="FF000000"/>
      <name val="Montserrat Medium"/>
    </font>
    <font>
      <sz val="11"/>
      <color rgb="FF000000"/>
      <name val="Calibri"/>
      <family val="2"/>
    </font>
    <font>
      <sz val="8"/>
      <color rgb="FFFF0000"/>
      <name val="Montserrat"/>
    </font>
    <font>
      <b/>
      <sz val="10"/>
      <color theme="9"/>
      <name val="Montserrat"/>
    </font>
    <font>
      <sz val="11"/>
      <name val="Calibri"/>
      <family val="2"/>
    </font>
    <font>
      <sz val="11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7F1E5"/>
        <bgColor indexed="64"/>
      </patternFill>
    </fill>
    <fill>
      <patternFill patternType="solid">
        <fgColor rgb="FF691B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71B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9" fillId="0" borderId="0"/>
    <xf numFmtId="43" fontId="1" fillId="0" borderId="0" applyFont="0" applyFill="0" applyBorder="0" applyAlignment="0" applyProtection="0"/>
  </cellStyleXfs>
  <cellXfs count="29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16" fontId="0" fillId="0" borderId="0" xfId="0" applyNumberForma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0" xfId="2" applyFont="1" applyFill="1" applyAlignment="1">
      <alignment horizontal="center" vertical="center"/>
    </xf>
    <xf numFmtId="14" fontId="5" fillId="0" borderId="0" xfId="2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" fontId="4" fillId="0" borderId="0" xfId="2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4" fillId="0" borderId="0" xfId="2" applyNumberFormat="1" applyFont="1" applyAlignment="1">
      <alignment horizontal="center"/>
    </xf>
    <xf numFmtId="1" fontId="0" fillId="0" borderId="0" xfId="0" applyNumberForma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14" fontId="7" fillId="0" borderId="0" xfId="0" applyNumberFormat="1" applyFont="1" applyAlignment="1">
      <alignment horizontal="center"/>
    </xf>
    <xf numFmtId="14" fontId="7" fillId="0" borderId="0" xfId="2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0" xfId="2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0" fillId="0" borderId="0" xfId="0" applyAlignment="1">
      <alignment horizontal="center" wrapText="1"/>
    </xf>
    <xf numFmtId="0" fontId="4" fillId="0" borderId="0" xfId="2" applyFont="1" applyAlignment="1">
      <alignment horizontal="center" wrapText="1"/>
    </xf>
    <xf numFmtId="0" fontId="5" fillId="0" borderId="0" xfId="2" applyFont="1" applyAlignment="1">
      <alignment horizontal="center" wrapText="1"/>
    </xf>
    <xf numFmtId="0" fontId="5" fillId="7" borderId="0" xfId="2" applyFont="1" applyFill="1" applyAlignment="1">
      <alignment horizontal="center"/>
    </xf>
    <xf numFmtId="14" fontId="5" fillId="7" borderId="0" xfId="2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0" fontId="11" fillId="3" borderId="3" xfId="0" applyFont="1" applyFill="1" applyBorder="1" applyAlignment="1" applyProtection="1">
      <alignment horizontal="center" vertical="center" wrapText="1" readingOrder="1"/>
      <protection locked="0"/>
    </xf>
    <xf numFmtId="14" fontId="12" fillId="4" borderId="4" xfId="0" applyNumberFormat="1" applyFont="1" applyFill="1" applyBorder="1" applyAlignment="1" applyProtection="1">
      <alignment horizontal="center" vertical="center" wrapText="1" readingOrder="1"/>
      <protection locked="0"/>
    </xf>
    <xf numFmtId="0" fontId="13" fillId="0" borderId="0" xfId="0" applyFont="1"/>
    <xf numFmtId="0" fontId="11" fillId="3" borderId="3" xfId="0" applyFont="1" applyFill="1" applyBorder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 wrapText="1" readingOrder="1"/>
    </xf>
    <xf numFmtId="0" fontId="11" fillId="5" borderId="3" xfId="0" applyFont="1" applyFill="1" applyBorder="1" applyAlignment="1">
      <alignment horizontal="center" vertical="center" wrapText="1" readingOrder="1"/>
    </xf>
    <xf numFmtId="0" fontId="13" fillId="4" borderId="4" xfId="0" applyFont="1" applyFill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 wrapText="1" readingOrder="1"/>
    </xf>
    <xf numFmtId="3" fontId="12" fillId="4" borderId="4" xfId="0" applyNumberFormat="1" applyFont="1" applyFill="1" applyBorder="1" applyAlignment="1">
      <alignment horizontal="center" vertical="center" wrapText="1" readingOrder="1"/>
    </xf>
    <xf numFmtId="9" fontId="12" fillId="4" borderId="4" xfId="1" applyFont="1" applyFill="1" applyBorder="1" applyAlignment="1">
      <alignment horizontal="center" vertical="center" wrapText="1" readingOrder="1"/>
    </xf>
    <xf numFmtId="0" fontId="13" fillId="6" borderId="8" xfId="0" applyFont="1" applyFill="1" applyBorder="1" applyAlignment="1">
      <alignment horizontal="center" vertical="center" wrapText="1" readingOrder="1"/>
    </xf>
    <xf numFmtId="0" fontId="12" fillId="6" borderId="8" xfId="0" applyFont="1" applyFill="1" applyBorder="1" applyAlignment="1">
      <alignment horizontal="center" vertical="center" wrapText="1" readingOrder="1"/>
    </xf>
    <xf numFmtId="9" fontId="12" fillId="6" borderId="8" xfId="1" applyFont="1" applyFill="1" applyBorder="1" applyAlignment="1">
      <alignment horizontal="center" vertical="center" wrapText="1" readingOrder="1"/>
    </xf>
    <xf numFmtId="164" fontId="12" fillId="6" borderId="8" xfId="1" applyNumberFormat="1" applyFont="1" applyFill="1" applyBorder="1" applyAlignment="1">
      <alignment horizontal="center" vertical="center" wrapText="1" readingOrder="1"/>
    </xf>
    <xf numFmtId="164" fontId="12" fillId="4" borderId="4" xfId="1" applyNumberFormat="1" applyFont="1" applyFill="1" applyBorder="1" applyAlignment="1">
      <alignment horizontal="center" vertical="center" wrapText="1" readingOrder="1"/>
    </xf>
    <xf numFmtId="1" fontId="12" fillId="6" borderId="8" xfId="0" applyNumberFormat="1" applyFont="1" applyFill="1" applyBorder="1" applyAlignment="1">
      <alignment horizontal="center" vertical="center" wrapText="1" readingOrder="1"/>
    </xf>
    <xf numFmtId="0" fontId="14" fillId="5" borderId="4" xfId="0" applyFont="1" applyFill="1" applyBorder="1" applyAlignment="1">
      <alignment horizontal="center" vertical="center" wrapText="1" readingOrder="1"/>
    </xf>
    <xf numFmtId="3" fontId="14" fillId="5" borderId="4" xfId="0" applyNumberFormat="1" applyFont="1" applyFill="1" applyBorder="1" applyAlignment="1">
      <alignment horizontal="center" vertical="center" wrapText="1" readingOrder="1"/>
    </xf>
    <xf numFmtId="9" fontId="14" fillId="5" borderId="4" xfId="1" applyFont="1" applyFill="1" applyBorder="1" applyAlignment="1">
      <alignment horizontal="center" vertical="center" wrapText="1" readingOrder="1"/>
    </xf>
    <xf numFmtId="164" fontId="14" fillId="5" borderId="4" xfId="1" applyNumberFormat="1" applyFont="1" applyFill="1" applyBorder="1" applyAlignment="1">
      <alignment horizontal="center" vertical="center" wrapText="1" readingOrder="1"/>
    </xf>
    <xf numFmtId="1" fontId="12" fillId="4" borderId="4" xfId="0" applyNumberFormat="1" applyFont="1" applyFill="1" applyBorder="1" applyAlignment="1">
      <alignment horizontal="center" vertical="center" wrapText="1" readingOrder="1"/>
    </xf>
    <xf numFmtId="0" fontId="9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14" fontId="15" fillId="0" borderId="0" xfId="0" applyNumberFormat="1" applyFont="1" applyAlignment="1">
      <alignment horizontal="center"/>
    </xf>
    <xf numFmtId="14" fontId="15" fillId="0" borderId="0" xfId="2" applyNumberFormat="1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 readingOrder="1"/>
    </xf>
    <xf numFmtId="9" fontId="12" fillId="6" borderId="4" xfId="1" applyFont="1" applyFill="1" applyBorder="1" applyAlignment="1">
      <alignment horizontal="center" vertical="center" wrapText="1" readingOrder="1"/>
    </xf>
    <xf numFmtId="164" fontId="12" fillId="6" borderId="4" xfId="1" applyNumberFormat="1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/>
    </xf>
    <xf numFmtId="15" fontId="0" fillId="0" borderId="0" xfId="0" applyNumberFormat="1"/>
    <xf numFmtId="0" fontId="16" fillId="0" borderId="0" xfId="0" applyFont="1" applyAlignment="1">
      <alignment horizontal="left"/>
    </xf>
    <xf numFmtId="0" fontId="15" fillId="8" borderId="0" xfId="0" applyFont="1" applyFill="1"/>
    <xf numFmtId="1" fontId="18" fillId="0" borderId="0" xfId="2" applyNumberFormat="1" applyFont="1" applyAlignment="1">
      <alignment horizontal="center" vertical="center" wrapText="1"/>
    </xf>
    <xf numFmtId="0" fontId="18" fillId="0" borderId="0" xfId="2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18" fillId="0" borderId="0" xfId="0" applyFont="1"/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0" fillId="0" borderId="2" xfId="0" applyFont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5" fillId="7" borderId="0" xfId="2" applyFont="1" applyFill="1"/>
    <xf numFmtId="0" fontId="4" fillId="7" borderId="0" xfId="2" applyFont="1" applyFill="1" applyAlignment="1">
      <alignment horizontal="center" vertical="center"/>
    </xf>
    <xf numFmtId="1" fontId="4" fillId="7" borderId="0" xfId="2" applyNumberFormat="1" applyFont="1" applyFill="1" applyAlignment="1">
      <alignment horizontal="center" vertical="center" wrapText="1"/>
    </xf>
    <xf numFmtId="0" fontId="0" fillId="7" borderId="0" xfId="0" applyFill="1"/>
    <xf numFmtId="1" fontId="5" fillId="0" borderId="0" xfId="2" applyNumberFormat="1" applyFont="1" applyAlignment="1">
      <alignment horizontal="center"/>
    </xf>
    <xf numFmtId="1" fontId="0" fillId="7" borderId="0" xfId="0" applyNumberFormat="1" applyFill="1" applyAlignment="1">
      <alignment horizontal="center"/>
    </xf>
    <xf numFmtId="14" fontId="0" fillId="7" borderId="0" xfId="0" applyNumberFormat="1" applyFill="1" applyAlignment="1">
      <alignment horizontal="center"/>
    </xf>
    <xf numFmtId="1" fontId="4" fillId="7" borderId="0" xfId="2" applyNumberFormat="1" applyFont="1" applyFill="1" applyAlignment="1">
      <alignment horizontal="center" vertical="center"/>
    </xf>
    <xf numFmtId="1" fontId="5" fillId="7" borderId="0" xfId="2" applyNumberFormat="1" applyFont="1" applyFill="1" applyAlignment="1">
      <alignment horizontal="center"/>
    </xf>
    <xf numFmtId="0" fontId="6" fillId="7" borderId="0" xfId="0" applyFont="1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7" borderId="0" xfId="0" applyFill="1" applyProtection="1">
      <protection locked="0"/>
    </xf>
    <xf numFmtId="1" fontId="14" fillId="5" borderId="4" xfId="0" applyNumberFormat="1" applyFont="1" applyFill="1" applyBorder="1" applyAlignment="1">
      <alignment horizontal="center" vertical="center" wrapText="1" readingOrder="1"/>
    </xf>
    <xf numFmtId="0" fontId="12" fillId="9" borderId="4" xfId="0" applyFont="1" applyFill="1" applyBorder="1" applyAlignment="1">
      <alignment horizontal="center" vertical="center" wrapText="1" readingOrder="1"/>
    </xf>
    <xf numFmtId="0" fontId="8" fillId="10" borderId="0" xfId="0" applyFont="1" applyFill="1" applyAlignment="1">
      <alignment horizontal="center" vertical="center"/>
    </xf>
    <xf numFmtId="1" fontId="8" fillId="10" borderId="0" xfId="0" applyNumberFormat="1" applyFont="1" applyFill="1" applyAlignment="1">
      <alignment horizontal="center" vertical="center"/>
    </xf>
    <xf numFmtId="0" fontId="5" fillId="7" borderId="0" xfId="2" applyFont="1" applyFill="1" applyAlignment="1">
      <alignment horizontal="center" wrapText="1"/>
    </xf>
    <xf numFmtId="0" fontId="4" fillId="7" borderId="0" xfId="2" applyFont="1" applyFill="1" applyAlignment="1">
      <alignment horizontal="center" wrapText="1"/>
    </xf>
    <xf numFmtId="0" fontId="18" fillId="7" borderId="0" xfId="0" applyFont="1" applyFill="1" applyAlignment="1">
      <alignment horizontal="center"/>
    </xf>
    <xf numFmtId="0" fontId="4" fillId="7" borderId="0" xfId="2" applyFont="1" applyFill="1" applyAlignment="1">
      <alignment horizontal="center"/>
    </xf>
    <xf numFmtId="0" fontId="18" fillId="7" borderId="0" xfId="0" applyFont="1" applyFill="1"/>
    <xf numFmtId="0" fontId="0" fillId="7" borderId="0" xfId="0" applyFill="1" applyAlignment="1">
      <alignment horizontal="center" vertical="center"/>
    </xf>
    <xf numFmtId="0" fontId="19" fillId="0" borderId="0" xfId="2" applyFont="1"/>
    <xf numFmtId="0" fontId="0" fillId="11" borderId="0" xfId="0" applyFill="1" applyAlignment="1">
      <alignment horizontal="center"/>
    </xf>
    <xf numFmtId="0" fontId="0" fillId="11" borderId="0" xfId="0" applyFill="1"/>
    <xf numFmtId="0" fontId="5" fillId="11" borderId="0" xfId="2" applyFont="1" applyFill="1"/>
    <xf numFmtId="0" fontId="4" fillId="11" borderId="0" xfId="2" applyFont="1" applyFill="1" applyAlignment="1">
      <alignment horizontal="center" vertical="center"/>
    </xf>
    <xf numFmtId="0" fontId="5" fillId="11" borderId="0" xfId="2" applyFont="1" applyFill="1" applyAlignment="1">
      <alignment horizontal="center"/>
    </xf>
    <xf numFmtId="0" fontId="4" fillId="11" borderId="0" xfId="2" applyFont="1" applyFill="1" applyAlignment="1">
      <alignment horizontal="center" wrapText="1"/>
    </xf>
    <xf numFmtId="14" fontId="5" fillId="11" borderId="0" xfId="2" applyNumberFormat="1" applyFont="1" applyFill="1" applyAlignment="1">
      <alignment horizontal="center"/>
    </xf>
    <xf numFmtId="0" fontId="4" fillId="11" borderId="0" xfId="2" applyFont="1" applyFill="1" applyAlignment="1">
      <alignment horizontal="center"/>
    </xf>
    <xf numFmtId="0" fontId="5" fillId="11" borderId="0" xfId="2" applyFont="1" applyFill="1" applyAlignment="1">
      <alignment horizontal="center" wrapText="1"/>
    </xf>
    <xf numFmtId="0" fontId="18" fillId="11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5" fillId="11" borderId="0" xfId="2" applyFont="1" applyFill="1" applyAlignment="1">
      <alignment horizontal="center" vertical="center"/>
    </xf>
    <xf numFmtId="0" fontId="18" fillId="11" borderId="0" xfId="0" applyFont="1" applyFill="1"/>
    <xf numFmtId="0" fontId="7" fillId="0" borderId="0" xfId="0" applyFont="1" applyAlignment="1">
      <alignment horizontal="left" vertical="center"/>
    </xf>
    <xf numFmtId="0" fontId="0" fillId="10" borderId="0" xfId="0" applyFill="1" applyAlignment="1">
      <alignment horizontal="center"/>
    </xf>
    <xf numFmtId="0" fontId="24" fillId="6" borderId="8" xfId="0" applyFont="1" applyFill="1" applyBorder="1" applyAlignment="1">
      <alignment horizontal="center" vertical="center" wrapText="1" readingOrder="1"/>
    </xf>
    <xf numFmtId="3" fontId="7" fillId="0" borderId="0" xfId="0" applyNumberFormat="1" applyFont="1"/>
    <xf numFmtId="0" fontId="5" fillId="7" borderId="0" xfId="2" applyFont="1" applyFill="1" applyAlignment="1">
      <alignment horizontal="center" vertical="center"/>
    </xf>
    <xf numFmtId="1" fontId="4" fillId="7" borderId="0" xfId="2" applyNumberFormat="1" applyFont="1" applyFill="1" applyAlignment="1">
      <alignment horizontal="center"/>
    </xf>
    <xf numFmtId="0" fontId="25" fillId="4" borderId="4" xfId="0" applyFont="1" applyFill="1" applyBorder="1" applyAlignment="1">
      <alignment horizontal="center" vertical="center" wrapText="1" readingOrder="1"/>
    </xf>
    <xf numFmtId="0" fontId="24" fillId="4" borderId="4" xfId="0" applyFont="1" applyFill="1" applyBorder="1" applyAlignment="1">
      <alignment horizontal="center" vertical="center" wrapText="1" readingOrder="1"/>
    </xf>
    <xf numFmtId="1" fontId="24" fillId="4" borderId="4" xfId="0" applyNumberFormat="1" applyFont="1" applyFill="1" applyBorder="1" applyAlignment="1">
      <alignment horizontal="center" vertical="center" wrapText="1" readingOrder="1"/>
    </xf>
    <xf numFmtId="9" fontId="24" fillId="4" borderId="4" xfId="1" applyFont="1" applyFill="1" applyBorder="1" applyAlignment="1">
      <alignment horizontal="center" vertical="center" wrapText="1" readingOrder="1"/>
    </xf>
    <xf numFmtId="164" fontId="24" fillId="4" borderId="4" xfId="1" applyNumberFormat="1" applyFont="1" applyFill="1" applyBorder="1" applyAlignment="1">
      <alignment horizontal="center" vertical="center" wrapText="1" readingOrder="1"/>
    </xf>
    <xf numFmtId="0" fontId="24" fillId="0" borderId="0" xfId="0" applyFont="1"/>
    <xf numFmtId="1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/>
    </xf>
    <xf numFmtId="1" fontId="4" fillId="11" borderId="0" xfId="2" applyNumberFormat="1" applyFont="1" applyFill="1" applyAlignment="1">
      <alignment horizontal="center" vertical="center"/>
    </xf>
    <xf numFmtId="1" fontId="5" fillId="11" borderId="0" xfId="2" applyNumberFormat="1" applyFont="1" applyFill="1" applyAlignment="1">
      <alignment horizontal="center"/>
    </xf>
    <xf numFmtId="0" fontId="6" fillId="11" borderId="0" xfId="0" applyFont="1" applyFill="1" applyAlignment="1" applyProtection="1">
      <alignment horizontal="center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0" fillId="0" borderId="0" xfId="0" pivotButton="1"/>
    <xf numFmtId="1" fontId="24" fillId="6" borderId="8" xfId="0" applyNumberFormat="1" applyFont="1" applyFill="1" applyBorder="1" applyAlignment="1">
      <alignment horizontal="center" vertical="center" wrapText="1" readingOrder="1"/>
    </xf>
    <xf numFmtId="49" fontId="5" fillId="0" borderId="0" xfId="2" applyNumberFormat="1" applyFont="1" applyAlignment="1">
      <alignment horizontal="center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1" fontId="7" fillId="0" borderId="0" xfId="0" applyNumberFormat="1" applyFont="1"/>
    <xf numFmtId="3" fontId="24" fillId="4" borderId="4" xfId="0" applyNumberFormat="1" applyFont="1" applyFill="1" applyBorder="1" applyAlignment="1">
      <alignment horizontal="center" vertical="center" wrapText="1" readingOrder="1"/>
    </xf>
    <xf numFmtId="0" fontId="28" fillId="0" borderId="0" xfId="0" applyFont="1" applyAlignment="1" applyProtection="1">
      <alignment horizontal="center"/>
      <protection locked="0"/>
    </xf>
    <xf numFmtId="0" fontId="0" fillId="10" borderId="0" xfId="0" applyFill="1"/>
    <xf numFmtId="0" fontId="5" fillId="0" borderId="0" xfId="2" applyFont="1" applyAlignment="1">
      <alignment horizontal="left"/>
    </xf>
    <xf numFmtId="0" fontId="5" fillId="0" borderId="0" xfId="0" applyFont="1" applyAlignment="1">
      <alignment horizontal="left"/>
    </xf>
    <xf numFmtId="0" fontId="29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2" applyFont="1"/>
    <xf numFmtId="0" fontId="30" fillId="0" borderId="0" xfId="2" applyFont="1" applyAlignment="1">
      <alignment horizontal="left"/>
    </xf>
    <xf numFmtId="0" fontId="4" fillId="10" borderId="0" xfId="2" applyFont="1" applyFill="1" applyAlignment="1">
      <alignment horizontal="center" vertical="center"/>
    </xf>
    <xf numFmtId="0" fontId="5" fillId="10" borderId="0" xfId="2" applyFont="1" applyFill="1"/>
    <xf numFmtId="0" fontId="5" fillId="10" borderId="0" xfId="2" applyFont="1" applyFill="1" applyAlignment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10" borderId="0" xfId="0" applyFont="1" applyFill="1"/>
    <xf numFmtId="0" fontId="9" fillId="0" borderId="0" xfId="0" applyFont="1" applyAlignment="1" applyProtection="1">
      <alignment horizontal="center"/>
      <protection locked="0"/>
    </xf>
    <xf numFmtId="0" fontId="0" fillId="13" borderId="0" xfId="0" applyFill="1" applyAlignment="1">
      <alignment horizontal="center"/>
    </xf>
    <xf numFmtId="15" fontId="31" fillId="0" borderId="15" xfId="0" applyNumberFormat="1" applyFont="1" applyBorder="1"/>
    <xf numFmtId="14" fontId="5" fillId="10" borderId="0" xfId="2" applyNumberFormat="1" applyFont="1" applyFill="1" applyAlignment="1">
      <alignment horizontal="center"/>
    </xf>
    <xf numFmtId="0" fontId="2" fillId="10" borderId="0" xfId="0" applyFont="1" applyFill="1"/>
    <xf numFmtId="0" fontId="32" fillId="2" borderId="0" xfId="2" applyFont="1" applyFill="1" applyAlignment="1">
      <alignment horizontal="center" vertical="center"/>
    </xf>
    <xf numFmtId="0" fontId="32" fillId="0" borderId="0" xfId="2" applyFont="1" applyAlignment="1">
      <alignment horizontal="center"/>
    </xf>
    <xf numFmtId="0" fontId="32" fillId="7" borderId="0" xfId="2" applyFont="1" applyFill="1" applyAlignment="1">
      <alignment horizontal="center" vertical="center"/>
    </xf>
    <xf numFmtId="0" fontId="32" fillId="7" borderId="0" xfId="2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32" fillId="0" borderId="0" xfId="2" applyFont="1"/>
    <xf numFmtId="14" fontId="32" fillId="0" borderId="0" xfId="2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7" borderId="0" xfId="0" applyFont="1" applyFill="1"/>
    <xf numFmtId="0" fontId="32" fillId="7" borderId="0" xfId="2" applyFont="1" applyFill="1"/>
    <xf numFmtId="14" fontId="32" fillId="7" borderId="0" xfId="2" applyNumberFormat="1" applyFont="1" applyFill="1" applyAlignment="1">
      <alignment horizontal="center"/>
    </xf>
    <xf numFmtId="0" fontId="34" fillId="0" borderId="16" xfId="0" applyFont="1" applyBorder="1" applyAlignment="1">
      <alignment horizontal="left" vertical="center" wrapText="1" readingOrder="1"/>
    </xf>
    <xf numFmtId="0" fontId="34" fillId="0" borderId="17" xfId="0" applyFont="1" applyBorder="1" applyAlignment="1">
      <alignment horizontal="left" vertical="center" wrapText="1" readingOrder="1"/>
    </xf>
    <xf numFmtId="0" fontId="34" fillId="0" borderId="18" xfId="0" applyFont="1" applyBorder="1" applyAlignment="1">
      <alignment horizontal="left" vertical="center" wrapText="1" readingOrder="1"/>
    </xf>
    <xf numFmtId="0" fontId="34" fillId="0" borderId="20" xfId="0" applyFont="1" applyBorder="1" applyAlignment="1">
      <alignment horizontal="left" vertical="center" wrapText="1" readingOrder="1"/>
    </xf>
    <xf numFmtId="0" fontId="34" fillId="0" borderId="21" xfId="0" applyFont="1" applyBorder="1" applyAlignment="1">
      <alignment horizontal="left" vertical="center" wrapText="1" readingOrder="1"/>
    </xf>
    <xf numFmtId="0" fontId="5" fillId="0" borderId="19" xfId="2" applyFont="1" applyBorder="1"/>
    <xf numFmtId="0" fontId="35" fillId="0" borderId="0" xfId="0" applyFont="1"/>
    <xf numFmtId="14" fontId="0" fillId="0" borderId="0" xfId="0" applyNumberFormat="1"/>
    <xf numFmtId="0" fontId="27" fillId="0" borderId="0" xfId="0" applyFont="1"/>
    <xf numFmtId="0" fontId="35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30" fillId="0" borderId="0" xfId="2" applyFont="1" applyAlignment="1">
      <alignment horizontal="center"/>
    </xf>
    <xf numFmtId="0" fontId="30" fillId="2" borderId="0" xfId="2" applyFont="1" applyFill="1" applyAlignment="1">
      <alignment horizontal="center" vertical="center"/>
    </xf>
    <xf numFmtId="14" fontId="30" fillId="0" borderId="0" xfId="2" applyNumberFormat="1" applyFont="1" applyAlignment="1">
      <alignment horizontal="center"/>
    </xf>
    <xf numFmtId="0" fontId="2" fillId="12" borderId="0" xfId="0" applyFont="1" applyFill="1"/>
    <xf numFmtId="0" fontId="36" fillId="0" borderId="0" xfId="0" applyFont="1" applyAlignment="1">
      <alignment horizontal="center"/>
    </xf>
    <xf numFmtId="0" fontId="36" fillId="0" borderId="0" xfId="0" applyFont="1"/>
    <xf numFmtId="0" fontId="28" fillId="0" borderId="0" xfId="0" applyFont="1"/>
    <xf numFmtId="0" fontId="13" fillId="4" borderId="4" xfId="0" applyFont="1" applyFill="1" applyBorder="1" applyAlignment="1">
      <alignment horizontal="center" wrapText="1" readingOrder="1"/>
    </xf>
    <xf numFmtId="0" fontId="12" fillId="4" borderId="4" xfId="0" applyFont="1" applyFill="1" applyBorder="1" applyAlignment="1">
      <alignment horizontal="center" wrapText="1" readingOrder="1"/>
    </xf>
    <xf numFmtId="3" fontId="12" fillId="4" borderId="4" xfId="0" applyNumberFormat="1" applyFont="1" applyFill="1" applyBorder="1" applyAlignment="1">
      <alignment horizontal="center" wrapText="1" readingOrder="1"/>
    </xf>
    <xf numFmtId="9" fontId="12" fillId="4" borderId="4" xfId="1" applyFont="1" applyFill="1" applyBorder="1" applyAlignment="1">
      <alignment horizontal="center" wrapText="1" readingOrder="1"/>
    </xf>
    <xf numFmtId="0" fontId="13" fillId="6" borderId="8" xfId="0" applyFont="1" applyFill="1" applyBorder="1" applyAlignment="1">
      <alignment horizontal="center" wrapText="1" readingOrder="1"/>
    </xf>
    <xf numFmtId="0" fontId="12" fillId="6" borderId="8" xfId="0" applyFont="1" applyFill="1" applyBorder="1" applyAlignment="1">
      <alignment horizontal="center" wrapText="1" readingOrder="1"/>
    </xf>
    <xf numFmtId="3" fontId="12" fillId="6" borderId="8" xfId="0" applyNumberFormat="1" applyFont="1" applyFill="1" applyBorder="1" applyAlignment="1">
      <alignment horizontal="center" wrapText="1" readingOrder="1"/>
    </xf>
    <xf numFmtId="0" fontId="24" fillId="6" borderId="8" xfId="0" applyFont="1" applyFill="1" applyBorder="1" applyAlignment="1">
      <alignment horizontal="center" wrapText="1" readingOrder="1"/>
    </xf>
    <xf numFmtId="9" fontId="12" fillId="6" borderId="8" xfId="1" applyFont="1" applyFill="1" applyBorder="1" applyAlignment="1">
      <alignment horizontal="center" wrapText="1" readingOrder="1"/>
    </xf>
    <xf numFmtId="164" fontId="12" fillId="6" borderId="8" xfId="1" applyNumberFormat="1" applyFont="1" applyFill="1" applyBorder="1" applyAlignment="1">
      <alignment horizontal="center" wrapText="1" readingOrder="1"/>
    </xf>
    <xf numFmtId="164" fontId="12" fillId="4" borderId="4" xfId="1" applyNumberFormat="1" applyFont="1" applyFill="1" applyBorder="1" applyAlignment="1">
      <alignment horizontal="center" wrapText="1" readingOrder="1"/>
    </xf>
    <xf numFmtId="1" fontId="12" fillId="6" borderId="8" xfId="0" applyNumberFormat="1" applyFont="1" applyFill="1" applyBorder="1" applyAlignment="1">
      <alignment horizontal="center" wrapText="1" readingOrder="1"/>
    </xf>
    <xf numFmtId="0" fontId="14" fillId="5" borderId="4" xfId="0" applyFont="1" applyFill="1" applyBorder="1" applyAlignment="1">
      <alignment horizontal="center" wrapText="1" readingOrder="1"/>
    </xf>
    <xf numFmtId="3" fontId="14" fillId="5" borderId="4" xfId="0" applyNumberFormat="1" applyFont="1" applyFill="1" applyBorder="1" applyAlignment="1">
      <alignment horizontal="center" wrapText="1" readingOrder="1"/>
    </xf>
    <xf numFmtId="9" fontId="14" fillId="5" borderId="4" xfId="1" applyFont="1" applyFill="1" applyBorder="1" applyAlignment="1">
      <alignment horizontal="center" wrapText="1" readingOrder="1"/>
    </xf>
    <xf numFmtId="164" fontId="14" fillId="5" borderId="4" xfId="1" applyNumberFormat="1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0" fontId="35" fillId="0" borderId="22" xfId="0" applyFont="1" applyBorder="1"/>
    <xf numFmtId="15" fontId="35" fillId="0" borderId="22" xfId="0" applyNumberFormat="1" applyFont="1" applyBorder="1"/>
    <xf numFmtId="0" fontId="35" fillId="14" borderId="22" xfId="0" applyFont="1" applyFill="1" applyBorder="1"/>
    <xf numFmtId="15" fontId="35" fillId="14" borderId="22" xfId="0" applyNumberFormat="1" applyFont="1" applyFill="1" applyBorder="1"/>
    <xf numFmtId="0" fontId="35" fillId="0" borderId="19" xfId="0" applyFont="1" applyBorder="1"/>
    <xf numFmtId="0" fontId="18" fillId="10" borderId="0" xfId="0" applyFont="1" applyFill="1"/>
    <xf numFmtId="0" fontId="2" fillId="7" borderId="0" xfId="0" applyFont="1" applyFill="1"/>
    <xf numFmtId="0" fontId="5" fillId="15" borderId="0" xfId="2" applyFont="1" applyFill="1" applyAlignment="1">
      <alignment horizontal="center"/>
    </xf>
    <xf numFmtId="14" fontId="5" fillId="15" borderId="0" xfId="2" applyNumberFormat="1" applyFont="1" applyFill="1" applyAlignment="1">
      <alignment horizontal="center"/>
    </xf>
    <xf numFmtId="14" fontId="0" fillId="15" borderId="0" xfId="0" applyNumberFormat="1" applyFill="1"/>
    <xf numFmtId="0" fontId="5" fillId="0" borderId="0" xfId="0" applyFont="1"/>
    <xf numFmtId="0" fontId="13" fillId="9" borderId="4" xfId="0" applyFont="1" applyFill="1" applyBorder="1" applyAlignment="1">
      <alignment horizontal="center" wrapText="1" readingOrder="1"/>
    </xf>
    <xf numFmtId="0" fontId="12" fillId="9" borderId="4" xfId="0" applyFont="1" applyFill="1" applyBorder="1" applyAlignment="1">
      <alignment horizontal="center" wrapText="1" readingOrder="1"/>
    </xf>
    <xf numFmtId="3" fontId="12" fillId="9" borderId="4" xfId="0" applyNumberFormat="1" applyFont="1" applyFill="1" applyBorder="1" applyAlignment="1">
      <alignment horizontal="center" wrapText="1" readingOrder="1"/>
    </xf>
    <xf numFmtId="9" fontId="12" fillId="9" borderId="4" xfId="1" applyFont="1" applyFill="1" applyBorder="1" applyAlignment="1">
      <alignment horizontal="center" wrapText="1" readingOrder="1"/>
    </xf>
    <xf numFmtId="164" fontId="12" fillId="9" borderId="4" xfId="1" applyNumberFormat="1" applyFont="1" applyFill="1" applyBorder="1" applyAlignment="1">
      <alignment horizontal="center" wrapText="1" readingOrder="1"/>
    </xf>
    <xf numFmtId="0" fontId="26" fillId="0" borderId="0" xfId="0" applyFont="1"/>
    <xf numFmtId="14" fontId="27" fillId="0" borderId="0" xfId="0" applyNumberFormat="1" applyFont="1"/>
    <xf numFmtId="0" fontId="28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9" fontId="7" fillId="0" borderId="0" xfId="1" applyFont="1" applyAlignment="1">
      <alignment horizontal="center"/>
    </xf>
    <xf numFmtId="3" fontId="37" fillId="5" borderId="4" xfId="0" applyNumberFormat="1" applyFont="1" applyFill="1" applyBorder="1" applyAlignment="1">
      <alignment horizontal="center" vertical="center" wrapText="1" readingOrder="1"/>
    </xf>
    <xf numFmtId="3" fontId="7" fillId="0" borderId="0" xfId="0" applyNumberFormat="1" applyFont="1" applyAlignment="1">
      <alignment horizontal="center"/>
    </xf>
    <xf numFmtId="0" fontId="38" fillId="0" borderId="0" xfId="0" applyFont="1"/>
    <xf numFmtId="0" fontId="35" fillId="0" borderId="0" xfId="0" applyFont="1" applyAlignment="1">
      <alignment horizontal="center"/>
    </xf>
    <xf numFmtId="0" fontId="24" fillId="9" borderId="4" xfId="0" applyFont="1" applyFill="1" applyBorder="1" applyAlignment="1">
      <alignment horizontal="center" vertical="center" wrapText="1" readingOrder="1"/>
    </xf>
    <xf numFmtId="0" fontId="5" fillId="0" borderId="0" xfId="2" applyFont="1" applyAlignment="1">
      <alignment vertical="center"/>
    </xf>
    <xf numFmtId="0" fontId="15" fillId="0" borderId="0" xfId="0" applyFont="1" applyAlignment="1">
      <alignment vertical="center"/>
    </xf>
    <xf numFmtId="0" fontId="5" fillId="0" borderId="0" xfId="2" applyFont="1" applyAlignment="1">
      <alignment horizontal="center" vertical="center" wrapText="1"/>
    </xf>
    <xf numFmtId="14" fontId="15" fillId="0" borderId="0" xfId="0" applyNumberFormat="1" applyFont="1" applyAlignment="1">
      <alignment horizontal="center" vertical="center"/>
    </xf>
    <xf numFmtId="0" fontId="18" fillId="0" borderId="0" xfId="2" applyFont="1" applyAlignment="1">
      <alignment horizontal="center" wrapText="1"/>
    </xf>
    <xf numFmtId="0" fontId="15" fillId="8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7" fillId="8" borderId="0" xfId="0" applyFont="1" applyFill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10" fillId="3" borderId="9" xfId="0" applyFont="1" applyFill="1" applyBorder="1" applyAlignment="1">
      <alignment horizontal="center" wrapText="1" readingOrder="1"/>
    </xf>
    <xf numFmtId="0" fontId="10" fillId="3" borderId="10" xfId="0" applyFont="1" applyFill="1" applyBorder="1" applyAlignment="1">
      <alignment horizontal="center" wrapText="1" readingOrder="1"/>
    </xf>
    <xf numFmtId="0" fontId="10" fillId="3" borderId="11" xfId="0" applyFont="1" applyFill="1" applyBorder="1" applyAlignment="1">
      <alignment horizontal="center" wrapText="1" readingOrder="1"/>
    </xf>
    <xf numFmtId="0" fontId="10" fillId="3" borderId="9" xfId="0" applyFont="1" applyFill="1" applyBorder="1" applyAlignment="1">
      <alignment horizontal="center" vertical="center" wrapText="1" readingOrder="1"/>
    </xf>
    <xf numFmtId="0" fontId="10" fillId="3" borderId="10" xfId="0" applyFont="1" applyFill="1" applyBorder="1" applyAlignment="1">
      <alignment horizontal="center" vertical="center" wrapText="1" readingOrder="1"/>
    </xf>
    <xf numFmtId="0" fontId="10" fillId="3" borderId="11" xfId="0" applyFont="1" applyFill="1" applyBorder="1" applyAlignment="1">
      <alignment horizontal="center" vertical="center" wrapText="1" readingOrder="1"/>
    </xf>
    <xf numFmtId="0" fontId="10" fillId="3" borderId="13" xfId="0" applyFont="1" applyFill="1" applyBorder="1" applyAlignment="1" applyProtection="1">
      <alignment horizontal="left" vertical="center" wrapText="1" readingOrder="1"/>
      <protection locked="0"/>
    </xf>
    <xf numFmtId="0" fontId="10" fillId="3" borderId="14" xfId="0" applyFont="1" applyFill="1" applyBorder="1" applyAlignment="1" applyProtection="1">
      <alignment horizontal="left" vertical="center" wrapText="1" readingOrder="1"/>
      <protection locked="0"/>
    </xf>
    <xf numFmtId="0" fontId="10" fillId="3" borderId="12" xfId="0" applyFont="1" applyFill="1" applyBorder="1" applyAlignment="1" applyProtection="1">
      <alignment horizontal="right" vertical="center" wrapText="1" readingOrder="1"/>
      <protection locked="0"/>
    </xf>
    <xf numFmtId="0" fontId="10" fillId="3" borderId="13" xfId="0" applyFont="1" applyFill="1" applyBorder="1" applyAlignment="1" applyProtection="1">
      <alignment horizontal="right" vertical="center" wrapText="1" readingOrder="1"/>
      <protection locked="0"/>
    </xf>
    <xf numFmtId="0" fontId="11" fillId="3" borderId="5" xfId="0" applyFont="1" applyFill="1" applyBorder="1" applyAlignment="1">
      <alignment horizontal="center" wrapText="1" readingOrder="1"/>
    </xf>
    <xf numFmtId="0" fontId="11" fillId="3" borderId="6" xfId="0" applyFont="1" applyFill="1" applyBorder="1" applyAlignment="1">
      <alignment horizont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3" borderId="6" xfId="0" applyFont="1" applyFill="1" applyBorder="1" applyAlignment="1">
      <alignment horizontal="center" vertical="center" wrapText="1" readingOrder="1"/>
    </xf>
    <xf numFmtId="0" fontId="10" fillId="3" borderId="13" xfId="0" applyFont="1" applyFill="1" applyBorder="1" applyAlignment="1" applyProtection="1">
      <alignment horizontal="left" wrapText="1" readingOrder="1"/>
      <protection locked="0"/>
    </xf>
    <xf numFmtId="0" fontId="10" fillId="3" borderId="14" xfId="0" applyFont="1" applyFill="1" applyBorder="1" applyAlignment="1" applyProtection="1">
      <alignment horizontal="left" wrapText="1" readingOrder="1"/>
      <protection locked="0"/>
    </xf>
    <xf numFmtId="0" fontId="10" fillId="3" borderId="12" xfId="0" applyFont="1" applyFill="1" applyBorder="1" applyAlignment="1" applyProtection="1">
      <alignment horizontal="right" wrapText="1" readingOrder="1"/>
      <protection locked="0"/>
    </xf>
    <xf numFmtId="0" fontId="10" fillId="3" borderId="13" xfId="0" applyFont="1" applyFill="1" applyBorder="1" applyAlignment="1" applyProtection="1">
      <alignment horizontal="right" wrapText="1" readingOrder="1"/>
      <protection locked="0"/>
    </xf>
  </cellXfs>
  <cellStyles count="5">
    <cellStyle name="Millares 2" xfId="4" xr:uid="{697B4926-699B-4E50-AD6B-60F46E042343}"/>
    <cellStyle name="Normal" xfId="0" builtinId="0"/>
    <cellStyle name="Normal 2" xfId="2" xr:uid="{00000000-0005-0000-0000-000001000000}"/>
    <cellStyle name="Normal 2 2" xfId="3" xr:uid="{4D2AF260-1068-4915-B079-E06CDE8A0A01}"/>
    <cellStyle name="Porcentaje" xfId="1" builtinId="5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377562817339549E-2"/>
          <c:y val="3.5994908622383207E-2"/>
          <c:w val="0.96524487436532092"/>
          <c:h val="0.83242270549656261"/>
        </c:manualLayout>
      </c:layout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Seguimiento!$B$8:$B$15</c:f>
              <c:strCache>
                <c:ptCount val="8"/>
                <c:pt idx="0">
                  <c:v>Norte</c:v>
                </c:pt>
                <c:pt idx="1">
                  <c:v>Sur</c:v>
                </c:pt>
                <c:pt idx="2">
                  <c:v>Cd. Carmen</c:v>
                </c:pt>
                <c:pt idx="3">
                  <c:v>Dos Bocas</c:v>
                </c:pt>
                <c:pt idx="4">
                  <c:v>Perforación </c:v>
                </c:pt>
                <c:pt idx="5">
                  <c:v>Cd. Méx.</c:v>
                </c:pt>
                <c:pt idx="6">
                  <c:v>Sede</c:v>
                </c:pt>
                <c:pt idx="7">
                  <c:v>Total PEP</c:v>
                </c:pt>
              </c:strCache>
            </c:strRef>
          </c:cat>
          <c:val>
            <c:numRef>
              <c:f>Seguimiento!$C$8:$C$15</c:f>
            </c:numRef>
          </c:val>
          <c:extLst>
            <c:ext xmlns:c16="http://schemas.microsoft.com/office/drawing/2014/chart" uri="{C3380CC4-5D6E-409C-BE32-E72D297353CC}">
              <c16:uniqueId val="{00000000-4C24-4AEF-85AA-7BF5DF856C94}"/>
            </c:ext>
          </c:extLst>
        </c:ser>
        <c:ser>
          <c:idx val="3"/>
          <c:order val="1"/>
          <c:tx>
            <c:v>PICADE Ajustado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Seguimiento!$G$8:$G$15</c:f>
              <c:numCache>
                <c:formatCode>General</c:formatCode>
                <c:ptCount val="8"/>
                <c:pt idx="0" formatCode="#,##0">
                  <c:v>198</c:v>
                </c:pt>
                <c:pt idx="1">
                  <c:v>139</c:v>
                </c:pt>
                <c:pt idx="2">
                  <c:v>164</c:v>
                </c:pt>
                <c:pt idx="3" formatCode="0">
                  <c:v>88</c:v>
                </c:pt>
                <c:pt idx="4">
                  <c:v>80</c:v>
                </c:pt>
                <c:pt idx="5" formatCode="0">
                  <c:v>0</c:v>
                </c:pt>
                <c:pt idx="6">
                  <c:v>3</c:v>
                </c:pt>
                <c:pt idx="7" formatCode="#,##0">
                  <c:v>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5-4EE9-9A1A-37000C4F9023}"/>
            </c:ext>
          </c:extLst>
        </c:ser>
        <c:ser>
          <c:idx val="1"/>
          <c:order val="2"/>
          <c:tx>
            <c:strRef>
              <c:f>Seguimiento!$I$7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Seguimiento!$B$8:$B$15</c:f>
              <c:strCache>
                <c:ptCount val="8"/>
                <c:pt idx="0">
                  <c:v>Norte</c:v>
                </c:pt>
                <c:pt idx="1">
                  <c:v>Sur</c:v>
                </c:pt>
                <c:pt idx="2">
                  <c:v>Cd. Carmen</c:v>
                </c:pt>
                <c:pt idx="3">
                  <c:v>Dos Bocas</c:v>
                </c:pt>
                <c:pt idx="4">
                  <c:v>Perforación </c:v>
                </c:pt>
                <c:pt idx="5">
                  <c:v>Cd. Méx.</c:v>
                </c:pt>
                <c:pt idx="6">
                  <c:v>Sede</c:v>
                </c:pt>
                <c:pt idx="7">
                  <c:v>Total PEP</c:v>
                </c:pt>
              </c:strCache>
            </c:strRef>
          </c:cat>
          <c:val>
            <c:numRef>
              <c:f>Seguimiento!$I$8:$I$15</c:f>
              <c:numCache>
                <c:formatCode>General</c:formatCode>
                <c:ptCount val="8"/>
                <c:pt idx="0">
                  <c:v>198</c:v>
                </c:pt>
                <c:pt idx="1">
                  <c:v>139</c:v>
                </c:pt>
                <c:pt idx="2">
                  <c:v>164</c:v>
                </c:pt>
                <c:pt idx="3">
                  <c:v>88</c:v>
                </c:pt>
                <c:pt idx="4">
                  <c:v>80</c:v>
                </c:pt>
                <c:pt idx="5">
                  <c:v>0</c:v>
                </c:pt>
                <c:pt idx="6">
                  <c:v>3</c:v>
                </c:pt>
                <c:pt idx="7">
                  <c:v>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4-4AEF-85AA-7BF5DF856C94}"/>
            </c:ext>
          </c:extLst>
        </c:ser>
        <c:ser>
          <c:idx val="2"/>
          <c:order val="3"/>
          <c:tx>
            <c:strRef>
              <c:f>Seguimiento!$K$7</c:f>
              <c:strCache>
                <c:ptCount val="1"/>
                <c:pt idx="0">
                  <c:v>Realizados en prog.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Seguimiento!$B$8:$B$15</c:f>
              <c:strCache>
                <c:ptCount val="8"/>
                <c:pt idx="0">
                  <c:v>Norte</c:v>
                </c:pt>
                <c:pt idx="1">
                  <c:v>Sur</c:v>
                </c:pt>
                <c:pt idx="2">
                  <c:v>Cd. Carmen</c:v>
                </c:pt>
                <c:pt idx="3">
                  <c:v>Dos Bocas</c:v>
                </c:pt>
                <c:pt idx="4">
                  <c:v>Perforación </c:v>
                </c:pt>
                <c:pt idx="5">
                  <c:v>Cd. Méx.</c:v>
                </c:pt>
                <c:pt idx="6">
                  <c:v>Sede</c:v>
                </c:pt>
                <c:pt idx="7">
                  <c:v>Total PEP</c:v>
                </c:pt>
              </c:strCache>
            </c:strRef>
          </c:cat>
          <c:val>
            <c:numRef>
              <c:f>Seguimiento!$K$8:$K$15</c:f>
              <c:numCache>
                <c:formatCode>General</c:formatCode>
                <c:ptCount val="8"/>
                <c:pt idx="0">
                  <c:v>167</c:v>
                </c:pt>
                <c:pt idx="1">
                  <c:v>69</c:v>
                </c:pt>
                <c:pt idx="2">
                  <c:v>95</c:v>
                </c:pt>
                <c:pt idx="3">
                  <c:v>83</c:v>
                </c:pt>
                <c:pt idx="4">
                  <c:v>32</c:v>
                </c:pt>
                <c:pt idx="5">
                  <c:v>0</c:v>
                </c:pt>
                <c:pt idx="6">
                  <c:v>0</c:v>
                </c:pt>
                <c:pt idx="7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4-4AEF-85AA-7BF5DF856C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900656352"/>
        <c:axId val="1900647648"/>
      </c:barChart>
      <c:catAx>
        <c:axId val="19006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47648"/>
        <c:crosses val="autoZero"/>
        <c:auto val="1"/>
        <c:lblAlgn val="ctr"/>
        <c:lblOffset val="100"/>
        <c:noMultiLvlLbl val="0"/>
      </c:catAx>
      <c:valAx>
        <c:axId val="1900647648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006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8378794049385118E-2"/>
          <c:y val="0.38014460240514286"/>
          <c:w val="0.7894667837278343"/>
          <c:h val="6.9659952921658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Región Norte</a:t>
            </a:r>
          </a:p>
        </c:rich>
      </c:tx>
      <c:layout>
        <c:manualLayout>
          <c:xMode val="edge"/>
          <c:yMode val="edge"/>
          <c:x val="0.405724128233970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Seguimiento!$B$21:$B$25</c:f>
              <c:strCache>
                <c:ptCount val="5"/>
                <c:pt idx="0">
                  <c:v>Reynosa</c:v>
                </c:pt>
                <c:pt idx="1">
                  <c:v>Altamira</c:v>
                </c:pt>
                <c:pt idx="2">
                  <c:v>Naranjos-Cerro A</c:v>
                </c:pt>
                <c:pt idx="3">
                  <c:v>Poza Rica</c:v>
                </c:pt>
                <c:pt idx="4">
                  <c:v>Veracruz</c:v>
                </c:pt>
              </c:strCache>
            </c:strRef>
          </c:cat>
          <c:val>
            <c:numRef>
              <c:f>Seguimiento!$C$21:$C$25</c:f>
            </c:numRef>
          </c:val>
          <c:extLst>
            <c:ext xmlns:c16="http://schemas.microsoft.com/office/drawing/2014/chart" uri="{C3380CC4-5D6E-409C-BE32-E72D297353CC}">
              <c16:uniqueId val="{00000000-BDFB-4B2B-B545-66EFF6EC4F56}"/>
            </c:ext>
          </c:extLst>
        </c:ser>
        <c:ser>
          <c:idx val="1"/>
          <c:order val="1"/>
          <c:tx>
            <c:v>Vencidos antes de PICADE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Seguimiento!$B$21:$B$25</c:f>
              <c:strCache>
                <c:ptCount val="5"/>
                <c:pt idx="0">
                  <c:v>Reynosa</c:v>
                </c:pt>
                <c:pt idx="1">
                  <c:v>Altamira</c:v>
                </c:pt>
                <c:pt idx="2">
                  <c:v>Naranjos-Cerro A</c:v>
                </c:pt>
                <c:pt idx="3">
                  <c:v>Poza Rica</c:v>
                </c:pt>
                <c:pt idx="4">
                  <c:v>Veracruz</c:v>
                </c:pt>
              </c:strCache>
            </c:strRef>
          </c:cat>
          <c:val>
            <c:numRef>
              <c:f>Seguimiento!$E$21:$E$25</c:f>
            </c:numRef>
          </c:val>
          <c:extLst>
            <c:ext xmlns:c16="http://schemas.microsoft.com/office/drawing/2014/chart" uri="{C3380CC4-5D6E-409C-BE32-E72D297353CC}">
              <c16:uniqueId val="{00000001-BDFB-4B2B-B545-66EFF6EC4F56}"/>
            </c:ext>
          </c:extLst>
        </c:ser>
        <c:ser>
          <c:idx val="4"/>
          <c:order val="2"/>
          <c:tx>
            <c:v>PICADE ajustado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Seguimiento!$G$21:$G$25</c:f>
              <c:numCache>
                <c:formatCode>General</c:formatCode>
                <c:ptCount val="5"/>
                <c:pt idx="0" formatCode="0">
                  <c:v>56</c:v>
                </c:pt>
                <c:pt idx="1">
                  <c:v>35</c:v>
                </c:pt>
                <c:pt idx="2" formatCode="0">
                  <c:v>24</c:v>
                </c:pt>
                <c:pt idx="3" formatCode="0">
                  <c:v>46</c:v>
                </c:pt>
                <c:pt idx="4" formatCode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FB-4B2B-B545-66EFF6EC4F56}"/>
            </c:ext>
          </c:extLst>
        </c:ser>
        <c:ser>
          <c:idx val="3"/>
          <c:order val="3"/>
          <c:tx>
            <c:strRef>
              <c:f>Seguimiento!$M$20</c:f>
              <c:strCache>
                <c:ptCount val="1"/>
                <c:pt idx="0">
                  <c:v>Realizados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Seguimiento!$B$21:$B$25</c:f>
              <c:strCache>
                <c:ptCount val="5"/>
                <c:pt idx="0">
                  <c:v>Reynosa</c:v>
                </c:pt>
                <c:pt idx="1">
                  <c:v>Altamira</c:v>
                </c:pt>
                <c:pt idx="2">
                  <c:v>Naranjos-Cerro A</c:v>
                </c:pt>
                <c:pt idx="3">
                  <c:v>Poza Rica</c:v>
                </c:pt>
                <c:pt idx="4">
                  <c:v>Veracruz</c:v>
                </c:pt>
              </c:strCache>
            </c:strRef>
          </c:cat>
          <c:val>
            <c:numRef>
              <c:f>Seguimiento!$M$21:$M$25</c:f>
              <c:numCache>
                <c:formatCode>General</c:formatCode>
                <c:ptCount val="5"/>
                <c:pt idx="0">
                  <c:v>59</c:v>
                </c:pt>
                <c:pt idx="1">
                  <c:v>30</c:v>
                </c:pt>
                <c:pt idx="2">
                  <c:v>20</c:v>
                </c:pt>
                <c:pt idx="3">
                  <c:v>29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FB-4B2B-B545-66EFF6EC4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0649824"/>
        <c:axId val="1900651456"/>
      </c:barChart>
      <c:catAx>
        <c:axId val="190064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51456"/>
        <c:crosses val="autoZero"/>
        <c:auto val="1"/>
        <c:lblAlgn val="ctr"/>
        <c:lblOffset val="100"/>
        <c:noMultiLvlLbl val="0"/>
      </c:catAx>
      <c:valAx>
        <c:axId val="190065145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90064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Región Sur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Seguimiento!$B$32:$B$36</c:f>
              <c:strCache>
                <c:ptCount val="5"/>
                <c:pt idx="0">
                  <c:v>Cinco Presidentes</c:v>
                </c:pt>
                <c:pt idx="1">
                  <c:v>Bellota Jujo</c:v>
                </c:pt>
                <c:pt idx="2">
                  <c:v>Macuspana</c:v>
                </c:pt>
                <c:pt idx="3">
                  <c:v>Samaria Luna</c:v>
                </c:pt>
                <c:pt idx="4">
                  <c:v>Villahermosa</c:v>
                </c:pt>
              </c:strCache>
            </c:strRef>
          </c:cat>
          <c:val>
            <c:numRef>
              <c:f>Seguimiento!$C$32:$C$36</c:f>
            </c:numRef>
          </c:val>
          <c:extLst>
            <c:ext xmlns:c16="http://schemas.microsoft.com/office/drawing/2014/chart" uri="{C3380CC4-5D6E-409C-BE32-E72D297353CC}">
              <c16:uniqueId val="{00000000-D431-4493-9088-1D7FAD917816}"/>
            </c:ext>
          </c:extLst>
        </c:ser>
        <c:ser>
          <c:idx val="1"/>
          <c:order val="1"/>
          <c:tx>
            <c:v>Vencido antes de PICADE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Seguimiento!$B$32:$B$36</c:f>
              <c:strCache>
                <c:ptCount val="5"/>
                <c:pt idx="0">
                  <c:v>Cinco Presidentes</c:v>
                </c:pt>
                <c:pt idx="1">
                  <c:v>Bellota Jujo</c:v>
                </c:pt>
                <c:pt idx="2">
                  <c:v>Macuspana</c:v>
                </c:pt>
                <c:pt idx="3">
                  <c:v>Samaria Luna</c:v>
                </c:pt>
                <c:pt idx="4">
                  <c:v>Villahermosa</c:v>
                </c:pt>
              </c:strCache>
            </c:strRef>
          </c:cat>
          <c:val>
            <c:numRef>
              <c:f>Seguimiento!$E$32:$E$36</c:f>
            </c:numRef>
          </c:val>
          <c:extLst>
            <c:ext xmlns:c16="http://schemas.microsoft.com/office/drawing/2014/chart" uri="{C3380CC4-5D6E-409C-BE32-E72D297353CC}">
              <c16:uniqueId val="{00000001-D431-4493-9088-1D7FAD917816}"/>
            </c:ext>
          </c:extLst>
        </c:ser>
        <c:ser>
          <c:idx val="2"/>
          <c:order val="2"/>
          <c:tx>
            <c:v>PICADE ajustado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Seguimiento!$B$32:$B$36</c:f>
              <c:strCache>
                <c:ptCount val="5"/>
                <c:pt idx="0">
                  <c:v>Cinco Presidentes</c:v>
                </c:pt>
                <c:pt idx="1">
                  <c:v>Bellota Jujo</c:v>
                </c:pt>
                <c:pt idx="2">
                  <c:v>Macuspana</c:v>
                </c:pt>
                <c:pt idx="3">
                  <c:v>Samaria Luna</c:v>
                </c:pt>
                <c:pt idx="4">
                  <c:v>Villahermosa</c:v>
                </c:pt>
              </c:strCache>
            </c:strRef>
          </c:cat>
          <c:val>
            <c:numRef>
              <c:f>Seguimiento!$G$32:$G$36</c:f>
              <c:numCache>
                <c:formatCode>0</c:formatCode>
                <c:ptCount val="5"/>
                <c:pt idx="0">
                  <c:v>66</c:v>
                </c:pt>
                <c:pt idx="1">
                  <c:v>28</c:v>
                </c:pt>
                <c:pt idx="2">
                  <c:v>16</c:v>
                </c:pt>
                <c:pt idx="3">
                  <c:v>21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31-4493-9088-1D7FAD917816}"/>
            </c:ext>
          </c:extLst>
        </c:ser>
        <c:ser>
          <c:idx val="4"/>
          <c:order val="4"/>
          <c:tx>
            <c:strRef>
              <c:f>Seguimiento!$M$31</c:f>
              <c:strCache>
                <c:ptCount val="1"/>
                <c:pt idx="0">
                  <c:v>Realizados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Seguimiento!$B$32:$B$36</c:f>
              <c:strCache>
                <c:ptCount val="5"/>
                <c:pt idx="0">
                  <c:v>Cinco Presidentes</c:v>
                </c:pt>
                <c:pt idx="1">
                  <c:v>Bellota Jujo</c:v>
                </c:pt>
                <c:pt idx="2">
                  <c:v>Macuspana</c:v>
                </c:pt>
                <c:pt idx="3">
                  <c:v>Samaria Luna</c:v>
                </c:pt>
                <c:pt idx="4">
                  <c:v>Villahermosa</c:v>
                </c:pt>
              </c:strCache>
            </c:strRef>
          </c:cat>
          <c:val>
            <c:numRef>
              <c:f>Seguimiento!$M$32:$M$36</c:f>
              <c:numCache>
                <c:formatCode>General</c:formatCode>
                <c:ptCount val="5"/>
                <c:pt idx="0">
                  <c:v>29</c:v>
                </c:pt>
                <c:pt idx="1">
                  <c:v>24</c:v>
                </c:pt>
                <c:pt idx="2">
                  <c:v>19</c:v>
                </c:pt>
                <c:pt idx="3">
                  <c:v>18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31-4493-9088-1D7FAD917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528848"/>
        <c:axId val="172653156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Seguimiento!$I$31</c15:sqref>
                        </c15:formulaRef>
                      </c:ext>
                    </c:extLst>
                    <c:strCache>
                      <c:ptCount val="1"/>
                      <c:pt idx="0">
                        <c:v>Programados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Seguimiento!$B$32:$B$36</c15:sqref>
                        </c15:formulaRef>
                      </c:ext>
                    </c:extLst>
                    <c:strCache>
                      <c:ptCount val="5"/>
                      <c:pt idx="0">
                        <c:v>Cinco Presidentes</c:v>
                      </c:pt>
                      <c:pt idx="1">
                        <c:v>Bellota Jujo</c:v>
                      </c:pt>
                      <c:pt idx="2">
                        <c:v>Macuspana</c:v>
                      </c:pt>
                      <c:pt idx="3">
                        <c:v>Samaria Luna</c:v>
                      </c:pt>
                      <c:pt idx="4">
                        <c:v>Villahermosa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Seguimiento!$I$32:$I$36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66</c:v>
                      </c:pt>
                      <c:pt idx="1">
                        <c:v>28</c:v>
                      </c:pt>
                      <c:pt idx="2">
                        <c:v>16</c:v>
                      </c:pt>
                      <c:pt idx="3">
                        <c:v>21</c:v>
                      </c:pt>
                      <c:pt idx="4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431-4493-9088-1D7FAD917816}"/>
                  </c:ext>
                </c:extLst>
              </c15:ser>
            </c15:filteredBarSeries>
          </c:ext>
        </c:extLst>
      </c:barChart>
      <c:catAx>
        <c:axId val="172652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531568"/>
        <c:crosses val="autoZero"/>
        <c:auto val="1"/>
        <c:lblAlgn val="ctr"/>
        <c:lblOffset val="100"/>
        <c:noMultiLvlLbl val="0"/>
      </c:catAx>
      <c:valAx>
        <c:axId val="172653156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2652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Subdirecciones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941698352344741E-2"/>
          <c:y val="0.17171296296296296"/>
          <c:w val="0.9809885931558934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SPRN</c:v>
                </c:pt>
                <c:pt idx="1">
                  <c:v>SPRMSO</c:v>
                </c:pt>
                <c:pt idx="2">
                  <c:v>SPRMNE</c:v>
                </c:pt>
                <c:pt idx="3">
                  <c:v>SCOC</c:v>
                </c:pt>
                <c:pt idx="4">
                  <c:v>SPRS</c:v>
                </c:pt>
                <c:pt idx="5">
                  <c:v>SASEP</c:v>
                </c:pt>
                <c:pt idx="6">
                  <c:v>SSSTPA</c:v>
                </c:pt>
                <c:pt idx="7">
                  <c:v>SPMP</c:v>
                </c:pt>
                <c:pt idx="8">
                  <c:v>SE</c:v>
                </c:pt>
                <c:pt idx="9">
                  <c:v>SEPCA</c:v>
                </c:pt>
                <c:pt idx="10">
                  <c:v>SPEE</c:v>
                </c:pt>
                <c:pt idx="11">
                  <c:v>Servicio Médico</c:v>
                </c:pt>
              </c:strCache>
            </c:strRef>
          </c:cat>
          <c:val>
            <c:numRef>
              <c:f>Seguimiento!$C$43:$C$52</c:f>
            </c:numRef>
          </c:val>
          <c:extLst>
            <c:ext xmlns:c16="http://schemas.microsoft.com/office/drawing/2014/chart" uri="{C3380CC4-5D6E-409C-BE32-E72D297353CC}">
              <c16:uniqueId val="{00000000-0BCF-4AA8-823E-96778BB4F034}"/>
            </c:ext>
          </c:extLst>
        </c:ser>
        <c:ser>
          <c:idx val="1"/>
          <c:order val="1"/>
          <c:tx>
            <c:v>Vencido antes de PICADE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SPRN</c:v>
                </c:pt>
                <c:pt idx="1">
                  <c:v>SPRMSO</c:v>
                </c:pt>
                <c:pt idx="2">
                  <c:v>SPRMNE</c:v>
                </c:pt>
                <c:pt idx="3">
                  <c:v>SCOC</c:v>
                </c:pt>
                <c:pt idx="4">
                  <c:v>SPRS</c:v>
                </c:pt>
                <c:pt idx="5">
                  <c:v>SASEP</c:v>
                </c:pt>
                <c:pt idx="6">
                  <c:v>SSSTPA</c:v>
                </c:pt>
                <c:pt idx="7">
                  <c:v>SPMP</c:v>
                </c:pt>
                <c:pt idx="8">
                  <c:v>SE</c:v>
                </c:pt>
                <c:pt idx="9">
                  <c:v>SEPCA</c:v>
                </c:pt>
                <c:pt idx="10">
                  <c:v>SPEE</c:v>
                </c:pt>
                <c:pt idx="11">
                  <c:v>Servicio Médico</c:v>
                </c:pt>
              </c:strCache>
            </c:strRef>
          </c:cat>
          <c:val>
            <c:numRef>
              <c:f>Seguimiento!$E$43:$E$52</c:f>
            </c:numRef>
          </c:val>
          <c:extLst>
            <c:ext xmlns:c16="http://schemas.microsoft.com/office/drawing/2014/chart" uri="{C3380CC4-5D6E-409C-BE32-E72D297353CC}">
              <c16:uniqueId val="{00000001-0BCF-4AA8-823E-96778BB4F034}"/>
            </c:ext>
          </c:extLst>
        </c:ser>
        <c:ser>
          <c:idx val="2"/>
          <c:order val="2"/>
          <c:tx>
            <c:v>PICADE ajustado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SPRN</c:v>
                </c:pt>
                <c:pt idx="1">
                  <c:v>SPRMSO</c:v>
                </c:pt>
                <c:pt idx="2">
                  <c:v>SPRMNE</c:v>
                </c:pt>
                <c:pt idx="3">
                  <c:v>SCOC</c:v>
                </c:pt>
                <c:pt idx="4">
                  <c:v>SPRS</c:v>
                </c:pt>
                <c:pt idx="5">
                  <c:v>SASEP</c:v>
                </c:pt>
                <c:pt idx="6">
                  <c:v>SSSTPA</c:v>
                </c:pt>
                <c:pt idx="7">
                  <c:v>SPMP</c:v>
                </c:pt>
                <c:pt idx="8">
                  <c:v>SE</c:v>
                </c:pt>
                <c:pt idx="9">
                  <c:v>SEPCA</c:v>
                </c:pt>
                <c:pt idx="10">
                  <c:v>SPEE</c:v>
                </c:pt>
                <c:pt idx="11">
                  <c:v>Servicio Médico</c:v>
                </c:pt>
              </c:strCache>
            </c:strRef>
          </c:cat>
          <c:val>
            <c:numRef>
              <c:f>Seguimiento!$G$43:$G$53</c:f>
              <c:numCache>
                <c:formatCode>General</c:formatCode>
                <c:ptCount val="11"/>
                <c:pt idx="0">
                  <c:v>89</c:v>
                </c:pt>
                <c:pt idx="1">
                  <c:v>14</c:v>
                </c:pt>
                <c:pt idx="2">
                  <c:v>65</c:v>
                </c:pt>
                <c:pt idx="3">
                  <c:v>76</c:v>
                </c:pt>
                <c:pt idx="4">
                  <c:v>123</c:v>
                </c:pt>
                <c:pt idx="5">
                  <c:v>43</c:v>
                </c:pt>
                <c:pt idx="6">
                  <c:v>110</c:v>
                </c:pt>
                <c:pt idx="7" formatCode="0">
                  <c:v>137</c:v>
                </c:pt>
                <c:pt idx="8" formatCode="0">
                  <c:v>16</c:v>
                </c:pt>
                <c:pt idx="9" formatCode="0">
                  <c:v>0</c:v>
                </c:pt>
                <c:pt idx="1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F-4AA8-823E-96778BB4F034}"/>
            </c:ext>
          </c:extLst>
        </c:ser>
        <c:ser>
          <c:idx val="3"/>
          <c:order val="3"/>
          <c:tx>
            <c:strRef>
              <c:f>Seguimiento!$I$31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SPRN</c:v>
                </c:pt>
                <c:pt idx="1">
                  <c:v>SPRMSO</c:v>
                </c:pt>
                <c:pt idx="2">
                  <c:v>SPRMNE</c:v>
                </c:pt>
                <c:pt idx="3">
                  <c:v>SCOC</c:v>
                </c:pt>
                <c:pt idx="4">
                  <c:v>SPRS</c:v>
                </c:pt>
                <c:pt idx="5">
                  <c:v>SASEP</c:v>
                </c:pt>
                <c:pt idx="6">
                  <c:v>SSSTPA</c:v>
                </c:pt>
                <c:pt idx="7">
                  <c:v>SPMP</c:v>
                </c:pt>
                <c:pt idx="8">
                  <c:v>SE</c:v>
                </c:pt>
                <c:pt idx="9">
                  <c:v>SEPCA</c:v>
                </c:pt>
                <c:pt idx="10">
                  <c:v>SPEE</c:v>
                </c:pt>
                <c:pt idx="11">
                  <c:v>Servicio Médico</c:v>
                </c:pt>
              </c:strCache>
            </c:strRef>
          </c:cat>
          <c:val>
            <c:numRef>
              <c:f>Seguimiento!$I$43:$I$53</c:f>
              <c:numCache>
                <c:formatCode>General</c:formatCode>
                <c:ptCount val="11"/>
                <c:pt idx="0">
                  <c:v>89</c:v>
                </c:pt>
                <c:pt idx="1">
                  <c:v>14</c:v>
                </c:pt>
                <c:pt idx="2">
                  <c:v>65</c:v>
                </c:pt>
                <c:pt idx="3">
                  <c:v>76</c:v>
                </c:pt>
                <c:pt idx="4">
                  <c:v>123</c:v>
                </c:pt>
                <c:pt idx="5">
                  <c:v>43</c:v>
                </c:pt>
                <c:pt idx="6">
                  <c:v>110</c:v>
                </c:pt>
                <c:pt idx="7" formatCode="0">
                  <c:v>137</c:v>
                </c:pt>
                <c:pt idx="8">
                  <c:v>16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CF-4AA8-823E-96778BB4F034}"/>
            </c:ext>
          </c:extLst>
        </c:ser>
        <c:ser>
          <c:idx val="4"/>
          <c:order val="4"/>
          <c:tx>
            <c:strRef>
              <c:f>Seguimiento!$M$31</c:f>
              <c:strCache>
                <c:ptCount val="1"/>
                <c:pt idx="0">
                  <c:v>Realizados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Seguimiento!$B$43:$B$54</c:f>
              <c:strCache>
                <c:ptCount val="12"/>
                <c:pt idx="0">
                  <c:v>SPRN</c:v>
                </c:pt>
                <c:pt idx="1">
                  <c:v>SPRMSO</c:v>
                </c:pt>
                <c:pt idx="2">
                  <c:v>SPRMNE</c:v>
                </c:pt>
                <c:pt idx="3">
                  <c:v>SCOC</c:v>
                </c:pt>
                <c:pt idx="4">
                  <c:v>SPRS</c:v>
                </c:pt>
                <c:pt idx="5">
                  <c:v>SASEP</c:v>
                </c:pt>
                <c:pt idx="6">
                  <c:v>SSSTPA</c:v>
                </c:pt>
                <c:pt idx="7">
                  <c:v>SPMP</c:v>
                </c:pt>
                <c:pt idx="8">
                  <c:v>SE</c:v>
                </c:pt>
                <c:pt idx="9">
                  <c:v>SEPCA</c:v>
                </c:pt>
                <c:pt idx="10">
                  <c:v>SPEE</c:v>
                </c:pt>
                <c:pt idx="11">
                  <c:v>Servicio Médico</c:v>
                </c:pt>
              </c:strCache>
            </c:strRef>
          </c:cat>
          <c:val>
            <c:numRef>
              <c:f>Seguimiento!$M$43:$M$54</c:f>
              <c:numCache>
                <c:formatCode>General</c:formatCode>
                <c:ptCount val="12"/>
                <c:pt idx="0">
                  <c:v>78</c:v>
                </c:pt>
                <c:pt idx="1">
                  <c:v>27</c:v>
                </c:pt>
                <c:pt idx="2">
                  <c:v>23</c:v>
                </c:pt>
                <c:pt idx="3">
                  <c:v>65</c:v>
                </c:pt>
                <c:pt idx="4">
                  <c:v>70</c:v>
                </c:pt>
                <c:pt idx="5">
                  <c:v>57</c:v>
                </c:pt>
                <c:pt idx="6">
                  <c:v>105</c:v>
                </c:pt>
                <c:pt idx="7">
                  <c:v>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CF-4AA8-823E-96778BB4F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027152"/>
        <c:axId val="1994366288"/>
      </c:barChart>
      <c:catAx>
        <c:axId val="16720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66288"/>
        <c:crosses val="autoZero"/>
        <c:auto val="1"/>
        <c:lblAlgn val="ctr"/>
        <c:lblOffset val="100"/>
        <c:noMultiLvlLbl val="0"/>
      </c:catAx>
      <c:valAx>
        <c:axId val="1994366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202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0</xdr:row>
      <xdr:rowOff>85726</xdr:rowOff>
    </xdr:from>
    <xdr:to>
      <xdr:col>18</xdr:col>
      <xdr:colOff>42333</xdr:colOff>
      <xdr:row>2</xdr:row>
      <xdr:rowOff>152400</xdr:rowOff>
    </xdr:to>
    <xdr:sp macro="" textlink="">
      <xdr:nvSpPr>
        <xdr:cNvPr id="2" name="Bisel 1">
          <a:extLst>
            <a:ext uri="{FF2B5EF4-FFF2-40B4-BE49-F238E27FC236}">
              <a16:creationId xmlns:a16="http://schemas.microsoft.com/office/drawing/2014/main" id="{3A066547-7004-4D0F-BF56-8158E9D5DC1A}"/>
            </a:ext>
          </a:extLst>
        </xdr:cNvPr>
        <xdr:cNvSpPr/>
      </xdr:nvSpPr>
      <xdr:spPr>
        <a:xfrm>
          <a:off x="2420408" y="85726"/>
          <a:ext cx="11814175" cy="659341"/>
        </a:xfrm>
        <a:prstGeom prst="bevel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400" b="1">
              <a:solidFill>
                <a:schemeClr val="accent1">
                  <a:lumMod val="75000"/>
                </a:schemeClr>
              </a:solidFill>
            </a:rPr>
            <a:t>Capacitación en Materia de SSPA</a:t>
          </a:r>
        </a:p>
      </xdr:txBody>
    </xdr:sp>
    <xdr:clientData/>
  </xdr:twoCellAnchor>
  <xdr:twoCellAnchor editAs="oneCell">
    <xdr:from>
      <xdr:col>0</xdr:col>
      <xdr:colOff>66674</xdr:colOff>
      <xdr:row>0</xdr:row>
      <xdr:rowOff>114301</xdr:rowOff>
    </xdr:from>
    <xdr:to>
      <xdr:col>6</xdr:col>
      <xdr:colOff>78505</xdr:colOff>
      <xdr:row>2</xdr:row>
      <xdr:rowOff>118110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B72BFC-F8EF-45BB-8142-D332A09BF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" y="114301"/>
          <a:ext cx="1925721" cy="600074"/>
        </a:xfrm>
        <a:prstGeom prst="rect">
          <a:avLst/>
        </a:prstGeom>
      </xdr:spPr>
    </xdr:pic>
    <xdr:clientData/>
  </xdr:twoCellAnchor>
  <xdr:twoCellAnchor>
    <xdr:from>
      <xdr:col>19</xdr:col>
      <xdr:colOff>31750</xdr:colOff>
      <xdr:row>3</xdr:row>
      <xdr:rowOff>85727</xdr:rowOff>
    </xdr:from>
    <xdr:to>
      <xdr:col>29</xdr:col>
      <xdr:colOff>333375</xdr:colOff>
      <xdr:row>16</xdr:row>
      <xdr:rowOff>0</xdr:rowOff>
    </xdr:to>
    <xdr:graphicFrame macro="">
      <xdr:nvGraphicFramePr>
        <xdr:cNvPr id="15" name="Gráfico 3">
          <a:extLst>
            <a:ext uri="{FF2B5EF4-FFF2-40B4-BE49-F238E27FC236}">
              <a16:creationId xmlns:a16="http://schemas.microsoft.com/office/drawing/2014/main" id="{A8CFDCA0-1A93-47C4-8BFA-43856182E231}"/>
            </a:ext>
            <a:ext uri="{147F2762-F138-4A5C-976F-8EAC2B608ADB}">
              <a16:predDERef xmlns:a16="http://schemas.microsoft.com/office/drawing/2014/main" pred="{CBB72BFC-F8EF-45BB-8142-D332A09BF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714374</xdr:colOff>
      <xdr:row>17</xdr:row>
      <xdr:rowOff>80962</xdr:rowOff>
    </xdr:from>
    <xdr:to>
      <xdr:col>29</xdr:col>
      <xdr:colOff>323850</xdr:colOff>
      <xdr:row>28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1313FFD-48EE-4469-943C-94D3B180B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714374</xdr:colOff>
      <xdr:row>29</xdr:row>
      <xdr:rowOff>4762</xdr:rowOff>
    </xdr:from>
    <xdr:to>
      <xdr:col>29</xdr:col>
      <xdr:colOff>352425</xdr:colOff>
      <xdr:row>40</xdr:row>
      <xdr:rowOff>23812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63DDBD2-EF02-4911-BE17-865595835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695325</xdr:colOff>
      <xdr:row>40</xdr:row>
      <xdr:rowOff>161924</xdr:rowOff>
    </xdr:from>
    <xdr:to>
      <xdr:col>33</xdr:col>
      <xdr:colOff>571500</xdr:colOff>
      <xdr:row>55</xdr:row>
      <xdr:rowOff>104775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BE44C8B-CCFD-4347-A31F-7A9AB90CFFA9}"/>
            </a:ext>
            <a:ext uri="{147F2762-F138-4A5C-976F-8EAC2B608ADB}">
              <a16:predDERef xmlns:a16="http://schemas.microsoft.com/office/drawing/2014/main" pred="{D63DDBD2-EF02-4911-BE17-865595835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7CCD01E4-AA64-4A7E-AB73-7B248824A3EF}"/>
  <namedSheetView name="Vista 2" id="{B474BD1C-282B-4E2E-8444-440B2C93C768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445.58447696759" createdVersion="6" refreshedVersion="7" minRefreshableVersion="3" recordCount="946" xr:uid="{00000000-000A-0000-FFFF-FFFF00000000}">
  <cacheSource type="worksheet">
    <worksheetSource ref="A6:P952" sheet="PICADE"/>
  </cacheSource>
  <cacheFields count="16">
    <cacheField name="Cons" numFmtId="0">
      <sharedItems containsString="0" containsBlank="1" containsNumber="1" containsInteger="1" minValue="1" maxValue="183"/>
    </cacheField>
    <cacheField name="ID_SAP" numFmtId="0">
      <sharedItems containsNonDate="0" containsString="0" containsBlank="1"/>
    </cacheField>
    <cacheField name="AREACH" numFmtId="0">
      <sharedItems count="29">
        <s v="Ciudad del Carmen"/>
        <s v="CIUDAD DEL CARMEN, CAMPECHE"/>
        <s v="ALTAMIRA, TAMAULIPAS"/>
        <s v="VILLAHERMOSA, TABASCO"/>
        <s v="REYNOSA, TAMAULIPAS"/>
        <s v="AGUA DULCE, VERACRUZ"/>
        <s v="CENTRO DE CAPACITACION CASTAÑO"/>
        <s v="TIERRA BLANCA"/>
        <s v="VERACRUZ,VERACRUZ"/>
        <s v="VERACRUZ"/>
        <s v="POZA RICA DE HIDALGO,VERACRUZ"/>
        <s v="CARDENAS, TABASCO"/>
        <s v="Reynosa"/>
        <s v="Altamira"/>
        <s v="CERRO AZUL,VERACRUZ"/>
        <s v="NARANJOS"/>
        <s v="IMP CERRO AZUL"/>
        <s v="Poza Rica"/>
        <s v="Agua Dulce"/>
        <s v="Comalcalco"/>
        <s v="Macuspana"/>
        <s v="CHIAPAS"/>
        <s v="IMP REFORMA"/>
        <s v="Ciudad Pemex"/>
        <s v="TABASCO"/>
        <s v="VILLAHERMOSA"/>
        <s v="CIUDAD DE MEXICO"/>
        <s v="PORTLAND, OREGON"/>
        <s v="Dos Bocas"/>
      </sharedItems>
    </cacheField>
    <cacheField name="IDSDNCA" numFmtId="0">
      <sharedItems containsSemiMixedTypes="0" containsString="0" containsNumber="1" containsInteger="1" minValue="20804" maxValue="31205"/>
    </cacheField>
    <cacheField name="Subdirección" numFmtId="0">
      <sharedItems count="10">
        <s v="Subdirección de Administración de Servicios para Exploración y Producción"/>
        <s v="Subdirección de Seguridad, Salud en el Trabajo y Protección Ambiental"/>
        <s v="Subdirección de Producción Región Marina Noreste"/>
        <s v="Subdirección de Coordinación Operativa y Comercial"/>
        <s v="Subdirección de Perforación y Mantenimiento de Pozos"/>
        <s v="Subdirección de Exploración"/>
        <s v="Subdirección de Producción Región Norte"/>
        <s v="Subdirección de Producción Región Sur"/>
        <s v="Subdirección de Exploración y Producción por Contratos y Asociaciones"/>
        <s v="Subdirección de Producción Región Marina Suroeste"/>
      </sharedItems>
    </cacheField>
    <cacheField name="Gerencia/Activo" numFmtId="0">
      <sharedItems/>
    </cacheField>
    <cacheField name="Curso" numFmtId="0">
      <sharedItems/>
    </cacheField>
    <cacheField name="Tipo de Impartición" numFmtId="0">
      <sharedItems/>
    </cacheField>
    <cacheField name="Ficha" numFmtId="0">
      <sharedItems containsMixedTypes="1" containsNumber="1" containsInteger="1" minValue="107392" maxValue="971841"/>
    </cacheField>
    <cacheField name="Instructor" numFmtId="0">
      <sharedItems/>
    </cacheField>
    <cacheField name="Duración_x000a_(Horas)" numFmtId="0">
      <sharedItems containsSemiMixedTypes="0" containsString="0" containsNumber="1" containsInteger="1" minValue="8" maxValue="32"/>
    </cacheField>
    <cacheField name="Días" numFmtId="0">
      <sharedItems containsSemiMixedTypes="0" containsString="0" containsNumber="1" containsInteger="1" minValue="1" maxValue="8"/>
    </cacheField>
    <cacheField name="Asistentes Totales" numFmtId="0">
      <sharedItems containsSemiMixedTypes="0" containsString="0" containsNumber="1" containsInteger="1" minValue="1" maxValue="22"/>
    </cacheField>
    <cacheField name="Fecha de Inicio" numFmtId="0">
      <sharedItems containsDate="1" containsMixedTypes="1" minDate="2021-03-23T00:00:00" maxDate="2021-07-02T00:00:00" count="222">
        <s v="05/02/2021"/>
        <s v="15/02/2021"/>
        <s v="17/02/2021"/>
        <s v="18/02/2021"/>
        <s v="19/02/2021"/>
        <s v="22/02/2021"/>
        <s v="23/02/2021"/>
        <s v="01/03/2021"/>
        <s v="04/03/2021"/>
        <s v="05/03/2021"/>
        <s v="16/03/2021"/>
        <s v="17/03/2021"/>
        <s v="18/03/2021"/>
        <s v="19/03/2021"/>
        <s v="22/03/2021"/>
        <s v="23/03/2021"/>
        <s v="15/04/2021"/>
        <s v="14/04/2021"/>
        <s v="19/04/2021"/>
        <s v="29/04/2021"/>
        <s v="12/05/2021"/>
        <s v="11/05/2021"/>
        <d v="2021-05-13T00:00:00"/>
        <s v="13/05/2021"/>
        <s v="18/05/2021"/>
        <s v="19/05/2021"/>
        <s v="21/05/2021"/>
        <s v="24/05/2021"/>
        <s v="22/05/2021"/>
        <s v="26/05/2021"/>
        <s v="27/05/2021"/>
        <s v="01/06/2021"/>
        <s v="02/06/2021"/>
        <s v="08/06/2021"/>
        <s v="09/06/2021"/>
        <s v="10/06/2021"/>
        <s v="17/06/2021"/>
        <s v="16/06/2021"/>
        <s v="21/06/2021"/>
        <s v="19/06/2021"/>
        <s v="24/06/2021"/>
        <s v="25/06/2021"/>
        <s v="29/06/2021"/>
        <s v="02/07/2021"/>
        <s v="08/07/2021"/>
        <s v="07/07/2021"/>
        <s v="12/07/2021"/>
        <s v="10/07/2021"/>
        <s v="14/07/2021"/>
        <s v="16/07/2021"/>
        <s v="21/07/2021"/>
        <s v="24/07/2021"/>
        <s v="27/07/2021"/>
        <s v="28/07/2021"/>
        <s v="02/08/2021"/>
        <s v="03/08/2021"/>
        <s v="06/08/2021"/>
        <s v="09/08/2021"/>
        <s v="11/08/2021"/>
        <s v="16/08/2021"/>
        <s v="18/08/2021"/>
        <s v="19/08/2021"/>
        <s v="20/08/2021"/>
        <s v="23/08/2021"/>
        <s v="24/08/2021"/>
        <s v="25/08/2021"/>
        <s v="27/08/2021"/>
        <s v="30/08/2021"/>
        <s v="31/08/2021"/>
        <s v="02/09/2021"/>
        <s v="01/09/2021"/>
        <s v="03/09/2021"/>
        <s v="06/09/2021"/>
        <s v="04/09/2021"/>
        <s v="08/09/2021"/>
        <s v="07/09/2021"/>
        <s v="10/09/2021"/>
        <s v="09/09/2021"/>
        <s v="13/09/2021"/>
        <s v="11/09/2021"/>
        <s v="14/09/2021"/>
        <s v="16/09/2021"/>
        <s v="21/09/2021"/>
        <s v="22/09/2021"/>
        <s v="24/09/2021"/>
        <s v="25/09/2021"/>
        <s v="27/09/2021"/>
        <s v="29/09/2021"/>
        <s v="28/09/2021"/>
        <s v="30/09/2021"/>
        <s v="01/10/2021"/>
        <s v="05/10/2021"/>
        <s v="06/10/2021"/>
        <s v="08/10/2021"/>
        <s v="11/10/2021"/>
        <s v="13/10/2021"/>
        <s v="14/10/2021"/>
        <s v="15/10/2021"/>
        <s v="20/10/2021"/>
        <s v="19/10/2021"/>
        <s v="22/10/2021"/>
        <s v="25/10/2021"/>
        <s v="23/10/2021"/>
        <s v="26/10/2021"/>
        <s v="28/10/2021"/>
        <s v="27/10/2021"/>
        <s v="03/11/2021"/>
        <s v="05/11/2021"/>
        <s v="08/11/2021"/>
        <s v="11/11/2021"/>
        <s v="12/11/2021"/>
        <s v="15/11/2021"/>
        <s v="16/11/2021"/>
        <s v="18/11/2021"/>
        <s v="19/11/2021"/>
        <s v="17/11/2021"/>
        <s v="25/11/2021"/>
        <s v="24/11/2021"/>
        <s v="26/11/2021"/>
        <s v="30/11/2021"/>
        <s v="03/12/2021"/>
        <s v="06/12/2021"/>
        <s v="09/12/2021"/>
        <s v="15/12/2021"/>
        <s v="16/12/2021"/>
        <s v="22/12/2021"/>
        <s v="27/12/2021"/>
        <s v="05/04/2021"/>
        <s v="30/04/2021"/>
        <s v="03/05/2021"/>
        <s v="04/05/2021"/>
        <s v="06/05/2021"/>
        <s v="17/05/2021"/>
        <s v="20/05/2021"/>
        <s v="03/06/2021"/>
        <s v="05/06/2021"/>
        <s v="07/06/2021"/>
        <s v="14/06/2021"/>
        <s v="18/06/2021"/>
        <s v="22/06/2021"/>
        <s v="28/06/2021"/>
        <s v="01/07/2021"/>
        <s v="05/07/2021"/>
        <s v="15/07/2021"/>
        <s v="26/07/2021"/>
        <s v="29/07/2021"/>
        <s v="04/08/2021"/>
        <s v="05/08/2021"/>
        <s v="12/08/2021"/>
        <s v="23/09/2021"/>
        <s v="04/10/2021"/>
        <s v="07/10/2021"/>
        <s v="12/10/2021"/>
        <s v="18/10/2021"/>
        <s v="20/11/2021"/>
        <s v="22/11/2021"/>
        <s v="08/12/2021"/>
        <s v="08/03/2021"/>
        <s v="11/03/2021"/>
        <s v="29/03/2021"/>
        <s v="08/04/2021"/>
        <s v="12/04/2021"/>
        <d v="2021-04-26T00:00:00"/>
        <s v="31/05/2021"/>
        <s v="04/06/2021"/>
        <d v="2021-07-01T00:00:00"/>
        <s v="06/07/2021"/>
        <s v="09/07/2021"/>
        <s v="19/07/2021"/>
        <s v="10/08/2021"/>
        <s v="20/09/2021"/>
        <s v="04/11/2021"/>
        <s v="07/04/2021"/>
        <s v="09/04/2021"/>
        <d v="2021-03-23T00:00:00"/>
        <s v="20/04/2021"/>
        <s v="26/04/2021"/>
        <s v="07/05/2021"/>
        <s v="14/05/2021"/>
        <s v="29/11/2021"/>
        <s v="01/12/2021"/>
        <s v="09/03/2021"/>
        <s v="21/04/2021"/>
        <s v="13/07/2021"/>
        <s v="01/02/2021"/>
        <s v="08/02/2021"/>
        <s v="16/02/2021"/>
        <s v="15/03/2021"/>
        <s v="24/03/2021"/>
        <s v="02/04/2021"/>
        <s v="31/03/2021"/>
        <s v="06/04/2021"/>
        <s v="13/04/2021"/>
        <s v="27/04/2021"/>
        <s v="23/06/2021"/>
        <s v="17/08/2021"/>
        <s v="26/08/2021"/>
        <s v="02/12/2021"/>
        <s v="22/04/2021"/>
        <s v="23/04/2021"/>
        <s v="10/05/2021"/>
        <s v="13/08/2021"/>
        <s v="25/01/2021"/>
        <s v="28/04/2021"/>
        <s v="25/05/2021"/>
        <s v="28/05/2021"/>
        <s v="11/06/2021"/>
        <s v="15/06/2021"/>
        <s v="13/12/2021"/>
        <s v="30/07/2021"/>
        <s v="02/11/2021"/>
        <s v="03/03/2021"/>
        <s v="10/11/2021"/>
        <s v="25/03/2021"/>
        <s v="23/07/2021"/>
        <s v="22/07/2021"/>
        <s v="30/06/2021"/>
        <s v="17/09/2021"/>
        <s v="21/10/2021"/>
        <s v="20/07/2021"/>
        <s v="29/10/2021"/>
        <s v="05/12/2021"/>
      </sharedItems>
    </cacheField>
    <cacheField name="Fecha de Termino" numFmtId="0">
      <sharedItems containsDate="1" containsMixedTypes="1" minDate="2021-01-26T00:00:00" maxDate="2021-11-27T00:00:00" count="274">
        <d v="2021-02-05T00:00:00"/>
        <d v="2021-02-17T00:00:00"/>
        <d v="2021-02-18T00:00:00"/>
        <d v="2021-02-19T00:00:00"/>
        <d v="2021-02-22T00:00:00"/>
        <d v="2021-02-23T00:00:00"/>
        <d v="2021-03-03T00:00:00"/>
        <d v="2021-03-04T00:00:00"/>
        <d v="2021-03-05T00:00:00"/>
        <d v="2021-03-16T00:00:00"/>
        <d v="2021-03-17T00:00:00"/>
        <d v="2021-03-18T00:00:00"/>
        <d v="2021-03-19T00:00:00"/>
        <d v="2021-03-22T00:00:00"/>
        <d v="2021-03-23T00:00:00"/>
        <d v="2021-04-15T00:00:00"/>
        <d v="2021-04-16T00:00:00"/>
        <d v="2021-04-17T00:00:00"/>
        <d v="2021-04-19T00:00:00"/>
        <d v="2021-04-21T00:00:00"/>
        <d v="2021-05-01T00:00:00"/>
        <d v="2021-05-04T00:00:00"/>
        <d v="2021-05-12T00:00:00"/>
        <d v="2021-05-15T00:00:00"/>
        <d v="2021-05-18T00:00:00"/>
        <d v="2021-05-19T00:00:00"/>
        <d v="2021-05-21T00:00:00"/>
        <d v="2021-05-22T00:00:00"/>
        <d v="2021-05-24T00:00:00"/>
        <d v="2021-05-28T00:00:00"/>
        <d v="2021-05-29T00:00:00"/>
        <d v="2021-06-01T00:00:00"/>
        <d v="2021-06-03T00:00:00"/>
        <d v="2021-06-09T00:00:00"/>
        <d v="2021-06-11T00:00:00"/>
        <d v="2021-06-12T00:00:00"/>
        <d v="2021-06-16T00:00:00"/>
        <d v="2021-06-18T00:00:00"/>
        <d v="2021-06-21T00:00:00"/>
        <s v="21/06/2021"/>
        <s v="26/06/2021"/>
        <s v="27/06/2021"/>
        <s v="30/06/2021"/>
        <s v="03/07/2021"/>
        <s v="09/07/2021"/>
        <s v="10/07/2021"/>
        <s v="12/07/2021"/>
        <s v="14/07/2021"/>
        <s v="16/07/2021"/>
        <s v="17/07/2021"/>
        <s v="22/07/2021"/>
        <s v="26/07/2021"/>
        <s v="28/07/2021"/>
        <s v="29/07/2021"/>
        <s v="03/08/2021"/>
        <s v="04/08/2021"/>
        <s v="05/08/2021"/>
        <s v="06/08/2021"/>
        <s v="08/08/2021"/>
        <s v="09/08/2021"/>
        <s v="10/08/2021"/>
        <s v="12/08/2021"/>
        <s v="17/08/2021"/>
        <s v="19/08/2021"/>
        <s v="20/08/2021"/>
        <s v="22/08/2021"/>
        <s v="23/08/2021"/>
        <s v="24/08/2021"/>
        <s v="25/08/2021"/>
        <s v="26/08/2021"/>
        <s v="27/08/2021"/>
        <s v="30/08/2021"/>
        <s v="01/09/2021"/>
        <s v="02/09/2021"/>
        <s v="03/09/2021"/>
        <s v="04/09/2021"/>
        <s v="05/09/2021"/>
        <s v="06/09/2021"/>
        <s v="08/09/2021"/>
        <s v="09/09/2021"/>
        <s v="10/09/2021"/>
        <s v="11/09/2021"/>
        <s v="13/09/2021"/>
        <s v="14/09/2021"/>
        <s v="15/09/2021"/>
        <s v="17/09/2021"/>
        <s v="22/09/2021"/>
        <s v="23/09/2021"/>
        <s v="24/09/2021"/>
        <s v="25/09/2021"/>
        <s v="27/09/2021"/>
        <s v="28/09/2021"/>
        <s v="29/09/2021"/>
        <s v="30/09/2021"/>
        <s v="01/10/2021"/>
        <s v="02/10/2021"/>
        <s v="06/10/2021"/>
        <s v="07/10/2021"/>
        <s v="08/10/2021"/>
        <s v="10/10/2021"/>
        <s v="11/10/2021"/>
        <s v="14/10/2021"/>
        <s v="15/10/2021"/>
        <s v="16/10/2021"/>
        <s v="17/10/2021"/>
        <s v="21/10/2021"/>
        <s v="23/10/2021"/>
        <s v="25/10/2021"/>
        <s v="27/10/2021"/>
        <s v="29/10/2021"/>
        <s v="03/11/2021"/>
        <s v="05/11/2021"/>
        <s v="07/11/2021"/>
        <s v="09/11/2021"/>
        <s v="12/11/2021"/>
        <s v="13/11/2021"/>
        <s v="15/11/2021"/>
        <s v="17/11/2021"/>
        <s v="18/11/2021"/>
        <s v="19/11/2021"/>
        <s v="20/11/2021"/>
        <s v="25/11/2021"/>
        <s v="26/11/2021"/>
        <s v="27/11/2021"/>
        <s v="01/12/2021"/>
        <s v="03/12/2021"/>
        <s v="07/12/2021"/>
        <s v="08/12/2021"/>
        <s v="09/12/2021"/>
        <s v="10/12/2021"/>
        <s v="16/12/2021"/>
        <s v="17/12/2021"/>
        <s v="24/12/2021"/>
        <s v="28/12/2021"/>
        <d v="2021-04-05T00:00:00"/>
        <d v="2021-05-07T00:00:00"/>
        <d v="2021-05-26T00:00:00"/>
        <s v="02/06/2021"/>
        <s v="04/06/2021"/>
        <s v="06/06/2021"/>
        <s v="07/06/2021"/>
        <s v="08/06/2021"/>
        <s v="09/06/2021"/>
        <s v="11/06/2021"/>
        <s v="15/06/2021"/>
        <s v="16/06/2021"/>
        <s v="17/06/2021"/>
        <s v="18/06/2021"/>
        <s v="23/06/2021"/>
        <s v="25/06/2021"/>
        <s v="29/06/2021"/>
        <s v="01/07/2021"/>
        <s v="02/07/2021"/>
        <s v="06/07/2021"/>
        <s v="07/07/2021"/>
        <s v="13/07/2021"/>
        <s v="27/07/2021"/>
        <s v="02/08/2021"/>
        <s v="14/08/2021"/>
        <s v="18/08/2021"/>
        <s v="28/08/2021"/>
        <s v="07/09/2021"/>
        <s v="18/09/2021"/>
        <s v="09/10/2021"/>
        <s v="12/10/2021"/>
        <s v="13/10/2021"/>
        <s v="28/10/2021"/>
        <s v="24/11/2021"/>
        <d v="2021-03-02T00:00:00"/>
        <d v="2021-03-09T00:00:00"/>
        <d v="2021-03-12T00:00:00"/>
        <d v="2021-03-24T00:00:00"/>
        <d v="2021-03-29T00:00:00"/>
        <d v="2021-03-30T00:00:00"/>
        <d v="2021-04-06T00:00:00"/>
        <d v="2021-04-09T00:00:00"/>
        <d v="2021-04-13T00:00:00"/>
        <d v="2021-04-20T00:00:00"/>
        <d v="2021-04-27T00:00:00"/>
        <d v="2021-04-30T00:00:00"/>
        <d v="2021-06-02T00:00:00"/>
        <d v="2021-07-02T00:00:00"/>
        <s v="05/07/2021"/>
        <s v="19/07/2021"/>
        <s v="30/07/2021"/>
        <s v="16/08/2021"/>
        <s v="20/09/2021"/>
        <s v="20/10/2021"/>
        <s v="04/11/2021"/>
        <s v="10/11/2021"/>
        <d v="2021-03-11T00:00:00"/>
        <d v="2021-04-08T00:00:00"/>
        <d v="2021-04-12T00:00:00"/>
        <d v="2021-04-26T00:00:00"/>
        <d v="2021-04-29T00:00:00"/>
        <d v="2021-05-13T00:00:00"/>
        <d v="2021-05-14T00:00:00"/>
        <d v="2021-05-20T00:00:00"/>
        <s v="04/10/2021"/>
        <s v="19/10/2021"/>
        <s v="16/11/2021"/>
        <s v="30/11/2021"/>
        <s v="02/12/2021"/>
        <d v="2021-05-03T00:00:00"/>
        <d v="2021-05-25T00:00:00"/>
        <d v="2021-05-27T00:00:00"/>
        <s v="03/06/2021"/>
        <d v="2021-02-02T00:00:00"/>
        <d v="2021-02-09T00:00:00"/>
        <d v="2021-02-26T00:00:00"/>
        <d v="2021-04-02T00:00:00"/>
        <d v="2021-04-23T00:00:00"/>
        <s v="22/06/2021"/>
        <s v="24/06/2021"/>
        <s v="08/07/2021"/>
        <s v="15/07/2021"/>
        <s v="05/10/2021"/>
        <d v="2021-04-10T00:00:00"/>
        <d v="2021-04-14T00:00:00"/>
        <d v="2021-04-07T00:00:00"/>
        <d v="2021-04-22T00:00:00"/>
        <d v="2021-04-24T00:00:00"/>
        <d v="2021-05-11T00:00:00"/>
        <d v="2021-05-17T00:00:00"/>
        <s v="21/05/2021"/>
        <s v="25/05/2021"/>
        <s v="26/05/2021"/>
        <s v="28/05/2021"/>
        <s v="31/05/2021"/>
        <s v="01/06/2021"/>
        <s v="19/06/2021"/>
        <s v="11/08/2021"/>
        <d v="2021-01-26T00:00:00"/>
        <d v="2021-04-28T00:00:00"/>
        <d v="2021-05-31T00:00:00"/>
        <s v="14/06/2021"/>
        <s v="15/12/2021"/>
        <s v="10/06/2021"/>
        <d v="2021-05-06T00:00:00"/>
        <d v="2021-05-10T00:00:00"/>
        <s v="23/07/2021"/>
        <s v="13/08/2021"/>
        <s v="31/08/2021"/>
        <s v="23/11/2021"/>
        <d v="2021-06-29T00:00:00"/>
        <d v="2021-07-06T00:00:00"/>
        <d v="2021-07-08T00:00:00"/>
        <d v="2021-06-07T00:00:00"/>
        <d v="2021-06-23T00:00:00"/>
        <d v="2021-07-23T00:00:00"/>
        <d v="2021-08-06T00:00:00"/>
        <d v="2021-11-03T00:00:00"/>
        <d v="2021-11-23T00:00:00"/>
        <d v="2021-11-26T00:00:00"/>
        <d v="2021-03-01T00:00:00"/>
        <d v="2021-03-08T00:00:00"/>
        <s v="11/11/2021"/>
        <d v="2021-03-26T00:00:00"/>
        <s v="08/11/2021"/>
        <s v="28/06/2021"/>
        <d v="2021-09-23T00:00:00"/>
        <d v="2021-10-07T00:00:00"/>
        <s v="12/05/2021"/>
        <s v="14/05/2021"/>
        <s v="19/05/2021"/>
        <s v="20/05/2021"/>
        <s v="20/07/2021"/>
        <s v="21/07/2021"/>
        <s v="22/10/2021"/>
        <s v="14/12/2021"/>
        <s v="23/05/2021"/>
        <s v="21/09/2021"/>
        <s v="26/10/2021"/>
        <s v="06/11/2021"/>
      </sharedItems>
    </cacheField>
    <cacheField name="Mes" numFmtId="0">
      <sharedItems containsMixedTypes="1" containsNumber="1" containsInteger="1" minValue="4" maxValue="12" count="21"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Enero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6">
  <r>
    <n v="1"/>
    <m/>
    <x v="0"/>
    <n v="23298"/>
    <x v="0"/>
    <s v="Coordinación de Servicios Marinos y de Mantenimiento, Confiabilidad y Construcción de Infraestructura"/>
    <s v="REACREDITACION DE SIGNATARIOS DEL SPPTR (RSPTR)"/>
    <s v="PRESENCIAL"/>
    <n v="350060"/>
    <s v="Hernan Zurita Dominguez"/>
    <n v="8"/>
    <n v="1"/>
    <n v="13"/>
    <x v="0"/>
    <x v="0"/>
    <x v="0"/>
  </r>
  <r>
    <n v="2"/>
    <m/>
    <x v="1"/>
    <n v="23281"/>
    <x v="0"/>
    <s v="Coordinación de Servicios Marinos y de Mantenimiento, Confiabilidad y Construcción de Infraestructura"/>
    <s v="SISTEMA DE PERMISOS PARA TRABAJOS CON RIESGO (SPTR)"/>
    <s v="PRESENCIAL"/>
    <n v="374253"/>
    <s v="Eduardo Gonzalez Rodriguez"/>
    <n v="24"/>
    <n v="3"/>
    <n v="8"/>
    <x v="1"/>
    <x v="1"/>
    <x v="0"/>
  </r>
  <r>
    <n v="3"/>
    <m/>
    <x v="1"/>
    <n v="23297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1"/>
    <x v="2"/>
    <x v="1"/>
    <x v="0"/>
  </r>
  <r>
    <n v="4"/>
    <m/>
    <x v="1"/>
    <n v="23300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0"/>
    <x v="3"/>
    <x v="2"/>
    <x v="0"/>
  </r>
  <r>
    <n v="5"/>
    <m/>
    <x v="1"/>
    <n v="23301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6"/>
    <x v="4"/>
    <x v="3"/>
    <x v="0"/>
  </r>
  <r>
    <n v="6"/>
    <m/>
    <x v="1"/>
    <n v="23299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1"/>
    <x v="5"/>
    <x v="4"/>
    <x v="0"/>
  </r>
  <r>
    <n v="7"/>
    <m/>
    <x v="1"/>
    <n v="23302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4"/>
    <x v="6"/>
    <x v="5"/>
    <x v="0"/>
  </r>
  <r>
    <n v="8"/>
    <m/>
    <x v="1"/>
    <n v="23282"/>
    <x v="0"/>
    <s v="Coordinación de Servicios Marinos y de Mantenimiento, Confiabilidad y Construcción de Infraestructura"/>
    <s v="SISTEMA DE PERMISOS PARA TRABAJOS CON RIESGO (SPTR)"/>
    <s v="PRESENCIAL"/>
    <n v="374253"/>
    <s v="Eduardo Gonzalez Rodriguez"/>
    <n v="24"/>
    <n v="3"/>
    <n v="10"/>
    <x v="7"/>
    <x v="6"/>
    <x v="1"/>
  </r>
  <r>
    <n v="9"/>
    <m/>
    <x v="1"/>
    <n v="23304"/>
    <x v="0"/>
    <s v="Coordinación de Servicios Marinos y de Mantenimiento, Confiabilidad y Construcción de Infraestructura"/>
    <s v="REACREDITACION DE SIGNATARIOS DEL SPPTR (RSPTR)"/>
    <s v="PRESENCIAL"/>
    <n v="350060"/>
    <s v="Hernan Zurita Dominguez"/>
    <n v="8"/>
    <n v="1"/>
    <n v="10"/>
    <x v="8"/>
    <x v="7"/>
    <x v="1"/>
  </r>
  <r>
    <n v="10"/>
    <m/>
    <x v="1"/>
    <n v="23305"/>
    <x v="0"/>
    <s v="Coordinación de Servicios Marinos y de Mantenimiento, Confiabilidad y Construcción de Infraestructura"/>
    <s v="REACREDITACION DE SIGNATARIOS DEL SPPTR (RSPTR)"/>
    <s v="PRESENCIAL"/>
    <n v="350060"/>
    <s v="Hernan Zurita Dominguez"/>
    <n v="8"/>
    <n v="1"/>
    <n v="12"/>
    <x v="9"/>
    <x v="8"/>
    <x v="1"/>
  </r>
  <r>
    <n v="11"/>
    <m/>
    <x v="1"/>
    <n v="23303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1"/>
    <x v="10"/>
    <x v="9"/>
    <x v="1"/>
  </r>
  <r>
    <n v="12"/>
    <m/>
    <x v="1"/>
    <n v="23307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1"/>
    <x v="11"/>
    <x v="10"/>
    <x v="1"/>
  </r>
  <r>
    <n v="13"/>
    <m/>
    <x v="1"/>
    <n v="23308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9"/>
    <x v="12"/>
    <x v="11"/>
    <x v="1"/>
  </r>
  <r>
    <n v="14"/>
    <m/>
    <x v="1"/>
    <n v="23309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3"/>
    <x v="13"/>
    <x v="12"/>
    <x v="1"/>
  </r>
  <r>
    <n v="15"/>
    <m/>
    <x v="1"/>
    <n v="23306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1"/>
    <x v="14"/>
    <x v="13"/>
    <x v="1"/>
  </r>
  <r>
    <n v="16"/>
    <m/>
    <x v="1"/>
    <n v="23310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5"/>
    <x v="15"/>
    <x v="14"/>
    <x v="1"/>
  </r>
  <r>
    <n v="17"/>
    <m/>
    <x v="1"/>
    <n v="23312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9"/>
    <x v="16"/>
    <x v="15"/>
    <x v="2"/>
  </r>
  <r>
    <n v="18"/>
    <m/>
    <x v="1"/>
    <n v="22168"/>
    <x v="1"/>
    <s v="Gerencia de Seguridad, Salud en el Trabajo y Protección Ambiental Región Marina"/>
    <s v="BRIGADAS DE BUSQUEDA Y RESCATE (BBR)"/>
    <s v="PRESENCIAL"/>
    <n v="354951"/>
    <s v="Raul Armando Garza Torre"/>
    <n v="24"/>
    <n v="3"/>
    <n v="12"/>
    <x v="17"/>
    <x v="16"/>
    <x v="2"/>
  </r>
  <r>
    <n v="19"/>
    <m/>
    <x v="1"/>
    <n v="24590"/>
    <x v="1"/>
    <s v="Gerencia de Seguridad, Salud en el Trabajo y Protección Ambiental Región Marina"/>
    <s v="SEGURIDAD Y SOBREVIVENCIA COSTA AFUERA (SSCA)"/>
    <s v="PRESENCIAL"/>
    <n v="510745"/>
    <s v="Cesar Ivan Chulines Granados"/>
    <n v="24"/>
    <n v="3"/>
    <n v="12"/>
    <x v="16"/>
    <x v="17"/>
    <x v="2"/>
  </r>
  <r>
    <n v="20"/>
    <m/>
    <x v="1"/>
    <n v="23311"/>
    <x v="0"/>
    <s v="Coordinación de Servicios Marinos y de Mantenimiento, Confiabilidad y Construcción de Infraestructura"/>
    <s v="REACREDITACION DE SIGNATARIOS DEL SPPTR (RSPTR)"/>
    <s v="PRESENCIAL"/>
    <n v="436665"/>
    <s v="Francisco Antonio Castro Reyes"/>
    <n v="8"/>
    <n v="1"/>
    <n v="10"/>
    <x v="18"/>
    <x v="18"/>
    <x v="2"/>
  </r>
  <r>
    <n v="21"/>
    <m/>
    <x v="1"/>
    <n v="30246"/>
    <x v="1"/>
    <s v="Gerencia de Seguridad, Salud en el Trabajo y Protección Ambiental Región Marina"/>
    <s v="BRIGADAS CONTRAINCENDIOS (BCII)"/>
    <s v="PRESENCIAL"/>
    <n v="389970"/>
    <s v="Azariel Lopez Lara"/>
    <n v="24"/>
    <n v="3"/>
    <n v="11"/>
    <x v="18"/>
    <x v="19"/>
    <x v="2"/>
  </r>
  <r>
    <n v="22"/>
    <m/>
    <x v="1"/>
    <n v="24589"/>
    <x v="1"/>
    <s v="Gerencia de Seguridad, Salud en el Trabajo y Protección Ambiental Región Marina"/>
    <s v="SEGURIDAD Y SOBREVIVENCIA COSTA AFUERA (SSCA)"/>
    <s v="PRESENCIAL"/>
    <n v="354951"/>
    <s v="Raul Armando Garza Torre"/>
    <n v="24"/>
    <n v="3"/>
    <n v="12"/>
    <x v="19"/>
    <x v="20"/>
    <x v="2"/>
  </r>
  <r>
    <n v="23"/>
    <m/>
    <x v="1"/>
    <n v="25029"/>
    <x v="1"/>
    <s v="Gerencia de Seguridad, Salud en el Trabajo y Protección Ambiental Región Marina"/>
    <s v="ADMINISTRACION AMBIENTAL"/>
    <s v="A DISTANCIA"/>
    <n v="353019"/>
    <s v="Ines Alvarez Piste"/>
    <n v="16"/>
    <n v="2"/>
    <n v="13"/>
    <x v="19"/>
    <x v="21"/>
    <x v="2"/>
  </r>
  <r>
    <n v="24"/>
    <m/>
    <x v="1"/>
    <n v="21480"/>
    <x v="2"/>
    <s v="Gerencia de Mantenimiento, Confiabilidad y Construcción"/>
    <s v="REACREDITACION DE SIGNATARIOS DEL SPPTR (RSPTR)"/>
    <s v="A DISTANCIA"/>
    <n v="458886"/>
    <s v="Edgar Mendoza Rodriguez"/>
    <n v="8"/>
    <n v="1"/>
    <n v="16"/>
    <x v="20"/>
    <x v="22"/>
    <x v="3"/>
  </r>
  <r>
    <n v="25"/>
    <m/>
    <x v="1"/>
    <n v="24913"/>
    <x v="3"/>
    <s v="Gerencia de Coordinación de Operaciones"/>
    <s v="REVALIDACION DE SEGURIDAD Y SOBREVIVENCIA COSTA AFUERA (RSSCA)"/>
    <s v="PRESENCIAL"/>
    <n v="354951"/>
    <s v="Raul Armando Garza Torre"/>
    <n v="16"/>
    <n v="2"/>
    <n v="1"/>
    <x v="21"/>
    <x v="22"/>
    <x v="3"/>
  </r>
  <r>
    <n v="26"/>
    <m/>
    <x v="1"/>
    <n v="26163"/>
    <x v="4"/>
    <s v="Gerencia de Perforación y Reparación de Pozos Marina"/>
    <s v="SEGURIDAD Y SOBREVIVENCIA COSTA AFUERA (SSCA)"/>
    <s v="PRESENCIAL"/>
    <n v="350060"/>
    <s v="Hernan Zurita Dominguez"/>
    <n v="24"/>
    <n v="3"/>
    <n v="12"/>
    <x v="22"/>
    <x v="23"/>
    <x v="3"/>
  </r>
  <r>
    <n v="27"/>
    <m/>
    <x v="1"/>
    <n v="27340"/>
    <x v="4"/>
    <s v="Gerencia de Perforación y Reparación de Pozos Marina"/>
    <s v="SISTEMA DE PERMISOS PARA TRABAJOS CON RIESGO (SPTR)"/>
    <s v="PRESENCIAL"/>
    <n v="419491"/>
    <s v="Julio Andres Barrios Almazan"/>
    <n v="24"/>
    <n v="3"/>
    <n v="12"/>
    <x v="23"/>
    <x v="23"/>
    <x v="3"/>
  </r>
  <r>
    <n v="28"/>
    <m/>
    <x v="1"/>
    <n v="29663"/>
    <x v="1"/>
    <s v="Gerencia de Seguridad, Salud en el Trabajo y Protección Ambiental Región Marina"/>
    <s v="PREVENCION DE RIESGOS LABORALES"/>
    <s v="A DISTANCIA"/>
    <n v="206830"/>
    <s v="José Trinidad Osorno Requena"/>
    <n v="16"/>
    <n v="2"/>
    <n v="8"/>
    <x v="23"/>
    <x v="24"/>
    <x v="3"/>
  </r>
  <r>
    <n v="29"/>
    <m/>
    <x v="1"/>
    <n v="24914"/>
    <x v="3"/>
    <s v="Gerencia de Coordinación de Operaciones"/>
    <s v="REVALIDACION DE SEGURIDAD Y SOBREVIVENCIA COSTA AFUERA (RSSCA)"/>
    <s v="PRESENCIAL"/>
    <n v="354951"/>
    <s v="Raul Armando Garza Torre"/>
    <n v="16"/>
    <n v="2"/>
    <n v="1"/>
    <x v="24"/>
    <x v="25"/>
    <x v="3"/>
  </r>
  <r>
    <n v="30"/>
    <m/>
    <x v="1"/>
    <n v="27334"/>
    <x v="4"/>
    <s v="Gerencia de Perforación y Reparación de Pozos Marina"/>
    <s v="SISTEMA DE PERMISOS PARA TRABAJOS CON RIESGO (SPTR)"/>
    <s v="PRESENCIAL"/>
    <n v="419491"/>
    <s v="Julio Andres Barrios Almazan"/>
    <n v="24"/>
    <n v="3"/>
    <n v="10"/>
    <x v="25"/>
    <x v="26"/>
    <x v="3"/>
  </r>
  <r>
    <n v="31"/>
    <m/>
    <x v="1"/>
    <n v="27826"/>
    <x v="4"/>
    <s v="Gerencia de Servicios a Pozos"/>
    <s v="BASICO DE SEGURIDAD (BS)"/>
    <s v="PRESENCIAL"/>
    <n v="350060"/>
    <s v="Hernan Zurita Dominguez"/>
    <n v="16"/>
    <n v="2"/>
    <n v="13"/>
    <x v="26"/>
    <x v="27"/>
    <x v="3"/>
  </r>
  <r>
    <n v="32"/>
    <m/>
    <x v="1"/>
    <n v="21481"/>
    <x v="2"/>
    <s v="Gerencia de Mantenimiento, Confiabilidad y Construcción"/>
    <s v="REACREDITACION DE SIGNATARIOS DEL SPPTR (RSPTR)"/>
    <s v="A DISTANCIA"/>
    <n v="458886"/>
    <s v="Edgar Mendoza Rodriguez"/>
    <n v="8"/>
    <n v="1"/>
    <n v="11"/>
    <x v="27"/>
    <x v="28"/>
    <x v="3"/>
  </r>
  <r>
    <n v="33"/>
    <m/>
    <x v="1"/>
    <n v="27335"/>
    <x v="4"/>
    <s v="Gerencia de Perforación y Reparación de Pozos Marina"/>
    <s v="SISTEMA DE PERMISOS PARA TRABAJOS CON RIESGO (SPTR)"/>
    <s v="PRESENCIAL"/>
    <n v="419491"/>
    <s v="Julio Andres Barrios Almazan"/>
    <n v="24"/>
    <n v="3"/>
    <n v="10"/>
    <x v="28"/>
    <x v="28"/>
    <x v="3"/>
  </r>
  <r>
    <n v="34"/>
    <m/>
    <x v="1"/>
    <n v="24750"/>
    <x v="3"/>
    <s v="Gerencia de Coordinación de Operaciones"/>
    <s v="SISTEMA DE PERMISOS PARA TRABAJOS CON RIESGO (SPTR)"/>
    <s v="PRESENCIAL"/>
    <n v="354951"/>
    <s v="Raul Armando Garza Torre"/>
    <n v="24"/>
    <n v="3"/>
    <n v="5"/>
    <x v="29"/>
    <x v="29"/>
    <x v="3"/>
  </r>
  <r>
    <n v="35"/>
    <m/>
    <x v="1"/>
    <n v="28027"/>
    <x v="4"/>
    <s v="Gerencia de Servicios a Pozos"/>
    <s v="SOBREVIVENCIA EN EL MAR (SM)"/>
    <s v="PRESENCIAL"/>
    <s v="CASES"/>
    <s v="INSTRUCTOR CASES ."/>
    <n v="16"/>
    <n v="2"/>
    <n v="8"/>
    <x v="30"/>
    <x v="29"/>
    <x v="3"/>
  </r>
  <r>
    <n v="36"/>
    <m/>
    <x v="1"/>
    <n v="27352"/>
    <x v="4"/>
    <s v="Gerencia de Perforación y Reparación de Pozos Marina"/>
    <s v="SISTEMA DE PERMISOS PARA TRABAJOS CON RIESGO (SPTR)"/>
    <s v="PRESENCIAL"/>
    <n v="489671"/>
    <s v="Pedro Zacarias Alcocer"/>
    <n v="24"/>
    <n v="3"/>
    <n v="12"/>
    <x v="30"/>
    <x v="30"/>
    <x v="3"/>
  </r>
  <r>
    <n v="37"/>
    <m/>
    <x v="1"/>
    <n v="21482"/>
    <x v="2"/>
    <s v="Gerencia de Mantenimiento, Confiabilidad y Construcción"/>
    <s v="REACREDITACION DE SIGNATARIOS DEL SPPTR (RSPTR)"/>
    <s v="A DISTANCIA"/>
    <n v="458886"/>
    <s v="Edgar Mendoza Rodriguez"/>
    <n v="8"/>
    <n v="1"/>
    <n v="20"/>
    <x v="31"/>
    <x v="31"/>
    <x v="4"/>
  </r>
  <r>
    <n v="38"/>
    <m/>
    <x v="1"/>
    <n v="21446"/>
    <x v="2"/>
    <s v="Gerencia de Mantenimiento, Confiabilidad y Construcción"/>
    <s v="BASICO DE SEGURIDAD (BS)"/>
    <s v="PRESENCIAL"/>
    <n v="354951"/>
    <s v="Raul Armando Garza Torre"/>
    <n v="16"/>
    <n v="2"/>
    <n v="10"/>
    <x v="32"/>
    <x v="32"/>
    <x v="4"/>
  </r>
  <r>
    <n v="39"/>
    <m/>
    <x v="1"/>
    <n v="21447"/>
    <x v="2"/>
    <s v="Gerencia de Mantenimiento, Confiabilidad y Construcción"/>
    <s v="BASICO DE SEGURIDAD (BS)"/>
    <s v="A DISTANCIA"/>
    <n v="354951"/>
    <s v="Raul Armando Garza Torre"/>
    <n v="16"/>
    <n v="2"/>
    <n v="22"/>
    <x v="33"/>
    <x v="33"/>
    <x v="4"/>
  </r>
  <r>
    <n v="40"/>
    <m/>
    <x v="1"/>
    <n v="28026"/>
    <x v="4"/>
    <s v="Gerencia de Servicios a Pozos"/>
    <s v="SOBREVIVENCIA EN EL MAR (SM)"/>
    <s v="PRESENCIAL"/>
    <s v="CASES"/>
    <s v="INSTRUCTOR CASES ."/>
    <n v="16"/>
    <n v="2"/>
    <n v="7"/>
    <x v="33"/>
    <x v="33"/>
    <x v="4"/>
  </r>
  <r>
    <n v="41"/>
    <m/>
    <x v="1"/>
    <n v="22169"/>
    <x v="1"/>
    <s v="Gerencia de Seguridad, Salud en el Trabajo y Protección Ambiental Región Marina"/>
    <s v="BRIGADAS DE BUSQUEDA Y RESCATE (BBR)"/>
    <s v="PRESENCIAL"/>
    <n v="389970"/>
    <s v="Azariel Lopez Lara"/>
    <n v="24"/>
    <n v="3"/>
    <n v="12"/>
    <x v="34"/>
    <x v="34"/>
    <x v="4"/>
  </r>
  <r>
    <n v="42"/>
    <m/>
    <x v="1"/>
    <n v="24591"/>
    <x v="1"/>
    <s v="Gerencia de Seguridad, Salud en el Trabajo y Protección Ambiental Región Marina"/>
    <s v="SEGURIDAD Y SOBREVIVENCIA COSTA AFUERA (SSCA)"/>
    <s v="PRESENCIAL"/>
    <n v="354951"/>
    <s v="Raul Armando Garza Torre"/>
    <n v="24"/>
    <n v="3"/>
    <n v="12"/>
    <x v="35"/>
    <x v="35"/>
    <x v="4"/>
  </r>
  <r>
    <n v="43"/>
    <m/>
    <x v="1"/>
    <n v="29681"/>
    <x v="1"/>
    <s v="Gerencia de Seguridad, Salud en el Trabajo y Protección Ambiental Región Marina"/>
    <s v="DISCIPLINA OPERATIVA"/>
    <s v="A DISTANCIA"/>
    <n v="350060"/>
    <s v="Hernan Zurita Dominguez"/>
    <n v="16"/>
    <n v="2"/>
    <n v="14"/>
    <x v="35"/>
    <x v="36"/>
    <x v="4"/>
  </r>
  <r>
    <n v="44"/>
    <m/>
    <x v="1"/>
    <n v="24916"/>
    <x v="3"/>
    <s v="Gerencia de Coordinación de Operaciones"/>
    <s v="REVALIDACION DE SEGURIDAD Y SOBREVIVENCIA COSTA AFUERA (RSSCA)"/>
    <s v="PRESENCIAL"/>
    <n v="354951"/>
    <s v="Raul Armando Garza Torre"/>
    <n v="16"/>
    <n v="2"/>
    <n v="7"/>
    <x v="36"/>
    <x v="37"/>
    <x v="4"/>
  </r>
  <r>
    <n v="45"/>
    <m/>
    <x v="1"/>
    <n v="27336"/>
    <x v="4"/>
    <s v="Gerencia de Perforación y Reparación de Pozos Marina"/>
    <s v="SISTEMA DE PERMISOS PARA TRABAJOS CON RIESGO (SPTR)"/>
    <s v="PRESENCIAL"/>
    <n v="419491"/>
    <s v="Julio Andres Barrios Almazan"/>
    <n v="24"/>
    <n v="3"/>
    <n v="7"/>
    <x v="37"/>
    <x v="37"/>
    <x v="4"/>
  </r>
  <r>
    <n v="46"/>
    <m/>
    <x v="1"/>
    <n v="21483"/>
    <x v="2"/>
    <s v="Gerencia de Mantenimiento, Confiabilidad y Construcción"/>
    <s v="REACREDITACION DE SIGNATARIOS DEL SPPTR (RSPTR)"/>
    <s v="A DISTANCIA"/>
    <n v="458886"/>
    <s v="Edgar Mendoza Rodriguez"/>
    <n v="8"/>
    <n v="1"/>
    <n v="13"/>
    <x v="38"/>
    <x v="38"/>
    <x v="4"/>
  </r>
  <r>
    <n v="47"/>
    <m/>
    <x v="1"/>
    <n v="27337"/>
    <x v="4"/>
    <s v="Gerencia de Perforación y Reparación de Pozos Marina"/>
    <s v="SISTEMA DE PERMISOS PARA TRABAJOS CON RIESGO (SPTR)"/>
    <s v="PRESENCIAL"/>
    <n v="419491"/>
    <s v="Julio Andres Barrios Almazan"/>
    <n v="24"/>
    <n v="3"/>
    <n v="7"/>
    <x v="39"/>
    <x v="39"/>
    <x v="4"/>
  </r>
  <r>
    <n v="48"/>
    <m/>
    <x v="1"/>
    <n v="24592"/>
    <x v="1"/>
    <s v="Gerencia de Seguridad, Salud en el Trabajo y Protección Ambiental Región Marina"/>
    <s v="SEGURIDAD Y SOBREVIVENCIA COSTA AFUERA (SSCA)"/>
    <s v="PRESENCIAL"/>
    <n v="354951"/>
    <s v="Raul Armando Garza Torre"/>
    <n v="24"/>
    <n v="3"/>
    <n v="12"/>
    <x v="40"/>
    <x v="40"/>
    <x v="4"/>
  </r>
  <r>
    <n v="49"/>
    <m/>
    <x v="1"/>
    <n v="25933"/>
    <x v="4"/>
    <s v="Gerencia de Perforación y Reparación de Pozos Marina"/>
    <s v="BRIGADAS CONTRAINCENDIOS (BCII)"/>
    <s v="PRESENCIAL"/>
    <n v="489671"/>
    <s v="Pedro Zacarias Alcocer"/>
    <n v="24"/>
    <n v="3"/>
    <n v="5"/>
    <x v="40"/>
    <x v="40"/>
    <x v="4"/>
  </r>
  <r>
    <n v="50"/>
    <m/>
    <x v="1"/>
    <n v="26157"/>
    <x v="4"/>
    <s v="Gerencia de Perforación y Reparación de Pozos Marina"/>
    <s v="SEGURIDAD Y SOBREVIVENCIA COSTA AFUERA (SSCA)"/>
    <s v="PRESENCIAL"/>
    <n v="411339"/>
    <s v="Carlos Alfredo Ramirez Barrenechea"/>
    <n v="24"/>
    <n v="3"/>
    <n v="12"/>
    <x v="41"/>
    <x v="41"/>
    <x v="4"/>
  </r>
  <r>
    <n v="51"/>
    <m/>
    <x v="1"/>
    <n v="21432"/>
    <x v="2"/>
    <s v="Gerencia de Mantenimiento, Confiabilidad y Construcción"/>
    <s v="REVALIDACION DE SEGURIDAD Y SOBREVIVENCIA COSTA AFUERA (RSSCA)"/>
    <s v="PRESENCIAL"/>
    <n v="389970"/>
    <s v="Azariel Lopez Lara"/>
    <n v="16"/>
    <n v="2"/>
    <n v="19"/>
    <x v="42"/>
    <x v="42"/>
    <x v="4"/>
  </r>
  <r>
    <n v="52"/>
    <m/>
    <x v="1"/>
    <n v="24918"/>
    <x v="3"/>
    <s v="Gerencia de Coordinación de Operaciones"/>
    <s v="REVALIDACION DE SEGURIDAD Y SOBREVIVENCIA COSTA AFUERA (RSSCA)"/>
    <s v="PRESENCIAL"/>
    <n v="354951"/>
    <s v="Raul Armando Garza Torre"/>
    <n v="16"/>
    <n v="2"/>
    <n v="5"/>
    <x v="43"/>
    <x v="43"/>
    <x v="5"/>
  </r>
  <r>
    <n v="53"/>
    <m/>
    <x v="1"/>
    <n v="24923"/>
    <x v="3"/>
    <s v="Gerencia de Coordinación de Operaciones"/>
    <s v="REVALIDACION DE SEGURIDAD Y SOBREVIVENCIA COSTA AFUERA (RSSCA)"/>
    <s v="PRESENCIAL"/>
    <n v="354951"/>
    <s v="Raul Armando Garza Torre"/>
    <n v="16"/>
    <n v="2"/>
    <n v="1"/>
    <x v="44"/>
    <x v="44"/>
    <x v="5"/>
  </r>
  <r>
    <n v="54"/>
    <m/>
    <x v="1"/>
    <n v="27342"/>
    <x v="4"/>
    <s v="Gerencia de Perforación y Reparación de Pozos Marina"/>
    <s v="SISTEMA DE PERMISOS PARA TRABAJOS CON RIESGO (SPTR)"/>
    <s v="PRESENCIAL"/>
    <n v="316048"/>
    <s v="Francisco Carvallo Uscanga"/>
    <n v="24"/>
    <n v="3"/>
    <n v="12"/>
    <x v="45"/>
    <x v="44"/>
    <x v="5"/>
  </r>
  <r>
    <n v="55"/>
    <m/>
    <x v="1"/>
    <n v="24070"/>
    <x v="0"/>
    <s v="Coordinación de Servicios Marinos y de Mantenimiento, Confiabilidad y Construcción de Infraestructura"/>
    <s v="SEGURIDAD Y SOBREVIVENCIA COSTA AFUERA (SSCA)"/>
    <s v="PRESENCIAL"/>
    <n v="350060"/>
    <s v="Hernan Zurita Dominguez"/>
    <n v="24"/>
    <n v="3"/>
    <n v="9"/>
    <x v="44"/>
    <x v="45"/>
    <x v="5"/>
  </r>
  <r>
    <n v="56"/>
    <m/>
    <x v="1"/>
    <n v="26158"/>
    <x v="4"/>
    <s v="Gerencia de Perforación y Reparación de Pozos Marina"/>
    <s v="SEGURIDAD Y SOBREVIVENCIA COSTA AFUERA (SSCA)"/>
    <s v="PRESENCIAL"/>
    <n v="329117"/>
    <s v="Daniel Diamantis Gonzalez Perez"/>
    <n v="24"/>
    <n v="3"/>
    <n v="12"/>
    <x v="44"/>
    <x v="45"/>
    <x v="5"/>
  </r>
  <r>
    <n v="57"/>
    <m/>
    <x v="1"/>
    <n v="21484"/>
    <x v="2"/>
    <s v="Gerencia de Mantenimiento, Confiabilidad y Construcción"/>
    <s v="REACREDITACION DE SIGNATARIOS DEL SPPTR (RSPTR)"/>
    <s v="A DISTANCIA"/>
    <n v="458886"/>
    <s v="Edgar Mendoza Rodriguez"/>
    <n v="8"/>
    <n v="1"/>
    <n v="15"/>
    <x v="46"/>
    <x v="46"/>
    <x v="5"/>
  </r>
  <r>
    <n v="58"/>
    <m/>
    <x v="1"/>
    <n v="27343"/>
    <x v="4"/>
    <s v="Gerencia de Perforación y Reparación de Pozos Marina"/>
    <s v="SISTEMA DE PERMISOS PARA TRABAJOS CON RIESGO (SPTR)"/>
    <s v="PRESENCIAL"/>
    <n v="316048"/>
    <s v="Francisco Carvallo Uscanga"/>
    <n v="24"/>
    <n v="3"/>
    <n v="12"/>
    <x v="47"/>
    <x v="46"/>
    <x v="5"/>
  </r>
  <r>
    <n v="59"/>
    <m/>
    <x v="1"/>
    <n v="30264"/>
    <x v="1"/>
    <s v="Gerencia de Seguridad, Salud en el Trabajo y Protección Ambiental Región Marina"/>
    <s v="LIDERAZGO EN SSPA"/>
    <s v="A DISTANCIA"/>
    <n v="458886"/>
    <s v="Edgar Mendoza Rodriguez"/>
    <n v="16"/>
    <n v="2"/>
    <n v="10"/>
    <x v="44"/>
    <x v="47"/>
    <x v="5"/>
  </r>
  <r>
    <n v="60"/>
    <m/>
    <x v="1"/>
    <n v="27344"/>
    <x v="4"/>
    <s v="Gerencia de Perforación y Reparación de Pozos Marina"/>
    <s v="SISTEMA DE PERMISOS PARA TRABAJOS CON RIESGO (SPTR)"/>
    <s v="PRESENCIAL"/>
    <n v="419491"/>
    <s v="Julio Andres Barrios Almazan"/>
    <n v="24"/>
    <n v="3"/>
    <n v="12"/>
    <x v="48"/>
    <x v="48"/>
    <x v="5"/>
  </r>
  <r>
    <n v="61"/>
    <m/>
    <x v="1"/>
    <n v="24919"/>
    <x v="3"/>
    <s v="Gerencia de Coordinación de Operaciones"/>
    <s v="REVALIDACION DE SEGURIDAD Y SOBREVIVENCIA COSTA AFUERA (RSSCA)"/>
    <s v="PRESENCIAL"/>
    <n v="354951"/>
    <s v="Raul Armando Garza Torre"/>
    <n v="16"/>
    <n v="2"/>
    <n v="5"/>
    <x v="49"/>
    <x v="49"/>
    <x v="5"/>
  </r>
  <r>
    <n v="62"/>
    <m/>
    <x v="1"/>
    <n v="24922"/>
    <x v="3"/>
    <s v="Gerencia de Coordinación de Operaciones"/>
    <s v="REVALIDACION DE SEGURIDAD Y SOBREVIVENCIA COSTA AFUERA (RSSCA)"/>
    <s v="PRESENCIAL"/>
    <n v="354951"/>
    <s v="Raul Armando Garza Torre"/>
    <n v="16"/>
    <n v="2"/>
    <n v="11"/>
    <x v="50"/>
    <x v="50"/>
    <x v="5"/>
  </r>
  <r>
    <n v="63"/>
    <m/>
    <x v="1"/>
    <n v="27345"/>
    <x v="4"/>
    <s v="Gerencia de Perforación y Reparación de Pozos Marina"/>
    <s v="SISTEMA DE PERMISOS PARA TRABAJOS CON RIESGO (SPTR)"/>
    <s v="PRESENCIAL"/>
    <n v="489671"/>
    <s v="Pedro Zacarias Alcocer"/>
    <n v="24"/>
    <n v="3"/>
    <n v="12"/>
    <x v="51"/>
    <x v="51"/>
    <x v="5"/>
  </r>
  <r>
    <n v="64"/>
    <m/>
    <x v="1"/>
    <n v="26159"/>
    <x v="4"/>
    <s v="Gerencia de Perforación y Reparación de Pozos Marina"/>
    <s v="SEGURIDAD Y SOBREVIVENCIA COSTA AFUERA (SSCA)"/>
    <s v="PRESENCIAL"/>
    <n v="411339"/>
    <s v="Carlos Alfredo Ramirez Barrenechea"/>
    <n v="24"/>
    <n v="3"/>
    <n v="12"/>
    <x v="51"/>
    <x v="51"/>
    <x v="5"/>
  </r>
  <r>
    <n v="65"/>
    <m/>
    <x v="1"/>
    <n v="28028"/>
    <x v="4"/>
    <s v="Gerencia de Servicios a Pozos"/>
    <s v="SOBREVIVENCIA EN EL MAR (SM)"/>
    <s v="PRESENCIAL"/>
    <n v="354951"/>
    <s v="Raul Armando Garza Torre"/>
    <n v="16"/>
    <n v="2"/>
    <n v="4"/>
    <x v="52"/>
    <x v="52"/>
    <x v="5"/>
  </r>
  <r>
    <n v="66"/>
    <m/>
    <x v="1"/>
    <n v="21434"/>
    <x v="2"/>
    <s v="Gerencia de Mantenimiento, Confiabilidad y Construcción"/>
    <s v="REVALIDACION DE SEGURIDAD Y SOBREVIVENCIA COSTA AFUERA (RSSCA)"/>
    <s v="PRESENCIAL"/>
    <n v="389970"/>
    <s v="Azariel Lopez Lara"/>
    <n v="16"/>
    <n v="2"/>
    <n v="12"/>
    <x v="53"/>
    <x v="53"/>
    <x v="5"/>
  </r>
  <r>
    <n v="67"/>
    <m/>
    <x v="1"/>
    <n v="26104"/>
    <x v="2"/>
    <s v="Activo de Producción Cantarell"/>
    <s v="REVALIDACION DE SEGURIDAD Y SOBREVIVENCIA COSTA AFUERA (RSSCA)"/>
    <s v="PRESENCIAL"/>
    <n v="389970"/>
    <s v="Azariel Lopez Lara"/>
    <n v="16"/>
    <n v="2"/>
    <n v="20"/>
    <x v="54"/>
    <x v="54"/>
    <x v="6"/>
  </r>
  <r>
    <n v="68"/>
    <m/>
    <x v="1"/>
    <n v="24789"/>
    <x v="5"/>
    <s v="Gerencia de Caracterización de Yacimientos y Exploración de Campos"/>
    <s v="BRIGADAS DE BUSQUEDA Y RESCATE (BBR)"/>
    <s v="PRESENCIAL"/>
    <n v="354951"/>
    <s v="Raul Armando Garza Torre"/>
    <n v="24"/>
    <n v="3"/>
    <n v="1"/>
    <x v="54"/>
    <x v="55"/>
    <x v="6"/>
  </r>
  <r>
    <n v="69"/>
    <m/>
    <x v="1"/>
    <n v="23496"/>
    <x v="0"/>
    <s v="Coordinación de Servicios Marinos y de Mantenimiento, Confiabilidad y Construcción de Infraestructura"/>
    <s v="BRIGADAS CONTRAINCENDIOS (BCII)"/>
    <s v="PRESENCIAL"/>
    <n v="350060"/>
    <s v="Hernan Zurita Dominguez"/>
    <n v="24"/>
    <n v="3"/>
    <n v="6"/>
    <x v="54"/>
    <x v="55"/>
    <x v="6"/>
  </r>
  <r>
    <n v="70"/>
    <m/>
    <x v="1"/>
    <n v="27338"/>
    <x v="4"/>
    <s v="Gerencia de Perforación y Reparación de Pozos Marina"/>
    <s v="SISTEMA DE PERMISOS PARA TRABAJOS CON RIESGO (SPTR)"/>
    <s v="PRESENCIAL"/>
    <n v="415202"/>
    <s v="Hermilo Vazquez Hernandez"/>
    <n v="24"/>
    <n v="3"/>
    <n v="10"/>
    <x v="55"/>
    <x v="56"/>
    <x v="6"/>
  </r>
  <r>
    <n v="71"/>
    <m/>
    <x v="1"/>
    <n v="26401"/>
    <x v="2"/>
    <s v="Activo de Producción Cantarell"/>
    <s v="REACREDITACION DE SIGNATARIOS DEL SPPTR (RSPTR)"/>
    <s v="A DISTANCIA"/>
    <n v="510745"/>
    <s v="Cesar Ivan Chulines Granados"/>
    <n v="8"/>
    <n v="1"/>
    <n v="10"/>
    <x v="56"/>
    <x v="57"/>
    <x v="6"/>
  </r>
  <r>
    <n v="72"/>
    <m/>
    <x v="1"/>
    <n v="26161"/>
    <x v="4"/>
    <s v="Gerencia de Perforación y Reparación de Pozos Marina"/>
    <s v="SEGURIDAD Y SOBREVIVENCIA COSTA AFUERA (SSCA)"/>
    <s v="PRESENCIAL"/>
    <n v="350060"/>
    <s v="Hernan Zurita Dominguez"/>
    <n v="24"/>
    <n v="3"/>
    <n v="12"/>
    <x v="56"/>
    <x v="58"/>
    <x v="6"/>
  </r>
  <r>
    <n v="73"/>
    <m/>
    <x v="1"/>
    <n v="27346"/>
    <x v="4"/>
    <s v="Gerencia de Perforación y Reparación de Pozos Marina"/>
    <s v="SISTEMA DE PERMISOS PARA TRABAJOS CON RIESGO (SPTR)"/>
    <s v="PRESENCIAL"/>
    <n v="415202"/>
    <s v="Hermilo Vazquez Hernandez"/>
    <n v="24"/>
    <n v="3"/>
    <n v="12"/>
    <x v="56"/>
    <x v="58"/>
    <x v="6"/>
  </r>
  <r>
    <n v="74"/>
    <m/>
    <x v="1"/>
    <n v="26416"/>
    <x v="2"/>
    <s v="Activo de Producción Cantarell"/>
    <s v="REVALIDACION BASICO DE SEGURIDAD (BS)"/>
    <s v="PRESENCIAL"/>
    <n v="389970"/>
    <s v="Azariel Lopez Lara"/>
    <n v="8"/>
    <n v="1"/>
    <n v="20"/>
    <x v="57"/>
    <x v="59"/>
    <x v="6"/>
  </r>
  <r>
    <n v="75"/>
    <m/>
    <x v="1"/>
    <n v="21993"/>
    <x v="5"/>
    <s v="Gerencia de Caracterización de Yacimientos y Exploración de Campos"/>
    <s v="BASICO DE SEGURIDAD (BS)"/>
    <s v="PRESENCIAL"/>
    <n v="197995"/>
    <s v="Oscar Freddy Dominguez Sanchez"/>
    <n v="16"/>
    <n v="2"/>
    <n v="2"/>
    <x v="57"/>
    <x v="60"/>
    <x v="6"/>
  </r>
  <r>
    <n v="76"/>
    <m/>
    <x v="1"/>
    <n v="21435"/>
    <x v="2"/>
    <s v="Gerencia de Mantenimiento, Confiabilidad y Construcción"/>
    <s v="REVALIDACION DE SEGURIDAD Y SOBREVIVENCIA COSTA AFUERA (RSSCA)"/>
    <s v="A DISTANCIA"/>
    <n v="389970"/>
    <s v="Azariel Lopez Lara"/>
    <n v="16"/>
    <n v="2"/>
    <n v="12"/>
    <x v="58"/>
    <x v="61"/>
    <x v="6"/>
  </r>
  <r>
    <n v="77"/>
    <m/>
    <x v="1"/>
    <n v="26094"/>
    <x v="2"/>
    <s v="Activo de Producción Cantarell"/>
    <s v="REVALIDACION DE SEGURIDAD Y SOBREVIVENCIA COSTA AFUERA (RSSCA)"/>
    <s v="PRESENCIAL"/>
    <n v="389970"/>
    <s v="Azariel Lopez Lara"/>
    <n v="16"/>
    <n v="2"/>
    <n v="20"/>
    <x v="59"/>
    <x v="62"/>
    <x v="6"/>
  </r>
  <r>
    <n v="78"/>
    <m/>
    <x v="1"/>
    <n v="21448"/>
    <x v="2"/>
    <s v="Gerencia de Mantenimiento, Confiabilidad y Construcción"/>
    <s v="BASICO DE SEGURIDAD (BS)"/>
    <s v="PRESENCIAL"/>
    <n v="354951"/>
    <s v="Raul Armando Garza Torre"/>
    <n v="16"/>
    <n v="2"/>
    <n v="11"/>
    <x v="60"/>
    <x v="63"/>
    <x v="6"/>
  </r>
  <r>
    <n v="79"/>
    <m/>
    <x v="1"/>
    <n v="28128"/>
    <x v="2"/>
    <s v="Activo de Producción Cantarell"/>
    <s v="SISTEMA DE PERMISOS PARA TRABAJOS CON RIESGO (SPTR)"/>
    <s v="PRESENCIAL"/>
    <n v="374253"/>
    <s v="Eduardo Gonzalez Rodriguez"/>
    <n v="24"/>
    <n v="3"/>
    <n v="18"/>
    <x v="60"/>
    <x v="64"/>
    <x v="6"/>
  </r>
  <r>
    <n v="80"/>
    <m/>
    <x v="1"/>
    <n v="26049"/>
    <x v="4"/>
    <s v="Gerencia de Perforación y Reparación de Pozos Marina"/>
    <s v="BRIGADAS DE PRIMEROS AUXILIOS(BPA)"/>
    <s v="PRESENCIAL"/>
    <n v="411339"/>
    <s v="Carlos Alfredo Ramirez Barrenechea"/>
    <n v="16"/>
    <n v="2"/>
    <n v="11"/>
    <x v="61"/>
    <x v="64"/>
    <x v="6"/>
  </r>
  <r>
    <n v="81"/>
    <m/>
    <x v="1"/>
    <n v="27347"/>
    <x v="4"/>
    <s v="Gerencia de Perforación y Reparación de Pozos Marina"/>
    <s v="SISTEMA DE PERMISOS PARA TRABAJOS CON RIESGO (SPTR)"/>
    <s v="PRESENCIAL"/>
    <n v="489671"/>
    <s v="Pedro Zacarias Alcocer"/>
    <n v="24"/>
    <n v="3"/>
    <n v="12"/>
    <x v="62"/>
    <x v="65"/>
    <x v="6"/>
  </r>
  <r>
    <n v="82"/>
    <m/>
    <x v="1"/>
    <n v="26414"/>
    <x v="2"/>
    <s v="Activo de Producción Cantarell"/>
    <s v="REVALIDACION BASICO DE SEGURIDAD (BS)"/>
    <s v="PRESENCIAL"/>
    <n v="389970"/>
    <s v="Azariel Lopez Lara"/>
    <n v="8"/>
    <n v="1"/>
    <n v="20"/>
    <x v="63"/>
    <x v="66"/>
    <x v="6"/>
  </r>
  <r>
    <n v="83"/>
    <m/>
    <x v="1"/>
    <n v="27990"/>
    <x v="5"/>
    <s v="Activo de Exploración Marina Sur"/>
    <s v="BASICO DE SEGURIDAD (BS)"/>
    <s v="PRESENCIAL"/>
    <n v="441106"/>
    <s v="Javier Becerril Morales"/>
    <n v="16"/>
    <n v="4"/>
    <n v="16"/>
    <x v="63"/>
    <x v="67"/>
    <x v="6"/>
  </r>
  <r>
    <n v="84"/>
    <m/>
    <x v="1"/>
    <n v="26096"/>
    <x v="2"/>
    <s v="Activo de Producción Cantarell"/>
    <s v="REVALIDACION DE SEGURIDAD Y SOBREVIVENCIA COSTA AFUERA (RSSCA)"/>
    <s v="PRESENCIAL"/>
    <n v="389970"/>
    <s v="Azariel Lopez Lara"/>
    <n v="16"/>
    <n v="2"/>
    <n v="20"/>
    <x v="64"/>
    <x v="68"/>
    <x v="6"/>
  </r>
  <r>
    <n v="85"/>
    <m/>
    <x v="1"/>
    <n v="26050"/>
    <x v="4"/>
    <s v="Gerencia de Perforación y Reparación de Pozos Marina"/>
    <s v="BRIGADAS DE PRIMEROS AUXILIOS(BPA)"/>
    <s v="PRESENCIAL"/>
    <n v="411339"/>
    <s v="Carlos Alfredo Ramirez Barrenechea"/>
    <n v="16"/>
    <n v="2"/>
    <n v="12"/>
    <x v="64"/>
    <x v="68"/>
    <x v="6"/>
  </r>
  <r>
    <n v="86"/>
    <m/>
    <x v="1"/>
    <n v="24915"/>
    <x v="3"/>
    <s v="Gerencia de Coordinación de Operaciones"/>
    <s v="REVALIDACION DE SEGURIDAD Y SOBREVIVENCIA COSTA AFUERA (RSSCA)"/>
    <s v="PRESENCIAL"/>
    <n v="354951"/>
    <s v="Raul Armando Garza Torre"/>
    <n v="16"/>
    <n v="2"/>
    <n v="7"/>
    <x v="65"/>
    <x v="69"/>
    <x v="6"/>
  </r>
  <r>
    <n v="87"/>
    <m/>
    <x v="1"/>
    <n v="24069"/>
    <x v="0"/>
    <s v="Coordinación de Servicios Marinos y de Mantenimiento, Confiabilidad y Construcción de Infraestructura"/>
    <s v="SEGURIDAD Y SOBREVIVENCIA COSTA AFUERA (SSCA)"/>
    <s v="PRESENCIAL"/>
    <n v="350060"/>
    <s v="Hernan Zurita Dominguez"/>
    <n v="24"/>
    <n v="3"/>
    <n v="10"/>
    <x v="64"/>
    <x v="69"/>
    <x v="6"/>
  </r>
  <r>
    <n v="88"/>
    <m/>
    <x v="1"/>
    <n v="26389"/>
    <x v="2"/>
    <s v="Activo de Producción Cantarell"/>
    <s v="REACREDITACION DE SIGNATARIOS DEL SPPTR (RSPTR)"/>
    <s v="A DISTANCIA"/>
    <n v="510745"/>
    <s v="Cesar Ivan Chulines Granados"/>
    <n v="8"/>
    <n v="1"/>
    <n v="20"/>
    <x v="66"/>
    <x v="70"/>
    <x v="6"/>
  </r>
  <r>
    <n v="89"/>
    <m/>
    <x v="1"/>
    <n v="26388"/>
    <x v="2"/>
    <s v="Activo de Producción Cantarell"/>
    <s v="REACREDITACION DE SIGNATARIOS DEL SPPTR (RSPTR)"/>
    <s v="PRESENCIAL"/>
    <n v="374253"/>
    <s v="Eduardo Gonzalez Rodriguez"/>
    <n v="8"/>
    <n v="1"/>
    <n v="20"/>
    <x v="67"/>
    <x v="71"/>
    <x v="6"/>
  </r>
  <r>
    <n v="90"/>
    <m/>
    <x v="1"/>
    <n v="21436"/>
    <x v="2"/>
    <s v="Gerencia de Mantenimiento, Confiabilidad y Construcción"/>
    <s v="REVALIDACION DE SEGURIDAD Y SOBREVIVENCIA COSTA AFUERA (RSSCA)"/>
    <s v="PRESENCIAL"/>
    <n v="389970"/>
    <s v="Azariel Lopez Lara"/>
    <n v="16"/>
    <n v="2"/>
    <n v="12"/>
    <x v="68"/>
    <x v="72"/>
    <x v="6"/>
  </r>
  <r>
    <n v="91"/>
    <m/>
    <x v="1"/>
    <n v="24984"/>
    <x v="5"/>
    <s v="Gerencia de Caracterización de Yacimientos y Exploración de Campos"/>
    <s v="ADMINISTRACION DE RIESGOS EN PEMEX EXPLORACION Y PRODUCCION"/>
    <s v="PRESENCIAL"/>
    <n v="458886"/>
    <s v="Edgar Mendoza Rodriguez"/>
    <n v="8"/>
    <n v="1"/>
    <n v="4"/>
    <x v="69"/>
    <x v="73"/>
    <x v="7"/>
  </r>
  <r>
    <n v="92"/>
    <m/>
    <x v="1"/>
    <n v="27989"/>
    <x v="5"/>
    <s v="Activo de Exploración Marina Sur"/>
    <s v="BASICO DE SEGURIDAD (BS)"/>
    <s v="PRESENCIAL"/>
    <n v="441106"/>
    <s v="Javier Becerril Morales"/>
    <n v="16"/>
    <n v="4"/>
    <n v="17"/>
    <x v="67"/>
    <x v="73"/>
    <x v="6"/>
  </r>
  <r>
    <n v="93"/>
    <m/>
    <x v="1"/>
    <n v="27339"/>
    <x v="4"/>
    <s v="Gerencia de Perforación y Reparación de Pozos Marina"/>
    <s v="SISTEMA DE PERMISOS PARA TRABAJOS CON RIESGO (SPTR)"/>
    <s v="PRESENCIAL"/>
    <n v="415202"/>
    <s v="Hermilo Vazquez Hernandez"/>
    <n v="24"/>
    <n v="3"/>
    <n v="10"/>
    <x v="68"/>
    <x v="73"/>
    <x v="6"/>
  </r>
  <r>
    <n v="94"/>
    <m/>
    <x v="1"/>
    <n v="24717"/>
    <x v="5"/>
    <s v="Gerencia de Caracterización de Yacimientos y Exploración de Campos"/>
    <s v="BRIGADAS CONTRAINCENDIOS (BCII)"/>
    <s v="PRESENCIAL"/>
    <n v="419491"/>
    <s v="Julio Andres Barrios Almazan"/>
    <n v="24"/>
    <n v="3"/>
    <n v="2"/>
    <x v="70"/>
    <x v="74"/>
    <x v="7"/>
  </r>
  <r>
    <n v="95"/>
    <m/>
    <x v="1"/>
    <n v="27348"/>
    <x v="4"/>
    <s v="Gerencia de Perforación y Reparación de Pozos Marina"/>
    <s v="SISTEMA DE PERMISOS PARA TRABAJOS CON RIESGO (SPTR)"/>
    <s v="PRESENCIAL"/>
    <n v="316048"/>
    <s v="Francisco Carvallo Uscanga"/>
    <n v="24"/>
    <n v="3"/>
    <n v="12"/>
    <x v="69"/>
    <x v="75"/>
    <x v="7"/>
  </r>
  <r>
    <n v="96"/>
    <m/>
    <x v="1"/>
    <n v="27349"/>
    <x v="4"/>
    <s v="Gerencia de Perforación y Reparación de Pozos Marina"/>
    <s v="SISTEMA DE PERMISOS PARA TRABAJOS CON RIESGO (SPTR)"/>
    <s v="PRESENCIAL"/>
    <n v="415202"/>
    <s v="Hermilo Vazquez Hernandez"/>
    <n v="24"/>
    <n v="3"/>
    <n v="12"/>
    <x v="71"/>
    <x v="76"/>
    <x v="7"/>
  </r>
  <r>
    <n v="97"/>
    <m/>
    <x v="1"/>
    <n v="26415"/>
    <x v="2"/>
    <s v="Activo de Producción Cantarell"/>
    <s v="REVALIDACION BASICO DE SEGURIDAD (BS)"/>
    <s v="PRESENCIAL"/>
    <n v="389970"/>
    <s v="Azariel Lopez Lara"/>
    <n v="8"/>
    <n v="1"/>
    <n v="20"/>
    <x v="72"/>
    <x v="77"/>
    <x v="7"/>
  </r>
  <r>
    <n v="98"/>
    <m/>
    <x v="1"/>
    <n v="26162"/>
    <x v="4"/>
    <s v="Gerencia de Perforación y Reparación de Pozos Marina"/>
    <s v="SEGURIDAD Y SOBREVIVENCIA COSTA AFUERA (SSCA)"/>
    <s v="PRESENCIAL"/>
    <n v="350060"/>
    <s v="Hernan Zurita Dominguez"/>
    <n v="24"/>
    <n v="3"/>
    <n v="12"/>
    <x v="73"/>
    <x v="77"/>
    <x v="7"/>
  </r>
  <r>
    <n v="99"/>
    <m/>
    <x v="1"/>
    <n v="21983"/>
    <x v="5"/>
    <s v="Gerencia de Caracterización de Yacimientos y Exploración de Campos"/>
    <s v="SISTEMA DE PERMISOS PARA TRABAJOS CON RIESGO (SPTR)"/>
    <s v="PRESENCIAL"/>
    <n v="626472"/>
    <s v="Rubén Darío Alcaraz Medina"/>
    <n v="24"/>
    <n v="3"/>
    <n v="2"/>
    <x v="72"/>
    <x v="78"/>
    <x v="7"/>
  </r>
  <r>
    <n v="100"/>
    <m/>
    <x v="1"/>
    <n v="26408"/>
    <x v="2"/>
    <s v="Activo de Producción Cantarell"/>
    <s v="REACREDITACION DE SIGNATARIOS DEL SPPTR (RSPTR)"/>
    <s v="A DISTANCIA"/>
    <n v="510745"/>
    <s v="Cesar Ivan Chulines Granados"/>
    <n v="8"/>
    <n v="1"/>
    <n v="11"/>
    <x v="74"/>
    <x v="79"/>
    <x v="7"/>
  </r>
  <r>
    <n v="101"/>
    <m/>
    <x v="1"/>
    <n v="27350"/>
    <x v="4"/>
    <s v="Gerencia de Perforación y Reparación de Pozos Marina"/>
    <s v="SISTEMA DE PERMISOS PARA TRABAJOS CON RIESGO (SPTR)"/>
    <s v="PRESENCIAL"/>
    <n v="419491"/>
    <s v="Julio Andres Barrios Almazan"/>
    <n v="24"/>
    <n v="3"/>
    <n v="9"/>
    <x v="75"/>
    <x v="79"/>
    <x v="7"/>
  </r>
  <r>
    <n v="102"/>
    <m/>
    <x v="1"/>
    <n v="26413"/>
    <x v="2"/>
    <s v="Activo de Producción Cantarell"/>
    <s v="REVALIDACION BASICO DE SEGURIDAD (BS)"/>
    <s v="PRESENCIAL"/>
    <n v="389970"/>
    <s v="Azariel Lopez Lara"/>
    <n v="8"/>
    <n v="1"/>
    <n v="20"/>
    <x v="76"/>
    <x v="80"/>
    <x v="7"/>
  </r>
  <r>
    <n v="103"/>
    <m/>
    <x v="1"/>
    <n v="24917"/>
    <x v="3"/>
    <s v="Gerencia de Coordinación de Operaciones"/>
    <s v="REVALIDACION DE SEGURIDAD Y SOBREVIVENCIA COSTA AFUERA (RSSCA)"/>
    <s v="PRESENCIAL"/>
    <n v="354951"/>
    <s v="Raul Armando Garza Torre"/>
    <n v="16"/>
    <n v="2"/>
    <n v="1"/>
    <x v="77"/>
    <x v="80"/>
    <x v="7"/>
  </r>
  <r>
    <n v="104"/>
    <m/>
    <x v="1"/>
    <n v="26396"/>
    <x v="2"/>
    <s v="Activo de Producción Cantarell"/>
    <s v="REACREDITACION DE SIGNATARIOS DEL SPPTR (RSPTR)"/>
    <s v="A DISTANCIA"/>
    <n v="510745"/>
    <s v="Cesar Ivan Chulines Granados"/>
    <n v="8"/>
    <n v="1"/>
    <n v="10"/>
    <x v="76"/>
    <x v="81"/>
    <x v="7"/>
  </r>
  <r>
    <n v="105"/>
    <m/>
    <x v="1"/>
    <n v="26390"/>
    <x v="2"/>
    <s v="Activo de Producción Cantarell"/>
    <s v="REACREDITACION DE SIGNATARIOS DEL SPPTR (RSPTR)"/>
    <s v="PRESENCIAL"/>
    <n v="374253"/>
    <s v="Eduardo Gonzalez Rodriguez"/>
    <n v="8"/>
    <n v="1"/>
    <n v="20"/>
    <x v="78"/>
    <x v="82"/>
    <x v="7"/>
  </r>
  <r>
    <n v="106"/>
    <m/>
    <x v="1"/>
    <n v="27351"/>
    <x v="4"/>
    <s v="Gerencia de Perforación y Reparación de Pozos Marina"/>
    <s v="SISTEMA DE PERMISOS PARA TRABAJOS CON RIESGO (SPTR)"/>
    <s v="PRESENCIAL"/>
    <n v="419491"/>
    <s v="Julio Andres Barrios Almazan"/>
    <n v="24"/>
    <n v="3"/>
    <n v="11"/>
    <x v="79"/>
    <x v="82"/>
    <x v="7"/>
  </r>
  <r>
    <n v="107"/>
    <m/>
    <x v="1"/>
    <n v="26376"/>
    <x v="2"/>
    <s v="Activo de Producción Cantarell"/>
    <s v="REACREDITACION DE SIGNATARIOS DEL SPPTR (RSPTR)"/>
    <s v="PRESENCIAL"/>
    <n v="374253"/>
    <s v="Eduardo Gonzalez Rodriguez"/>
    <n v="8"/>
    <n v="1"/>
    <n v="20"/>
    <x v="80"/>
    <x v="83"/>
    <x v="7"/>
  </r>
  <r>
    <n v="108"/>
    <m/>
    <x v="1"/>
    <n v="22121"/>
    <x v="2"/>
    <s v="Gerencia de Coordinación Operativa"/>
    <s v="REVALIDACION DE SEGURIDAD Y SOBREVIVENCIA COSTA AFUERA (RSSCA)"/>
    <s v="A DISTANCIA"/>
    <n v="354951"/>
    <s v="Raul Armando Garza Torre"/>
    <n v="16"/>
    <n v="2"/>
    <n v="11"/>
    <x v="80"/>
    <x v="84"/>
    <x v="7"/>
  </r>
  <r>
    <n v="109"/>
    <m/>
    <x v="1"/>
    <n v="21437"/>
    <x v="2"/>
    <s v="Gerencia de Mantenimiento, Confiabilidad y Construcción"/>
    <s v="REVALIDACION DE SEGURIDAD Y SOBREVIVENCIA COSTA AFUERA (RSSCA)"/>
    <s v="PRESENCIAL"/>
    <n v="389970"/>
    <s v="Azariel Lopez Lara"/>
    <n v="16"/>
    <n v="2"/>
    <n v="18"/>
    <x v="80"/>
    <x v="84"/>
    <x v="7"/>
  </r>
  <r>
    <n v="110"/>
    <m/>
    <x v="1"/>
    <n v="26051"/>
    <x v="4"/>
    <s v="Gerencia de Perforación y Reparación de Pozos Marina"/>
    <s v="BRIGADAS DE PRIMEROS AUXILIOS(BPA)"/>
    <s v="PRESENCIAL"/>
    <n v="411339"/>
    <s v="Carlos Alfredo Ramirez Barrenechea"/>
    <n v="16"/>
    <n v="2"/>
    <n v="9"/>
    <x v="81"/>
    <x v="85"/>
    <x v="7"/>
  </r>
  <r>
    <n v="111"/>
    <m/>
    <x v="1"/>
    <n v="29696"/>
    <x v="1"/>
    <s v="Gerencia de Seguridad, Salud en el Trabajo y Protección Ambiental Región Marina"/>
    <s v="REACREDITACION DE SIGNATARIOS DEL SPPTR (RSPTR)"/>
    <s v="A DISTANCIA"/>
    <n v="374253"/>
    <s v="Eduardo Gonzalez Rodriguez"/>
    <n v="8"/>
    <n v="2"/>
    <n v="4"/>
    <x v="82"/>
    <x v="86"/>
    <x v="7"/>
  </r>
  <r>
    <n v="112"/>
    <m/>
    <x v="1"/>
    <n v="26052"/>
    <x v="4"/>
    <s v="Gerencia de Perforación y Reparación de Pozos Marina"/>
    <s v="BRIGADAS DE PRIMEROS AUXILIOS(BPA)"/>
    <s v="PRESENCIAL"/>
    <n v="411339"/>
    <s v="Carlos Alfredo Ramirez Barrenechea"/>
    <n v="16"/>
    <n v="2"/>
    <n v="12"/>
    <x v="82"/>
    <x v="86"/>
    <x v="7"/>
  </r>
  <r>
    <n v="113"/>
    <m/>
    <x v="1"/>
    <n v="26091"/>
    <x v="2"/>
    <s v="Activo de Producción Cantarell"/>
    <s v="REVALIDACION DE SEGURIDAD Y SOBREVIVENCIA COSTA AFUERA (RSSCA)"/>
    <s v="PRESENCIAL"/>
    <n v="389970"/>
    <s v="Azariel Lopez Lara"/>
    <n v="16"/>
    <n v="2"/>
    <n v="20"/>
    <x v="83"/>
    <x v="87"/>
    <x v="7"/>
  </r>
  <r>
    <n v="114"/>
    <m/>
    <x v="1"/>
    <n v="27353"/>
    <x v="4"/>
    <s v="Gerencia de Perforación y Reparación de Pozos Marina"/>
    <s v="SISTEMA DE PERMISOS PARA TRABAJOS CON RIESGO (SPTR)"/>
    <s v="PRESENCIAL"/>
    <n v="489671"/>
    <s v="Pedro Zacarias Alcocer"/>
    <n v="24"/>
    <n v="3"/>
    <n v="11"/>
    <x v="82"/>
    <x v="87"/>
    <x v="7"/>
  </r>
  <r>
    <n v="115"/>
    <m/>
    <x v="1"/>
    <n v="24751"/>
    <x v="3"/>
    <s v="Gerencia de Coordinación de Operaciones"/>
    <s v="SISTEMA DE PERMISOS PARA TRABAJOS CON RIESGO (SPTR)"/>
    <s v="PRESENCIAL"/>
    <n v="354951"/>
    <s v="Raul Armando Garza Torre"/>
    <n v="24"/>
    <n v="3"/>
    <n v="2"/>
    <x v="83"/>
    <x v="88"/>
    <x v="7"/>
  </r>
  <r>
    <n v="116"/>
    <m/>
    <x v="1"/>
    <n v="26409"/>
    <x v="2"/>
    <s v="Activo de Producción Cantarell"/>
    <s v="REACREDITACION DE SIGNATARIOS DEL SPPTR (RSPTR)"/>
    <s v="A DISTANCIA"/>
    <n v="510745"/>
    <s v="Cesar Ivan Chulines Granados"/>
    <n v="8"/>
    <n v="1"/>
    <n v="11"/>
    <x v="84"/>
    <x v="89"/>
    <x v="7"/>
  </r>
  <r>
    <n v="117"/>
    <m/>
    <x v="1"/>
    <n v="28025"/>
    <x v="4"/>
    <s v="Gerencia de Servicios a Pozos"/>
    <s v="SOBREVIVENCIA EN EL MAR (SM)"/>
    <s v="PRESENCIAL"/>
    <s v="CASES"/>
    <s v="INSTRUCTOR CASES ."/>
    <n v="16"/>
    <n v="2"/>
    <n v="13"/>
    <x v="84"/>
    <x v="89"/>
    <x v="7"/>
  </r>
  <r>
    <n v="118"/>
    <m/>
    <x v="1"/>
    <n v="27354"/>
    <x v="4"/>
    <s v="Gerencia de Perforación y Reparación de Pozos Marina"/>
    <s v="SISTEMA DE PERMISOS PARA TRABAJOS CON RIESGO (SPTR)"/>
    <s v="PRESENCIAL"/>
    <n v="489671"/>
    <s v="Pedro Zacarias Alcocer"/>
    <n v="24"/>
    <n v="3"/>
    <n v="9"/>
    <x v="85"/>
    <x v="90"/>
    <x v="7"/>
  </r>
  <r>
    <n v="119"/>
    <m/>
    <x v="1"/>
    <n v="26095"/>
    <x v="2"/>
    <s v="Activo de Producción Cantarell"/>
    <s v="REVALIDACION DE SEGURIDAD Y SOBREVIVENCIA COSTA AFUERA (RSSCA)"/>
    <s v="PRESENCIAL"/>
    <n v="389970"/>
    <s v="Azariel Lopez Lara"/>
    <n v="16"/>
    <n v="2"/>
    <n v="20"/>
    <x v="86"/>
    <x v="91"/>
    <x v="7"/>
  </r>
  <r>
    <n v="120"/>
    <m/>
    <x v="1"/>
    <n v="28129"/>
    <x v="2"/>
    <s v="Activo de Producción Cantarell"/>
    <s v="SOBREVIVENCIA EN EL MAR (SM)"/>
    <s v="PRESENCIAL"/>
    <n v="510745"/>
    <s v="Cesar Ivan Chulines Granados"/>
    <n v="16"/>
    <n v="2"/>
    <n v="6"/>
    <x v="86"/>
    <x v="91"/>
    <x v="7"/>
  </r>
  <r>
    <n v="121"/>
    <m/>
    <x v="1"/>
    <n v="26403"/>
    <x v="2"/>
    <s v="Activo de Producción Cantarell"/>
    <s v="REACREDITACION DE SIGNATARIOS DEL SPPTR (RSPTR)"/>
    <s v="A DISTANCIA"/>
    <n v="458886"/>
    <s v="Edgar Mendoza Rodriguez"/>
    <n v="8"/>
    <n v="1"/>
    <n v="15"/>
    <x v="87"/>
    <x v="92"/>
    <x v="7"/>
  </r>
  <r>
    <n v="122"/>
    <m/>
    <x v="1"/>
    <n v="24920"/>
    <x v="3"/>
    <s v="Gerencia de Coordinación de Operaciones"/>
    <s v="REVALIDACION DE SEGURIDAD Y SOBREVIVENCIA COSTA AFUERA (RSSCA)"/>
    <s v="PRESENCIAL"/>
    <n v="354951"/>
    <s v="Raul Armando Garza Torre"/>
    <n v="16"/>
    <n v="2"/>
    <n v="1"/>
    <x v="88"/>
    <x v="92"/>
    <x v="7"/>
  </r>
  <r>
    <n v="123"/>
    <m/>
    <x v="1"/>
    <n v="26098"/>
    <x v="2"/>
    <s v="Activo de Producción Cantarell"/>
    <s v="REVALIDACION DE SEGURIDAD Y SOBREVIVENCIA COSTA AFUERA (RSSCA)"/>
    <s v="PRESENCIAL"/>
    <n v="389970"/>
    <s v="Azariel Lopez Lara"/>
    <n v="16"/>
    <n v="2"/>
    <n v="20"/>
    <x v="87"/>
    <x v="93"/>
    <x v="7"/>
  </r>
  <r>
    <n v="124"/>
    <m/>
    <x v="1"/>
    <n v="26040"/>
    <x v="4"/>
    <s v="Gerencia de Perforación y Reparación de Pozos Marina"/>
    <s v="VERIFICADOR DE GAS (VG)"/>
    <s v="PRESENCIAL"/>
    <n v="354951"/>
    <s v="Raul Armando Garza Torre"/>
    <n v="8"/>
    <n v="1"/>
    <n v="5"/>
    <x v="89"/>
    <x v="93"/>
    <x v="7"/>
  </r>
  <r>
    <n v="125"/>
    <m/>
    <x v="1"/>
    <n v="26044"/>
    <x v="4"/>
    <s v="Gerencia de Perforación y Reparación de Pozos Marina"/>
    <s v="BRIGADAS DE BUSQUEDA Y RESCATE (BBR)"/>
    <s v="PRESENCIAL"/>
    <n v="316048"/>
    <s v="Francisco Carvallo Uscanga"/>
    <n v="24"/>
    <n v="3"/>
    <n v="12"/>
    <x v="87"/>
    <x v="94"/>
    <x v="7"/>
  </r>
  <r>
    <n v="126"/>
    <m/>
    <x v="1"/>
    <n v="26406"/>
    <x v="2"/>
    <s v="Activo de Producción Cantarell"/>
    <s v="REACREDITACION DE SIGNATARIOS DEL SPPTR (RSPTR)"/>
    <s v="A DISTANCIA"/>
    <n v="510745"/>
    <s v="Cesar Ivan Chulines Granados"/>
    <n v="8"/>
    <n v="1"/>
    <n v="8"/>
    <x v="90"/>
    <x v="95"/>
    <x v="8"/>
  </r>
  <r>
    <n v="127"/>
    <m/>
    <x v="1"/>
    <n v="26407"/>
    <x v="2"/>
    <s v="Activo de Producción Cantarell"/>
    <s v="REACREDITACION DE SIGNATARIOS DEL SPPTR (RSPTR)"/>
    <s v="A DISTANCIA"/>
    <n v="350060"/>
    <s v="Hernan Zurita Dominguez"/>
    <n v="8"/>
    <n v="1"/>
    <n v="11"/>
    <x v="90"/>
    <x v="95"/>
    <x v="8"/>
  </r>
  <r>
    <n v="128"/>
    <m/>
    <x v="1"/>
    <n v="27355"/>
    <x v="4"/>
    <s v="Gerencia de Perforación y Reparación de Pozos Marina"/>
    <s v="SISTEMA DE PERMISOS PARA TRABAJOS CON RIESGO (SPTR)"/>
    <s v="PRESENCIAL"/>
    <n v="419491"/>
    <s v="Julio Andres Barrios Almazan"/>
    <n v="24"/>
    <n v="3"/>
    <n v="12"/>
    <x v="89"/>
    <x v="95"/>
    <x v="7"/>
  </r>
  <r>
    <n v="129"/>
    <m/>
    <x v="1"/>
    <n v="26375"/>
    <x v="2"/>
    <s v="Activo de Producción Cantarell"/>
    <s v="REACREDITACION DE SIGNATARIOS DEL SPPTR (RSPTR)"/>
    <s v="A DISTANCIA"/>
    <n v="510745"/>
    <s v="Cesar Ivan Chulines Granados"/>
    <n v="8"/>
    <n v="1"/>
    <n v="20"/>
    <x v="91"/>
    <x v="96"/>
    <x v="8"/>
  </r>
  <r>
    <n v="130"/>
    <m/>
    <x v="1"/>
    <n v="28029"/>
    <x v="4"/>
    <s v="Gerencia de Servicios a Pozos"/>
    <s v="SOBREVIVENCIA EN EL MAR (SM)"/>
    <s v="PRESENCIAL"/>
    <s v="CASES"/>
    <s v="INSTRUCTOR CASES ."/>
    <n v="16"/>
    <n v="2"/>
    <n v="3"/>
    <x v="91"/>
    <x v="96"/>
    <x v="8"/>
  </r>
  <r>
    <n v="131"/>
    <m/>
    <x v="1"/>
    <n v="26093"/>
    <x v="2"/>
    <s v="Activo de Producción Cantarell"/>
    <s v="REVALIDACION DE SEGURIDAD Y SOBREVIVENCIA COSTA AFUERA (RSSCA)"/>
    <s v="PRESENCIAL"/>
    <n v="389970"/>
    <s v="Azariel Lopez Lara"/>
    <n v="16"/>
    <n v="2"/>
    <n v="20"/>
    <x v="92"/>
    <x v="97"/>
    <x v="8"/>
  </r>
  <r>
    <n v="132"/>
    <m/>
    <x v="1"/>
    <n v="27356"/>
    <x v="4"/>
    <s v="Gerencia de Perforación y Reparación de Pozos Marina"/>
    <s v="SISTEMA DE PERMISOS PARA TRABAJOS CON RIESGO (SPTR)"/>
    <s v="PRESENCIAL"/>
    <n v="419491"/>
    <s v="Julio Andres Barrios Almazan"/>
    <n v="24"/>
    <n v="3"/>
    <n v="9"/>
    <x v="91"/>
    <x v="97"/>
    <x v="8"/>
  </r>
  <r>
    <n v="133"/>
    <m/>
    <x v="1"/>
    <n v="24752"/>
    <x v="3"/>
    <s v="Gerencia de Coordinación de Operaciones"/>
    <s v="SISTEMA DE PERMISOS PARA TRABAJOS CON RIESGO (SPTR)"/>
    <s v="PRESENCIAL"/>
    <n v="354951"/>
    <s v="Raul Armando Garza Torre"/>
    <n v="24"/>
    <n v="3"/>
    <n v="1"/>
    <x v="92"/>
    <x v="98"/>
    <x v="8"/>
  </r>
  <r>
    <n v="134"/>
    <m/>
    <x v="1"/>
    <n v="26045"/>
    <x v="4"/>
    <s v="Gerencia de Perforación y Reparación de Pozos Marina"/>
    <s v="BRIGADAS DE BUSQUEDA Y RESCATE (BBR)"/>
    <s v="PRESENCIAL"/>
    <n v="316048"/>
    <s v="Francisco Carvallo Uscanga"/>
    <n v="24"/>
    <n v="3"/>
    <n v="7"/>
    <x v="93"/>
    <x v="99"/>
    <x v="8"/>
  </r>
  <r>
    <n v="135"/>
    <m/>
    <x v="1"/>
    <n v="26391"/>
    <x v="2"/>
    <s v="Activo de Producción Cantarell"/>
    <s v="REACREDITACION DE SIGNATARIOS DEL SPPTR (RSPTR)"/>
    <s v="PRESENCIAL"/>
    <n v="374253"/>
    <s v="Eduardo Gonzalez Rodriguez"/>
    <n v="8"/>
    <n v="1"/>
    <n v="20"/>
    <x v="94"/>
    <x v="100"/>
    <x v="8"/>
  </r>
  <r>
    <n v="136"/>
    <m/>
    <x v="1"/>
    <n v="21438"/>
    <x v="2"/>
    <s v="Gerencia de Mantenimiento, Confiabilidad y Construcción"/>
    <s v="REVALIDACION DE SEGURIDAD Y SOBREVIVENCIA COSTA AFUERA (RSSCA)"/>
    <s v="PRESENCIAL"/>
    <n v="389970"/>
    <s v="Azariel Lopez Lara"/>
    <n v="16"/>
    <n v="2"/>
    <n v="8"/>
    <x v="95"/>
    <x v="101"/>
    <x v="8"/>
  </r>
  <r>
    <n v="137"/>
    <m/>
    <x v="1"/>
    <n v="26417"/>
    <x v="2"/>
    <s v="Activo de Producción Cantarell"/>
    <s v="REVALIDACION BASICO DE SEGURIDAD (BS)"/>
    <s v="PRESENCIAL"/>
    <n v="354951"/>
    <s v="Raul Armando Garza Torre"/>
    <n v="8"/>
    <n v="1"/>
    <n v="12"/>
    <x v="96"/>
    <x v="101"/>
    <x v="8"/>
  </r>
  <r>
    <n v="138"/>
    <m/>
    <x v="1"/>
    <n v="26385"/>
    <x v="2"/>
    <s v="Activo de Producción Cantarell"/>
    <s v="REACREDITACION DE SIGNATARIOS DEL SPPTR (RSPTR)"/>
    <s v="PRESENCIAL"/>
    <n v="374253"/>
    <s v="Eduardo Gonzalez Rodriguez"/>
    <n v="8"/>
    <n v="1"/>
    <n v="20"/>
    <x v="97"/>
    <x v="102"/>
    <x v="8"/>
  </r>
  <r>
    <n v="139"/>
    <m/>
    <x v="1"/>
    <n v="27357"/>
    <x v="4"/>
    <s v="Gerencia de Perforación y Reparación de Pozos Marina"/>
    <s v="SISTEMA DE PERMISOS PARA TRABAJOS CON RIESGO (SPTR)"/>
    <s v="PRESENCIAL"/>
    <n v="489671"/>
    <s v="Pedro Zacarias Alcocer"/>
    <n v="24"/>
    <n v="3"/>
    <n v="12"/>
    <x v="96"/>
    <x v="103"/>
    <x v="8"/>
  </r>
  <r>
    <n v="140"/>
    <m/>
    <x v="1"/>
    <n v="24071"/>
    <x v="0"/>
    <s v="Coordinación de Servicios Marinos y de Mantenimiento, Confiabilidad y Construcción de Infraestructura"/>
    <s v="SEGURIDAD Y SOBREVIVENCIA COSTA AFUERA (SSCA)"/>
    <s v="PRESENCIAL"/>
    <n v="350060"/>
    <s v="Hernan Zurita Dominguez"/>
    <n v="24"/>
    <n v="3"/>
    <n v="7"/>
    <x v="97"/>
    <x v="104"/>
    <x v="8"/>
  </r>
  <r>
    <n v="141"/>
    <m/>
    <x v="1"/>
    <n v="24835"/>
    <x v="5"/>
    <s v="Gerencia de Caracterización de Yacimientos y Exploración de Campos"/>
    <s v="BRIGADAS DE PRIMEROS AUXILIOS(BPA)"/>
    <s v="PRESENCIAL"/>
    <n v="332706"/>
    <s v="Damian Celis Cruz"/>
    <n v="16"/>
    <n v="2"/>
    <n v="2"/>
    <x v="98"/>
    <x v="105"/>
    <x v="8"/>
  </r>
  <r>
    <n v="142"/>
    <m/>
    <x v="1"/>
    <n v="27358"/>
    <x v="4"/>
    <s v="Gerencia de Perforación y Reparación de Pozos Marina"/>
    <s v="SISTEMA DE PERMISOS PARA TRABAJOS CON RIESGO (SPTR)"/>
    <s v="PRESENCIAL"/>
    <n v="489671"/>
    <s v="Pedro Zacarias Alcocer"/>
    <n v="24"/>
    <n v="3"/>
    <n v="12"/>
    <x v="99"/>
    <x v="105"/>
    <x v="8"/>
  </r>
  <r>
    <n v="143"/>
    <m/>
    <x v="1"/>
    <n v="26393"/>
    <x v="2"/>
    <s v="Activo de Producción Cantarell"/>
    <s v="REACREDITACION DE SIGNATARIOS DEL SPPTR (RSPTR)"/>
    <s v="A DISTANCIA"/>
    <n v="510745"/>
    <s v="Cesar Ivan Chulines Granados"/>
    <n v="8"/>
    <n v="1"/>
    <n v="11"/>
    <x v="100"/>
    <x v="106"/>
    <x v="8"/>
  </r>
  <r>
    <n v="144"/>
    <m/>
    <x v="1"/>
    <n v="26387"/>
    <x v="2"/>
    <s v="Activo de Producción Cantarell"/>
    <s v="REACREDITACION DE SIGNATARIOS DEL SPPTR (RSPTR)"/>
    <s v="PRESENCIAL"/>
    <n v="374253"/>
    <s v="Eduardo Gonzalez Rodriguez"/>
    <n v="8"/>
    <n v="1"/>
    <n v="20"/>
    <x v="101"/>
    <x v="107"/>
    <x v="8"/>
  </r>
  <r>
    <n v="145"/>
    <m/>
    <x v="1"/>
    <n v="27359"/>
    <x v="4"/>
    <s v="Gerencia de Perforación y Reparación de Pozos Marina"/>
    <s v="SISTEMA DE PERMISOS PARA TRABAJOS CON RIESGO (SPTR)"/>
    <s v="PRESENCIAL"/>
    <n v="489671"/>
    <s v="Pedro Zacarias Alcocer"/>
    <n v="24"/>
    <n v="3"/>
    <n v="8"/>
    <x v="102"/>
    <x v="107"/>
    <x v="8"/>
  </r>
  <r>
    <n v="146"/>
    <m/>
    <x v="1"/>
    <n v="22122"/>
    <x v="2"/>
    <s v="Gerencia de Coordinación Operativa"/>
    <s v="REVALIDACION DE SEGURIDAD Y SOBREVIVENCIA COSTA AFUERA (RSSCA)"/>
    <s v="PRESENCIAL"/>
    <n v="389970"/>
    <s v="Azariel Lopez Lara"/>
    <n v="16"/>
    <n v="2"/>
    <n v="6"/>
    <x v="103"/>
    <x v="108"/>
    <x v="8"/>
  </r>
  <r>
    <n v="147"/>
    <m/>
    <x v="1"/>
    <n v="24083"/>
    <x v="1"/>
    <s v="Gerencia de Seguridad, Salud en el Trabajo y Protección Ambiental Región Marina"/>
    <s v="ADMINISTRACION DE EMERGENCIAS MAYORES (AEM)"/>
    <s v="PRESENCIAL"/>
    <n v="354951"/>
    <s v="Raul Armando Garza Torre"/>
    <n v="16"/>
    <n v="2"/>
    <n v="13"/>
    <x v="104"/>
    <x v="109"/>
    <x v="8"/>
  </r>
  <r>
    <n v="148"/>
    <m/>
    <x v="1"/>
    <n v="26046"/>
    <x v="4"/>
    <s v="Gerencia de Perforación y Reparación de Pozos Marina"/>
    <s v="BRIGADAS DE BUSQUEDA Y RESCATE (BBR)"/>
    <s v="PRESENCIAL"/>
    <n v="316048"/>
    <s v="Francisco Carvallo Uscanga"/>
    <n v="24"/>
    <n v="3"/>
    <n v="8"/>
    <x v="105"/>
    <x v="109"/>
    <x v="8"/>
  </r>
  <r>
    <n v="149"/>
    <m/>
    <x v="1"/>
    <n v="26381"/>
    <x v="2"/>
    <s v="Activo de Producción Cantarell"/>
    <s v="REACREDITACION DE SIGNATARIOS DEL SPPTR (RSPTR)"/>
    <s v="PRESENCIAL"/>
    <n v="374253"/>
    <s v="Eduardo Gonzalez Rodriguez"/>
    <n v="8"/>
    <n v="1"/>
    <n v="20"/>
    <x v="106"/>
    <x v="110"/>
    <x v="9"/>
  </r>
  <r>
    <n v="150"/>
    <m/>
    <x v="1"/>
    <n v="26384"/>
    <x v="2"/>
    <s v="Activo de Producción Cantarell"/>
    <s v="REACREDITACION DE SIGNATARIOS DEL SPPTR (RSPTR)"/>
    <s v="PRESENCIAL"/>
    <n v="374253"/>
    <s v="Eduardo Gonzalez Rodriguez"/>
    <n v="8"/>
    <n v="1"/>
    <n v="20"/>
    <x v="107"/>
    <x v="111"/>
    <x v="9"/>
  </r>
  <r>
    <n v="151"/>
    <m/>
    <x v="1"/>
    <n v="26047"/>
    <x v="4"/>
    <s v="Gerencia de Perforación y Reparación de Pozos Marina"/>
    <s v="BRIGADAS DE BUSQUEDA Y RESCATE (BBR)"/>
    <s v="PRESENCIAL"/>
    <n v="316048"/>
    <s v="Francisco Carvallo Uscanga"/>
    <n v="24"/>
    <n v="3"/>
    <n v="6"/>
    <x v="107"/>
    <x v="112"/>
    <x v="9"/>
  </r>
  <r>
    <n v="152"/>
    <m/>
    <x v="1"/>
    <n v="26394"/>
    <x v="2"/>
    <s v="Activo de Producción Cantarell"/>
    <s v="REACREDITACION DE SIGNATARIOS DEL SPPTR (RSPTR)"/>
    <s v="A DISTANCIA"/>
    <n v="510745"/>
    <s v="Cesar Ivan Chulines Granados"/>
    <n v="8"/>
    <n v="1"/>
    <n v="9"/>
    <x v="108"/>
    <x v="113"/>
    <x v="9"/>
  </r>
  <r>
    <n v="153"/>
    <m/>
    <x v="1"/>
    <n v="22558"/>
    <x v="1"/>
    <s v="Gerencia de Seguridad, Salud en el Trabajo y Protección Ambiental Región Marina"/>
    <s v="ADMINISTRACION DE RIESGOS EN PEMEX EXPLORACION Y PRODUCCION"/>
    <s v="A DISTANCIA"/>
    <n v="510745"/>
    <s v="Cesar Ivan Chulines Granados"/>
    <n v="8"/>
    <n v="1"/>
    <n v="18"/>
    <x v="109"/>
    <x v="114"/>
    <x v="9"/>
  </r>
  <r>
    <n v="154"/>
    <m/>
    <x v="1"/>
    <n v="26399"/>
    <x v="2"/>
    <s v="Activo de Producción Cantarell"/>
    <s v="REACREDITACION DE SIGNATARIOS DEL SPPTR (RSPTR)"/>
    <s v="A DISTANCIA"/>
    <n v="510745"/>
    <s v="Cesar Ivan Chulines Granados"/>
    <n v="8"/>
    <n v="1"/>
    <n v="9"/>
    <x v="110"/>
    <x v="115"/>
    <x v="9"/>
  </r>
  <r>
    <n v="155"/>
    <m/>
    <x v="1"/>
    <n v="27360"/>
    <x v="4"/>
    <s v="Gerencia de Perforación y Reparación de Pozos Marina"/>
    <s v="SISTEMA DE PERMISOS PARA TRABAJOS CON RIESGO (SPTR)"/>
    <s v="PRESENCIAL"/>
    <n v="489671"/>
    <s v="Pedro Zacarias Alcocer"/>
    <n v="24"/>
    <n v="3"/>
    <n v="12"/>
    <x v="109"/>
    <x v="115"/>
    <x v="9"/>
  </r>
  <r>
    <n v="156"/>
    <m/>
    <x v="1"/>
    <n v="26164"/>
    <x v="4"/>
    <s v="Gerencia de Perforación y Reparación de Pozos Marina"/>
    <s v="SEGURIDAD Y SOBREVIVENCIA COSTA AFUERA (SSCA)"/>
    <s v="PRESENCIAL"/>
    <n v="411339"/>
    <s v="Carlos Alfredo Ramirez Barrenechea"/>
    <n v="24"/>
    <n v="3"/>
    <n v="12"/>
    <x v="109"/>
    <x v="115"/>
    <x v="9"/>
  </r>
  <r>
    <n v="157"/>
    <m/>
    <x v="1"/>
    <n v="29597"/>
    <x v="1"/>
    <s v="Gerencia de Seguridad, Salud en el Trabajo y Protección Ambiental Región Marina"/>
    <s v="SEGURIDAD EN CENTROS ADMINISTRACIONS (SCA)"/>
    <s v="PRESENCIAL"/>
    <n v="510745"/>
    <s v="Cesar Ivan Chulines Granados"/>
    <n v="8"/>
    <n v="1"/>
    <n v="9"/>
    <x v="111"/>
    <x v="116"/>
    <x v="9"/>
  </r>
  <r>
    <n v="158"/>
    <m/>
    <x v="1"/>
    <n v="26097"/>
    <x v="2"/>
    <s v="Activo de Producción Cantarell"/>
    <s v="REVALIDACION DE SEGURIDAD Y SOBREVIVENCIA COSTA AFUERA (RSSCA)"/>
    <s v="PRESENCIAL"/>
    <n v="389970"/>
    <s v="Azariel Lopez Lara"/>
    <n v="16"/>
    <n v="2"/>
    <n v="20"/>
    <x v="112"/>
    <x v="117"/>
    <x v="9"/>
  </r>
  <r>
    <n v="159"/>
    <m/>
    <x v="1"/>
    <n v="26378"/>
    <x v="2"/>
    <s v="Activo de Producción Cantarell"/>
    <s v="REACREDITACION DE SIGNATARIOS DEL SPPTR (RSPTR)"/>
    <s v="PRESENCIAL"/>
    <n v="374253"/>
    <s v="Eduardo Gonzalez Rodriguez"/>
    <n v="8"/>
    <n v="1"/>
    <n v="20"/>
    <x v="113"/>
    <x v="118"/>
    <x v="9"/>
  </r>
  <r>
    <n v="160"/>
    <m/>
    <x v="1"/>
    <n v="26380"/>
    <x v="2"/>
    <s v="Activo de Producción Cantarell"/>
    <s v="REACREDITACION DE SIGNATARIOS DEL SPPTR (RSPTR)"/>
    <s v="PRESENCIAL"/>
    <n v="374253"/>
    <s v="Eduardo Gonzalez Rodriguez"/>
    <n v="8"/>
    <n v="1"/>
    <n v="20"/>
    <x v="114"/>
    <x v="119"/>
    <x v="9"/>
  </r>
  <r>
    <n v="161"/>
    <m/>
    <x v="1"/>
    <n v="27333"/>
    <x v="4"/>
    <s v="Gerencia de Perforación y Reparación de Pozos Marina"/>
    <s v="SISTEMA DE PERMISOS PARA TRABAJOS CON RIESGO (SPTR)"/>
    <s v="PRESENCIAL"/>
    <n v="489671"/>
    <s v="Pedro Zacarias Alcocer"/>
    <n v="24"/>
    <n v="3"/>
    <n v="12"/>
    <x v="115"/>
    <x v="119"/>
    <x v="9"/>
  </r>
  <r>
    <n v="162"/>
    <m/>
    <x v="1"/>
    <n v="26165"/>
    <x v="4"/>
    <s v="Gerencia de Perforación y Reparación de Pozos Marina"/>
    <s v="SEGURIDAD Y SOBREVIVENCIA COSTA AFUERA (SSCA)"/>
    <s v="PRESENCIAL"/>
    <n v="411339"/>
    <s v="Carlos Alfredo Ramirez Barrenechea"/>
    <n v="24"/>
    <n v="3"/>
    <n v="10"/>
    <x v="115"/>
    <x v="119"/>
    <x v="9"/>
  </r>
  <r>
    <n v="163"/>
    <m/>
    <x v="1"/>
    <n v="26398"/>
    <x v="2"/>
    <s v="Activo de Producción Cantarell"/>
    <s v="REACREDITACION DE SIGNATARIOS DEL SPPTR (RSPTR)"/>
    <s v="A DISTANCIA"/>
    <n v="510745"/>
    <s v="Cesar Ivan Chulines Granados"/>
    <n v="8"/>
    <n v="1"/>
    <n v="10"/>
    <x v="114"/>
    <x v="120"/>
    <x v="9"/>
  </r>
  <r>
    <n v="164"/>
    <m/>
    <x v="1"/>
    <n v="26386"/>
    <x v="2"/>
    <s v="Activo de Producción Cantarell"/>
    <s v="REACREDITACION DE SIGNATARIOS DEL SPPTR (RSPTR)"/>
    <s v="PRESENCIAL"/>
    <n v="374253"/>
    <s v="Eduardo Gonzalez Rodriguez"/>
    <n v="8"/>
    <n v="1"/>
    <n v="20"/>
    <x v="116"/>
    <x v="121"/>
    <x v="9"/>
  </r>
  <r>
    <n v="165"/>
    <m/>
    <x v="1"/>
    <n v="24921"/>
    <x v="3"/>
    <s v="Gerencia de Coordinación de Operaciones"/>
    <s v="REVALIDACION DE SEGURIDAD Y SOBREVIVENCIA COSTA AFUERA (RSSCA)"/>
    <s v="PRESENCIAL"/>
    <n v="354951"/>
    <s v="Raul Armando Garza Torre"/>
    <n v="16"/>
    <n v="2"/>
    <n v="13"/>
    <x v="117"/>
    <x v="121"/>
    <x v="9"/>
  </r>
  <r>
    <n v="166"/>
    <m/>
    <x v="1"/>
    <n v="26383"/>
    <x v="2"/>
    <s v="Activo de Producción Cantarell"/>
    <s v="REACREDITACION DE SIGNATARIOS DEL SPPTR (RSPTR)"/>
    <s v="PRESENCIAL"/>
    <n v="374253"/>
    <s v="Eduardo Gonzalez Rodriguez"/>
    <n v="8"/>
    <n v="1"/>
    <n v="20"/>
    <x v="118"/>
    <x v="122"/>
    <x v="9"/>
  </r>
  <r>
    <n v="167"/>
    <m/>
    <x v="1"/>
    <n v="28030"/>
    <x v="4"/>
    <s v="Gerencia de Servicios a Pozos"/>
    <s v="SOBREVIVENCIA EN EL MAR (SM)"/>
    <s v="PRESENCIAL"/>
    <s v="CASES"/>
    <s v="INSTRUCTOR CASES ."/>
    <n v="16"/>
    <n v="2"/>
    <n v="7"/>
    <x v="116"/>
    <x v="122"/>
    <x v="9"/>
  </r>
  <r>
    <n v="168"/>
    <m/>
    <x v="1"/>
    <n v="26160"/>
    <x v="4"/>
    <s v="Gerencia de Perforación y Reparación de Pozos Marina"/>
    <s v="SEGURIDAD Y SOBREVIVENCIA COSTA AFUERA (SSCA)"/>
    <s v="PRESENCIAL"/>
    <n v="350060"/>
    <s v="Hernan Zurita Dominguez"/>
    <n v="24"/>
    <n v="3"/>
    <n v="12"/>
    <x v="116"/>
    <x v="123"/>
    <x v="9"/>
  </r>
  <r>
    <n v="169"/>
    <m/>
    <x v="1"/>
    <n v="27341"/>
    <x v="4"/>
    <s v="Gerencia de Perforación y Reparación de Pozos Marina"/>
    <s v="SISTEMA DE PERMISOS PARA TRABAJOS CON RIESGO (SPTR)"/>
    <s v="PRESENCIAL"/>
    <n v="419491"/>
    <s v="Julio Andres Barrios Almazan"/>
    <n v="24"/>
    <n v="3"/>
    <n v="12"/>
    <x v="116"/>
    <x v="123"/>
    <x v="9"/>
  </r>
  <r>
    <n v="170"/>
    <m/>
    <x v="1"/>
    <n v="25934"/>
    <x v="4"/>
    <s v="Gerencia de Perforación y Reparación de Pozos Marina"/>
    <s v="BRIGADAS CONTRAINCENDIOS (BCII)"/>
    <s v="PRESENCIAL"/>
    <n v="316048"/>
    <s v="Francisco Carvallo Uscanga"/>
    <n v="24"/>
    <n v="3"/>
    <n v="5"/>
    <x v="116"/>
    <x v="123"/>
    <x v="9"/>
  </r>
  <r>
    <n v="171"/>
    <m/>
    <x v="1"/>
    <n v="26092"/>
    <x v="2"/>
    <s v="Activo de Producción Cantarell"/>
    <s v="REVALIDACION DE SEGURIDAD Y SOBREVIVENCIA COSTA AFUERA (RSSCA)"/>
    <s v="PRESENCIAL"/>
    <n v="389970"/>
    <s v="Azariel Lopez Lara"/>
    <n v="16"/>
    <n v="2"/>
    <n v="20"/>
    <x v="119"/>
    <x v="124"/>
    <x v="9"/>
  </r>
  <r>
    <n v="172"/>
    <m/>
    <x v="1"/>
    <n v="21445"/>
    <x v="2"/>
    <s v="Gerencia de Mantenimiento, Confiabilidad y Construcción"/>
    <s v="BASICO DE SEGURIDAD (BS)"/>
    <s v="PRESENCIAL"/>
    <n v="354951"/>
    <s v="Raul Armando Garza Torre"/>
    <n v="16"/>
    <n v="2"/>
    <n v="12"/>
    <x v="119"/>
    <x v="124"/>
    <x v="9"/>
  </r>
  <r>
    <n v="173"/>
    <m/>
    <x v="1"/>
    <n v="26379"/>
    <x v="2"/>
    <s v="Activo de Producción Cantarell"/>
    <s v="REACREDITACION DE SIGNATARIOS DEL SPPTR (RSPTR)"/>
    <s v="PRESENCIAL"/>
    <n v="374253"/>
    <s v="Eduardo Gonzalez Rodriguez"/>
    <n v="8"/>
    <n v="1"/>
    <n v="20"/>
    <x v="120"/>
    <x v="125"/>
    <x v="10"/>
  </r>
  <r>
    <n v="174"/>
    <m/>
    <x v="1"/>
    <n v="26101"/>
    <x v="2"/>
    <s v="Activo de Producción Cantarell"/>
    <s v="REVALIDACION DE SEGURIDAD Y SOBREVIVENCIA COSTA AFUERA (RSSCA)"/>
    <s v="PRESENCIAL"/>
    <n v="389970"/>
    <s v="Azariel Lopez Lara"/>
    <n v="16"/>
    <n v="2"/>
    <n v="20"/>
    <x v="121"/>
    <x v="126"/>
    <x v="10"/>
  </r>
  <r>
    <n v="175"/>
    <m/>
    <x v="1"/>
    <n v="26106"/>
    <x v="2"/>
    <s v="Activo de Producción Cantarell"/>
    <s v="REVALIDACION DE SEGURIDAD Y SOBREVIVENCIA COSTA AFUERA (RSSCA)"/>
    <s v="PRESENCIAL"/>
    <n v="350060"/>
    <s v="Hernan Zurita Dominguez"/>
    <n v="16"/>
    <n v="4"/>
    <n v="9"/>
    <x v="121"/>
    <x v="127"/>
    <x v="10"/>
  </r>
  <r>
    <n v="176"/>
    <m/>
    <x v="1"/>
    <n v="26041"/>
    <x v="4"/>
    <s v="Gerencia de Perforación y Reparación de Pozos Marina"/>
    <s v="VERIFICADOR DE GAS (VG)"/>
    <s v="PRESENCIAL"/>
    <n v="489671"/>
    <s v="Pedro Zacarias Alcocer"/>
    <n v="8"/>
    <n v="2"/>
    <n v="5"/>
    <x v="122"/>
    <x v="128"/>
    <x v="10"/>
  </r>
  <r>
    <n v="177"/>
    <m/>
    <x v="1"/>
    <n v="26099"/>
    <x v="2"/>
    <s v="Activo de Producción Cantarell"/>
    <s v="REVALIDACION DE SEGURIDAD Y SOBREVIVENCIA COSTA AFUERA (RSSCA)"/>
    <s v="PRESENCIAL"/>
    <n v="389970"/>
    <s v="Azariel Lopez Lara"/>
    <n v="16"/>
    <n v="2"/>
    <n v="20"/>
    <x v="122"/>
    <x v="129"/>
    <x v="10"/>
  </r>
  <r>
    <n v="178"/>
    <m/>
    <x v="1"/>
    <n v="24924"/>
    <x v="3"/>
    <s v="Gerencia de Coordinación de Operaciones"/>
    <s v="REVALIDACION DE SEGURIDAD Y SOBREVIVENCIA COSTA AFUERA (RSSCA)"/>
    <s v="PRESENCIAL"/>
    <n v="354951"/>
    <s v="Raul Armando Garza Torre"/>
    <n v="16"/>
    <n v="2"/>
    <n v="2"/>
    <x v="122"/>
    <x v="129"/>
    <x v="10"/>
  </r>
  <r>
    <n v="179"/>
    <m/>
    <x v="1"/>
    <n v="28031"/>
    <x v="4"/>
    <s v="Gerencia de Servicios a Pozos"/>
    <s v="SOBREVIVENCIA EN EL MAR (SM)"/>
    <s v="PRESENCIAL"/>
    <s v="CASES"/>
    <s v="INSTRUCTOR CASES ."/>
    <n v="16"/>
    <n v="2"/>
    <n v="7"/>
    <x v="122"/>
    <x v="129"/>
    <x v="10"/>
  </r>
  <r>
    <n v="180"/>
    <m/>
    <x v="1"/>
    <n v="26392"/>
    <x v="2"/>
    <s v="Activo de Producción Cantarell"/>
    <s v="REACREDITACION DE SIGNATARIOS DEL SPPTR (RSPTR)"/>
    <s v="A DISTANCIA"/>
    <n v="510745"/>
    <s v="Cesar Ivan Chulines Granados"/>
    <n v="8"/>
    <n v="1"/>
    <n v="18"/>
    <x v="123"/>
    <x v="130"/>
    <x v="10"/>
  </r>
  <r>
    <n v="181"/>
    <m/>
    <x v="1"/>
    <n v="26100"/>
    <x v="2"/>
    <s v="Activo de Producción Cantarell"/>
    <s v="REVALIDACION DE SEGURIDAD Y SOBREVIVENCIA COSTA AFUERA (RSSCA)"/>
    <s v="PRESENCIAL"/>
    <n v="389970"/>
    <s v="Azariel Lopez Lara"/>
    <n v="16"/>
    <n v="2"/>
    <n v="20"/>
    <x v="124"/>
    <x v="131"/>
    <x v="10"/>
  </r>
  <r>
    <n v="182"/>
    <m/>
    <x v="1"/>
    <n v="24753"/>
    <x v="3"/>
    <s v="Gerencia de Coordinación de Operaciones"/>
    <s v="SISTEMA DE PERMISOS PARA TRABAJOS CON RIESGO (SPTR)"/>
    <s v="PRESENCIAL"/>
    <n v="354951"/>
    <s v="Raul Armando Garza Torre"/>
    <n v="24"/>
    <n v="3"/>
    <n v="5"/>
    <x v="125"/>
    <x v="132"/>
    <x v="10"/>
  </r>
  <r>
    <n v="183"/>
    <m/>
    <x v="1"/>
    <n v="26102"/>
    <x v="2"/>
    <s v="Activo de Producción Cantarell"/>
    <s v="REVALIDACION DE SEGURIDAD Y SOBREVIVENCIA COSTA AFUERA (RSSCA)"/>
    <s v="PRESENCIAL"/>
    <n v="389970"/>
    <s v="Azariel Lopez Lara"/>
    <n v="16"/>
    <n v="2"/>
    <n v="20"/>
    <x v="126"/>
    <x v="133"/>
    <x v="10"/>
  </r>
  <r>
    <n v="1"/>
    <m/>
    <x v="2"/>
    <n v="23203"/>
    <x v="4"/>
    <s v="Gerencia de Perforación y Reparación de Pozos Terrestre Norte"/>
    <s v="ACIDO SULFHIDRICO (H2S)"/>
    <s v="PRESENCIAL"/>
    <n v="686135"/>
    <s v="Jesus Alfredo Duran Enriquez"/>
    <n v="8"/>
    <n v="1"/>
    <n v="10"/>
    <x v="127"/>
    <x v="134"/>
    <x v="2"/>
  </r>
  <r>
    <n v="2"/>
    <m/>
    <x v="2"/>
    <n v="29234"/>
    <x v="4"/>
    <s v="Gerencia de Perforación y Reparación de Pozos Terrestre Norte"/>
    <s v="BRIGADAS DE PRIMEROS AUXILIOS(BPA)"/>
    <s v="PRESENCIAL"/>
    <n v="686135"/>
    <s v="Jesus Alfredo Duran Enriquez"/>
    <n v="16"/>
    <n v="2"/>
    <n v="8"/>
    <x v="128"/>
    <x v="20"/>
    <x v="2"/>
  </r>
  <r>
    <n v="3"/>
    <m/>
    <x v="3"/>
    <n v="25606"/>
    <x v="4"/>
    <s v="Gerencia de Perforación y Reparación de Pozos Terrestre Sur"/>
    <s v="BRIGADAS DE PRIMEROS AUXILIOS(BPA)"/>
    <s v="PRESENCIAL"/>
    <n v="316211"/>
    <s v="Norma Alicia Torres Hernandez"/>
    <n v="16"/>
    <n v="2"/>
    <n v="5"/>
    <x v="129"/>
    <x v="21"/>
    <x v="3"/>
  </r>
  <r>
    <n v="4"/>
    <m/>
    <x v="2"/>
    <n v="23205"/>
    <x v="4"/>
    <s v="Gerencia de Perforación y Reparación de Pozos Terrestre Norte"/>
    <s v="ACIDO SULFHIDRICO (H2S)"/>
    <s v="PRESENCIAL"/>
    <n v="686135"/>
    <s v="Jesus Alfredo Duran Enriquez"/>
    <n v="8"/>
    <n v="1"/>
    <n v="8"/>
    <x v="130"/>
    <x v="21"/>
    <x v="3"/>
  </r>
  <r>
    <n v="5"/>
    <m/>
    <x v="4"/>
    <n v="24901"/>
    <x v="4"/>
    <s v="Gerencia de Perforación y Reparación de Pozos Terrestre Norte"/>
    <s v="PREVENCION DE RIESGOS LABORALES"/>
    <s v="PRESENCIAL"/>
    <n v="520356"/>
    <s v="Raymundo Olivera Zaragoza"/>
    <n v="16"/>
    <n v="2"/>
    <n v="8"/>
    <x v="131"/>
    <x v="135"/>
    <x v="3"/>
  </r>
  <r>
    <n v="6"/>
    <m/>
    <x v="5"/>
    <n v="30820"/>
    <x v="4"/>
    <s v="Gerencia de Perforación y Reparación de Pozos Terrestre Sur"/>
    <s v="BASICO DE SEGURIDAD (BS)"/>
    <s v="PRESENCIAL"/>
    <n v="197260"/>
    <s v="Manuel Gordillo Izquierdo"/>
    <n v="16"/>
    <n v="2"/>
    <n v="10"/>
    <x v="131"/>
    <x v="135"/>
    <x v="3"/>
  </r>
  <r>
    <n v="7"/>
    <m/>
    <x v="6"/>
    <n v="25645"/>
    <x v="4"/>
    <s v="Gerencia de Perforación y Reparación de Pozos Terrestre Sur"/>
    <s v="ENTRENAMIENTO BASICO EN SISTEMA PEMEX SSPA (EB SSPA)"/>
    <s v="PRESENCIAL"/>
    <n v="679358"/>
    <s v="Jose Enrique Bergman Ocampo"/>
    <n v="16"/>
    <n v="2"/>
    <n v="5"/>
    <x v="132"/>
    <x v="24"/>
    <x v="3"/>
  </r>
  <r>
    <n v="8"/>
    <m/>
    <x v="4"/>
    <n v="24904"/>
    <x v="4"/>
    <s v="Gerencia de Perforación y Reparación de Pozos Terrestre Norte"/>
    <s v="PREVENCION DE RIESGOS LABORALES"/>
    <s v="PRESENCIAL"/>
    <n v="402802"/>
    <s v="Felipe Eleazar Reyes Delgado"/>
    <n v="16"/>
    <n v="2"/>
    <n v="10"/>
    <x v="24"/>
    <x v="25"/>
    <x v="3"/>
  </r>
  <r>
    <n v="9"/>
    <m/>
    <x v="4"/>
    <n v="29102"/>
    <x v="4"/>
    <s v="Gerencia de Perforación y Reparación de Pozos Terrestre Norte"/>
    <s v="BASICO DE SEGURIDAD (BS)"/>
    <s v="PRESENCIAL"/>
    <n v="203699"/>
    <s v="Gilberto Ruben Rios Vela"/>
    <n v="16"/>
    <n v="2"/>
    <n v="10"/>
    <x v="133"/>
    <x v="26"/>
    <x v="3"/>
  </r>
  <r>
    <n v="10"/>
    <m/>
    <x v="5"/>
    <n v="30821"/>
    <x v="4"/>
    <s v="Gerencia de Perforación y Reparación de Pozos Terrestre Sur"/>
    <s v="BASICO DE SEGURIDAD (BS)"/>
    <s v="PRESENCIAL"/>
    <n v="197260"/>
    <s v="Manuel Gordillo Izquierdo"/>
    <n v="16"/>
    <n v="2"/>
    <n v="10"/>
    <x v="133"/>
    <x v="26"/>
    <x v="3"/>
  </r>
  <r>
    <n v="11"/>
    <m/>
    <x v="7"/>
    <n v="27786"/>
    <x v="4"/>
    <s v="Gerencia de Servicios a Pozos"/>
    <s v="ACIDO SULFHIDRICO (H2S)"/>
    <s v="PRESENCIAL"/>
    <n v="433424"/>
    <s v="Sihnue Hernandez Dominguez"/>
    <n v="8"/>
    <n v="1"/>
    <n v="7"/>
    <x v="29"/>
    <x v="136"/>
    <x v="3"/>
  </r>
  <r>
    <n v="12"/>
    <m/>
    <x v="4"/>
    <n v="29103"/>
    <x v="4"/>
    <s v="Gerencia de Perforación y Reparación de Pozos Terrestre Norte"/>
    <s v="BASICO DE SEGURIDAD (BS)"/>
    <s v="PRESENCIAL"/>
    <n v="203699"/>
    <s v="Gilberto Ruben Rios Vela"/>
    <n v="16"/>
    <n v="2"/>
    <n v="8"/>
    <x v="30"/>
    <x v="29"/>
    <x v="3"/>
  </r>
  <r>
    <n v="13"/>
    <m/>
    <x v="7"/>
    <n v="27818"/>
    <x v="4"/>
    <s v="Gerencia de Servicios a Pozos"/>
    <s v="BASICO DE SEGURIDAD (BS)"/>
    <s v="PRESENCIAL"/>
    <n v="318824"/>
    <s v="David Antonio Amador Castillo"/>
    <n v="16"/>
    <n v="2"/>
    <n v="7"/>
    <x v="30"/>
    <x v="29"/>
    <x v="3"/>
  </r>
  <r>
    <n v="14"/>
    <m/>
    <x v="4"/>
    <n v="29104"/>
    <x v="4"/>
    <s v="Gerencia de Perforación y Reparación de Pozos Terrestre Norte"/>
    <s v="BASICO DE SEGURIDAD (BS)"/>
    <s v="PRESENCIAL"/>
    <n v="203699"/>
    <s v="Gilberto Ruben Rios Vela"/>
    <n v="16"/>
    <n v="2"/>
    <n v="8"/>
    <x v="31"/>
    <x v="137"/>
    <x v="4"/>
  </r>
  <r>
    <n v="15"/>
    <m/>
    <x v="2"/>
    <n v="27999"/>
    <x v="4"/>
    <s v="Gerencia de Servicios a Pozos"/>
    <s v="PLANEACION SEGURA DE LOS TRABAJOS"/>
    <s v="PRESENCIAL"/>
    <n v="686135"/>
    <s v="Jesus Alfredo Duran Enriquez"/>
    <n v="16"/>
    <n v="2"/>
    <n v="6"/>
    <x v="31"/>
    <x v="137"/>
    <x v="4"/>
  </r>
  <r>
    <n v="16"/>
    <m/>
    <x v="2"/>
    <n v="28003"/>
    <x v="4"/>
    <s v="Gerencia de Servicios a Pozos"/>
    <s v="PLANEACION SEGURA DE LOS TRABAJOS"/>
    <s v="PRESENCIAL"/>
    <n v="686135"/>
    <s v="Jesus Alfredo Duran Enriquez"/>
    <n v="16"/>
    <n v="2"/>
    <n v="8"/>
    <x v="134"/>
    <x v="138"/>
    <x v="4"/>
  </r>
  <r>
    <n v="17"/>
    <m/>
    <x v="4"/>
    <n v="29101"/>
    <x v="4"/>
    <s v="Gerencia de Perforación y Reparación de Pozos Terrestre Norte"/>
    <s v="BASICO DE SEGURIDAD (BS)"/>
    <s v="PRESENCIAL"/>
    <n v="203699"/>
    <s v="Gilberto Ruben Rios Vela"/>
    <n v="16"/>
    <n v="2"/>
    <n v="10"/>
    <x v="134"/>
    <x v="138"/>
    <x v="4"/>
  </r>
  <r>
    <n v="18"/>
    <m/>
    <x v="5"/>
    <n v="30822"/>
    <x v="4"/>
    <s v="Gerencia de Perforación y Reparación de Pozos Terrestre Sur"/>
    <s v="BASICO DE SEGURIDAD (BS)"/>
    <s v="PRESENCIAL"/>
    <n v="197260"/>
    <s v="Manuel Gordillo Izquierdo"/>
    <n v="16"/>
    <n v="2"/>
    <n v="8"/>
    <x v="134"/>
    <x v="138"/>
    <x v="4"/>
  </r>
  <r>
    <n v="19"/>
    <m/>
    <x v="7"/>
    <n v="29238"/>
    <x v="4"/>
    <s v="Gerencia de Perforación y Reparación de Pozos Terrestre Norte"/>
    <s v="BRIGADAS DE PRIMEROS AUXILIOS(BPA)"/>
    <s v="PRESENCIAL"/>
    <n v="365499"/>
    <s v="Victor Gabriel Kayser Espinosa"/>
    <n v="16"/>
    <n v="2"/>
    <n v="12"/>
    <x v="135"/>
    <x v="139"/>
    <x v="4"/>
  </r>
  <r>
    <n v="20"/>
    <m/>
    <x v="7"/>
    <n v="27973"/>
    <x v="4"/>
    <s v="Gerencia de Servicios a Pozos"/>
    <s v="MANEJO A LA DEFENSIVA (MD)"/>
    <s v="PRESENCIAL"/>
    <n v="318824"/>
    <s v="David Antonio Amador Castillo"/>
    <n v="8"/>
    <n v="1"/>
    <n v="6"/>
    <x v="136"/>
    <x v="140"/>
    <x v="4"/>
  </r>
  <r>
    <n v="21"/>
    <m/>
    <x v="7"/>
    <n v="27974"/>
    <x v="4"/>
    <s v="Gerencia de Servicios a Pozos"/>
    <s v="MANEJO A LA DEFENSIVA (MD)"/>
    <s v="PRESENCIAL"/>
    <n v="280104"/>
    <s v="Jose Luis Renteral Cardenas"/>
    <n v="8"/>
    <n v="1"/>
    <n v="6"/>
    <x v="33"/>
    <x v="141"/>
    <x v="4"/>
  </r>
  <r>
    <n v="22"/>
    <m/>
    <x v="8"/>
    <n v="29105"/>
    <x v="4"/>
    <s v="Gerencia de Perforación y Reparación de Pozos Terrestre Norte"/>
    <s v="BASICO DE SEGURIDAD (BS)"/>
    <s v="PRESENCIAL"/>
    <n v="433424"/>
    <s v="Sihnue Hernandez Dominguez"/>
    <n v="16"/>
    <n v="2"/>
    <n v="5"/>
    <x v="33"/>
    <x v="142"/>
    <x v="4"/>
  </r>
  <r>
    <n v="23"/>
    <m/>
    <x v="2"/>
    <n v="28001"/>
    <x v="4"/>
    <s v="Gerencia de Servicios a Pozos"/>
    <s v="PLANEACION SEGURA DE LOS TRABAJOS"/>
    <s v="PRESENCIAL"/>
    <n v="686135"/>
    <s v="Jesus Alfredo Duran Enriquez"/>
    <n v="16"/>
    <n v="2"/>
    <n v="8"/>
    <x v="33"/>
    <x v="142"/>
    <x v="4"/>
  </r>
  <r>
    <n v="24"/>
    <m/>
    <x v="2"/>
    <n v="28000"/>
    <x v="4"/>
    <s v="Gerencia de Servicios a Pozos"/>
    <s v="PLANEACION SEGURA DE LOS TRABAJOS"/>
    <s v="PRESENCIAL"/>
    <n v="686135"/>
    <s v="Jesus Alfredo Duran Enriquez"/>
    <n v="16"/>
    <n v="2"/>
    <n v="8"/>
    <x v="35"/>
    <x v="143"/>
    <x v="4"/>
  </r>
  <r>
    <n v="25"/>
    <m/>
    <x v="2"/>
    <n v="28002"/>
    <x v="4"/>
    <s v="Gerencia de Servicios a Pozos"/>
    <s v="PLANEACION SEGURA DE LOS TRABAJOS"/>
    <s v="PRESENCIAL"/>
    <n v="686135"/>
    <s v="Jesus Alfredo Duran Enriquez"/>
    <n v="16"/>
    <n v="2"/>
    <n v="7"/>
    <x v="137"/>
    <x v="144"/>
    <x v="4"/>
  </r>
  <r>
    <n v="26"/>
    <m/>
    <x v="3"/>
    <n v="25602"/>
    <x v="4"/>
    <s v="Gerencia de Perforación y Reparación de Pozos Terrestre Sur"/>
    <s v="BRIGADAS DE BUSQUEDA Y RESCATE (BBR)"/>
    <s v="PRESENCIAL"/>
    <n v="341401"/>
    <s v="Saul Leonardo Rodriguez Garcia"/>
    <n v="24"/>
    <n v="3"/>
    <n v="5"/>
    <x v="137"/>
    <x v="145"/>
    <x v="4"/>
  </r>
  <r>
    <n v="27"/>
    <m/>
    <x v="2"/>
    <n v="27811"/>
    <x v="4"/>
    <s v="Gerencia de Servicios a Pozos"/>
    <s v="AUDITORIAS EFECTIVAS"/>
    <s v="PRESENCIAL"/>
    <n v="686135"/>
    <s v="Jesus Alfredo Duran Enriquez"/>
    <n v="8"/>
    <n v="1"/>
    <n v="7"/>
    <x v="37"/>
    <x v="145"/>
    <x v="4"/>
  </r>
  <r>
    <n v="28"/>
    <m/>
    <x v="2"/>
    <n v="27812"/>
    <x v="4"/>
    <s v="Gerencia de Servicios a Pozos"/>
    <s v="AUDITORIAS EFECTIVAS"/>
    <s v="PRESENCIAL"/>
    <n v="686135"/>
    <s v="Jesus Alfredo Duran Enriquez"/>
    <n v="8"/>
    <n v="1"/>
    <n v="6"/>
    <x v="36"/>
    <x v="146"/>
    <x v="4"/>
  </r>
  <r>
    <n v="29"/>
    <m/>
    <x v="2"/>
    <n v="27813"/>
    <x v="4"/>
    <s v="Gerencia de Servicios a Pozos"/>
    <s v="AUDITORIAS EFECTIVAS"/>
    <s v="PRESENCIAL"/>
    <n v="686135"/>
    <s v="Jesus Alfredo Duran Enriquez"/>
    <n v="8"/>
    <n v="1"/>
    <n v="5"/>
    <x v="138"/>
    <x v="147"/>
    <x v="4"/>
  </r>
  <r>
    <n v="30"/>
    <m/>
    <x v="7"/>
    <n v="29237"/>
    <x v="4"/>
    <s v="Gerencia de Perforación y Reparación de Pozos Terrestre Norte"/>
    <s v="BRIGADAS DE PRIMEROS AUXILIOS(BPA)"/>
    <s v="PRESENCIAL"/>
    <n v="365499"/>
    <s v="Victor Gabriel Kayser Espinosa"/>
    <n v="16"/>
    <n v="2"/>
    <n v="7"/>
    <x v="139"/>
    <x v="148"/>
    <x v="4"/>
  </r>
  <r>
    <n v="31"/>
    <m/>
    <x v="2"/>
    <n v="27825"/>
    <x v="4"/>
    <s v="Gerencia de Servicios a Pozos"/>
    <s v="BASICO DE SEGURIDAD (BS)"/>
    <s v="PRESENCIAL"/>
    <n v="686135"/>
    <s v="Jesus Alfredo Duran Enriquez"/>
    <n v="16"/>
    <n v="2"/>
    <n v="6"/>
    <x v="139"/>
    <x v="148"/>
    <x v="4"/>
  </r>
  <r>
    <n v="32"/>
    <m/>
    <x v="2"/>
    <n v="27823"/>
    <x v="4"/>
    <s v="Gerencia de Servicios a Pozos"/>
    <s v="BASICO DE SEGURIDAD (BS)"/>
    <s v="PRESENCIAL"/>
    <n v="686135"/>
    <s v="Jesus Alfredo Duran Enriquez"/>
    <n v="16"/>
    <n v="2"/>
    <n v="5"/>
    <x v="40"/>
    <x v="149"/>
    <x v="4"/>
  </r>
  <r>
    <n v="33"/>
    <m/>
    <x v="2"/>
    <n v="27824"/>
    <x v="4"/>
    <s v="Gerencia de Servicios a Pozos"/>
    <s v="BASICO DE SEGURIDAD (BS)"/>
    <s v="PRESENCIAL"/>
    <n v="686135"/>
    <s v="Jesus Alfredo Duran Enriquez"/>
    <n v="16"/>
    <n v="2"/>
    <n v="6"/>
    <x v="140"/>
    <x v="150"/>
    <x v="4"/>
  </r>
  <r>
    <n v="34"/>
    <m/>
    <x v="3"/>
    <n v="23321"/>
    <x v="4"/>
    <s v="Gerencia de Perforación y Reparación de Pozos Terrestre Sur"/>
    <s v="ADMINISTRACION AMBIENTAL"/>
    <s v="PRESENCIAL"/>
    <n v="590998"/>
    <s v="PEDRO  GONZALEZ GONZALEZ"/>
    <n v="16"/>
    <n v="4"/>
    <n v="5"/>
    <x v="140"/>
    <x v="151"/>
    <x v="4"/>
  </r>
  <r>
    <n v="35"/>
    <m/>
    <x v="7"/>
    <n v="27819"/>
    <x v="4"/>
    <s v="Gerencia de Servicios a Pozos"/>
    <s v="BASICO DE SEGURIDAD (BS)"/>
    <s v="PRESENCIAL"/>
    <n v="318824"/>
    <s v="David Antonio Amador Castillo"/>
    <n v="16"/>
    <n v="2"/>
    <n v="5"/>
    <x v="141"/>
    <x v="152"/>
    <x v="5"/>
  </r>
  <r>
    <n v="36"/>
    <m/>
    <x v="9"/>
    <n v="27970"/>
    <x v="4"/>
    <s v="Gerencia de Servicios a Pozos"/>
    <s v="LIDERAZGO EN SSPA"/>
    <s v="PRESENCIAL"/>
    <n v="318824"/>
    <s v="David Antonio Amador Castillo"/>
    <n v="16"/>
    <n v="2"/>
    <n v="6"/>
    <x v="142"/>
    <x v="153"/>
    <x v="5"/>
  </r>
  <r>
    <n v="37"/>
    <m/>
    <x v="10"/>
    <n v="29854"/>
    <x v="4"/>
    <s v="Gerencia de Operación y Mantenimiento de Equipos"/>
    <s v="SISTEMA DE PERMISOS PARA TRABAJOS CON RIESGO (SPTR)"/>
    <s v="PRESENCIAL"/>
    <n v="328559"/>
    <s v="Jorge Alfredo Jasso Gonzalez"/>
    <n v="24"/>
    <n v="3"/>
    <n v="3"/>
    <x v="142"/>
    <x v="154"/>
    <x v="5"/>
  </r>
  <r>
    <n v="38"/>
    <m/>
    <x v="7"/>
    <n v="27820"/>
    <x v="4"/>
    <s v="Gerencia de Servicios a Pozos"/>
    <s v="BASICO DE SEGURIDAD (BS)"/>
    <s v="PRESENCIAL"/>
    <n v="318824"/>
    <s v="David Antonio Amador Castillo"/>
    <n v="16"/>
    <n v="2"/>
    <n v="5"/>
    <x v="44"/>
    <x v="44"/>
    <x v="5"/>
  </r>
  <r>
    <n v="39"/>
    <m/>
    <x v="5"/>
    <n v="30818"/>
    <x v="4"/>
    <s v="Gerencia de Perforación y Reparación de Pozos Terrestre Sur"/>
    <s v="BASICO DE SEGURIDAD (BS)"/>
    <s v="PRESENCIAL"/>
    <n v="197260"/>
    <s v="Manuel Gordillo Izquierdo"/>
    <n v="16"/>
    <n v="2"/>
    <n v="10"/>
    <x v="44"/>
    <x v="44"/>
    <x v="5"/>
  </r>
  <r>
    <n v="40"/>
    <m/>
    <x v="9"/>
    <n v="27971"/>
    <x v="4"/>
    <s v="Gerencia de Servicios a Pozos"/>
    <s v="LIDERAZGO EN SSPA"/>
    <s v="PRESENCIAL"/>
    <n v="318824"/>
    <s v="David Antonio Amador Castillo"/>
    <n v="16"/>
    <n v="2"/>
    <n v="4"/>
    <x v="46"/>
    <x v="155"/>
    <x v="5"/>
  </r>
  <r>
    <n v="41"/>
    <m/>
    <x v="10"/>
    <n v="29721"/>
    <x v="4"/>
    <s v="Gerencia de Operación y Mantenimiento de Equipos"/>
    <s v="BASICO DE SEGURIDAD (BS)"/>
    <s v="PRESENCIAL"/>
    <n v="374049"/>
    <s v="Elias Cordova Perez"/>
    <n v="16"/>
    <n v="2"/>
    <n v="2"/>
    <x v="46"/>
    <x v="155"/>
    <x v="5"/>
  </r>
  <r>
    <n v="42"/>
    <m/>
    <x v="4"/>
    <n v="24684"/>
    <x v="4"/>
    <s v="Gerencia de Perforación y Reparación de Pozos Terrestre Norte"/>
    <s v="RESPUESTA A EMERGENCIAS CON MATERIALES PELIGROSOS (REMP)"/>
    <s v="PRESENCIAL"/>
    <n v="203699"/>
    <s v="Gilberto Ruben Rios Vela"/>
    <n v="16"/>
    <n v="2"/>
    <n v="10"/>
    <x v="143"/>
    <x v="48"/>
    <x v="5"/>
  </r>
  <r>
    <n v="43"/>
    <m/>
    <x v="11"/>
    <n v="29720"/>
    <x v="4"/>
    <s v="Gerencia de Operación y Mantenimiento de Equipos"/>
    <s v="BASICO DE SEGURIDAD (BS)"/>
    <s v="PRESENCIAL"/>
    <n v="374049"/>
    <s v="Elias Cordova Perez"/>
    <n v="16"/>
    <n v="2"/>
    <n v="4"/>
    <x v="144"/>
    <x v="156"/>
    <x v="5"/>
  </r>
  <r>
    <n v="44"/>
    <m/>
    <x v="2"/>
    <n v="29236"/>
    <x v="4"/>
    <s v="Gerencia de Perforación y Reparación de Pozos Terrestre Norte"/>
    <s v="BRIGADAS DE PRIMEROS AUXILIOS(BPA)"/>
    <s v="PRESENCIAL"/>
    <n v="686135"/>
    <s v="Jesus Alfredo Duran Enriquez"/>
    <n v="16"/>
    <n v="2"/>
    <n v="6"/>
    <x v="144"/>
    <x v="156"/>
    <x v="5"/>
  </r>
  <r>
    <n v="45"/>
    <m/>
    <x v="4"/>
    <n v="23201"/>
    <x v="4"/>
    <s v="Gerencia de Perforación y Reparación de Pozos Terrestre Norte"/>
    <s v="ACIDO SULFHIDRICO (H2S)"/>
    <s v="PRESENCIAL"/>
    <n v="413600"/>
    <s v="Eduardo Mena Piñeyro"/>
    <n v="8"/>
    <n v="1"/>
    <n v="10"/>
    <x v="145"/>
    <x v="53"/>
    <x v="5"/>
  </r>
  <r>
    <n v="46"/>
    <m/>
    <x v="2"/>
    <n v="23204"/>
    <x v="4"/>
    <s v="Gerencia de Perforación y Reparación de Pozos Terrestre Norte"/>
    <s v="ACIDO SULFHIDRICO (H2S)"/>
    <s v="PRESENCIAL"/>
    <n v="686135"/>
    <s v="Jesus Alfredo Duran Enriquez"/>
    <n v="8"/>
    <n v="1"/>
    <n v="10"/>
    <x v="54"/>
    <x v="157"/>
    <x v="6"/>
  </r>
  <r>
    <n v="47"/>
    <m/>
    <x v="6"/>
    <n v="25701"/>
    <x v="4"/>
    <s v="Gerencia de Perforación y Reparación de Pozos Terrestre Sur"/>
    <s v="RIG PASS"/>
    <s v="PRESENCIAL"/>
    <n v="679358"/>
    <s v="Jose Enrique Bergman Ocampo"/>
    <n v="16"/>
    <n v="2"/>
    <n v="3"/>
    <x v="54"/>
    <x v="54"/>
    <x v="6"/>
  </r>
  <r>
    <n v="48"/>
    <m/>
    <x v="5"/>
    <n v="27975"/>
    <x v="4"/>
    <s v="Gerencia de Servicios a Pozos"/>
    <s v="MANEJO A LA DEFENSIVA (MD)"/>
    <s v="PRESENCIAL"/>
    <n v="318824"/>
    <s v="David Antonio Amador Castillo"/>
    <n v="8"/>
    <n v="1"/>
    <n v="10"/>
    <x v="146"/>
    <x v="55"/>
    <x v="6"/>
  </r>
  <r>
    <n v="49"/>
    <m/>
    <x v="5"/>
    <n v="27977"/>
    <x v="4"/>
    <s v="Gerencia de Servicios a Pozos"/>
    <s v="MANEJO A LA DEFENSIVA (MD)"/>
    <s v="PRESENCIAL"/>
    <n v="318824"/>
    <s v="David Antonio Amador Castillo"/>
    <n v="8"/>
    <n v="1"/>
    <n v="8"/>
    <x v="147"/>
    <x v="56"/>
    <x v="6"/>
  </r>
  <r>
    <n v="50"/>
    <m/>
    <x v="5"/>
    <n v="30817"/>
    <x v="4"/>
    <s v="Gerencia de Perforación y Reparación de Pozos Terrestre Sur"/>
    <s v="BASICO DE SEGURIDAD (BS)"/>
    <s v="PRESENCIAL"/>
    <n v="197260"/>
    <s v="Manuel Gordillo Izquierdo"/>
    <n v="16"/>
    <n v="2"/>
    <n v="10"/>
    <x v="147"/>
    <x v="57"/>
    <x v="6"/>
  </r>
  <r>
    <n v="51"/>
    <m/>
    <x v="7"/>
    <n v="24846"/>
    <x v="4"/>
    <s v="Gerencia de Servicios a Pozos"/>
    <s v="BRIGADAS CONTRAINCENDIOS (BCII)"/>
    <s v="PRESENCIAL"/>
    <n v="365499"/>
    <s v="Victor Gabriel Kayser Espinosa"/>
    <n v="24"/>
    <n v="3"/>
    <n v="4"/>
    <x v="148"/>
    <x v="158"/>
    <x v="6"/>
  </r>
  <r>
    <n v="52"/>
    <m/>
    <x v="7"/>
    <n v="28056"/>
    <x v="4"/>
    <s v="Gerencia de Servicios a Pozos"/>
    <s v="BRIGADAS DE BUSQUEDA Y RESCATE (BBR)"/>
    <s v="PRESENCIAL"/>
    <n v="365499"/>
    <s v="Victor Gabriel Kayser Espinosa"/>
    <n v="24"/>
    <n v="3"/>
    <n v="5"/>
    <x v="59"/>
    <x v="159"/>
    <x v="6"/>
  </r>
  <r>
    <n v="53"/>
    <m/>
    <x v="7"/>
    <n v="28067"/>
    <x v="4"/>
    <s v="Gerencia de Servicios a Pozos"/>
    <s v="BRIGADAS DE PRIMEROS AUXILIOS(BPA)"/>
    <s v="PRESENCIAL"/>
    <n v="365499"/>
    <s v="Victor Gabriel Kayser Espinosa"/>
    <n v="16"/>
    <n v="2"/>
    <n v="5"/>
    <x v="66"/>
    <x v="160"/>
    <x v="6"/>
  </r>
  <r>
    <n v="54"/>
    <m/>
    <x v="5"/>
    <n v="30819"/>
    <x v="4"/>
    <s v="Gerencia de Perforación y Reparación de Pozos Terrestre Sur"/>
    <s v="BASICO DE SEGURIDAD (BS)"/>
    <s v="PRESENCIAL"/>
    <n v="197260"/>
    <s v="Manuel Gordillo Izquierdo"/>
    <n v="16"/>
    <n v="2"/>
    <n v="10"/>
    <x v="69"/>
    <x v="74"/>
    <x v="7"/>
  </r>
  <r>
    <n v="55"/>
    <m/>
    <x v="2"/>
    <n v="23206"/>
    <x v="4"/>
    <s v="Gerencia de Perforación y Reparación de Pozos Terrestre Norte"/>
    <s v="ACIDO SULFHIDRICO (H2S)"/>
    <s v="PRESENCIAL"/>
    <n v="686135"/>
    <s v="Jesus Alfredo Duran Enriquez"/>
    <n v="8"/>
    <n v="1"/>
    <n v="10"/>
    <x v="75"/>
    <x v="161"/>
    <x v="7"/>
  </r>
  <r>
    <n v="56"/>
    <m/>
    <x v="4"/>
    <n v="24689"/>
    <x v="4"/>
    <s v="Gerencia de Perforación y Reparación de Pozos Terrestre Norte"/>
    <s v="SISTEMA DE PERMISOS PARA TRABAJOS CON RIESGO (SPTR)"/>
    <s v="PRESENCIAL"/>
    <n v="413600"/>
    <s v="Eduardo Mena Piñeyro"/>
    <n v="24"/>
    <n v="3"/>
    <n v="9"/>
    <x v="77"/>
    <x v="81"/>
    <x v="7"/>
  </r>
  <r>
    <n v="57"/>
    <m/>
    <x v="4"/>
    <n v="28016"/>
    <x v="4"/>
    <s v="Gerencia de Servicios a Pozos"/>
    <s v="SISTEMA DE PERMISOS PARA TRABAJOS CON RIESGO (SPTR)"/>
    <s v="PRESENCIAL"/>
    <n v="214350"/>
    <s v="Ivan Raudell Carballo Cardoza"/>
    <n v="24"/>
    <n v="3"/>
    <n v="7"/>
    <x v="77"/>
    <x v="81"/>
    <x v="7"/>
  </r>
  <r>
    <n v="58"/>
    <m/>
    <x v="4"/>
    <n v="28017"/>
    <x v="4"/>
    <s v="Gerencia de Servicios a Pozos"/>
    <s v="SISTEMA DE PERMISOS PARA TRABAJOS CON RIESGO (SPTR)"/>
    <s v="PRESENCIAL"/>
    <n v="214350"/>
    <s v="Ivan Raudell Carballo Cardoza"/>
    <n v="24"/>
    <n v="3"/>
    <n v="7"/>
    <x v="78"/>
    <x v="84"/>
    <x v="7"/>
  </r>
  <r>
    <n v="59"/>
    <m/>
    <x v="4"/>
    <n v="24903"/>
    <x v="4"/>
    <s v="Gerencia de Perforación y Reparación de Pozos Terrestre Norte"/>
    <s v="PREVENCION DE RIESGOS LABORALES"/>
    <s v="PRESENCIAL"/>
    <n v="413600"/>
    <s v="Eduardo Mena Piñeyro"/>
    <n v="16"/>
    <n v="2"/>
    <n v="10"/>
    <x v="81"/>
    <x v="85"/>
    <x v="7"/>
  </r>
  <r>
    <n v="60"/>
    <m/>
    <x v="4"/>
    <n v="28018"/>
    <x v="4"/>
    <s v="Gerencia de Servicios a Pozos"/>
    <s v="SISTEMA DE PERMISOS PARA TRABAJOS CON RIESGO (SPTR)"/>
    <s v="PRESENCIAL"/>
    <n v="214350"/>
    <s v="Ivan Raudell Carballo Cardoza"/>
    <n v="24"/>
    <n v="3"/>
    <n v="7"/>
    <x v="81"/>
    <x v="162"/>
    <x v="7"/>
  </r>
  <r>
    <n v="61"/>
    <m/>
    <x v="4"/>
    <n v="28020"/>
    <x v="4"/>
    <s v="Gerencia de Servicios a Pozos"/>
    <s v="SISTEMA DE PERMISOS PARA TRABAJOS CON RIESGO (SPTR)"/>
    <s v="PRESENCIAL"/>
    <n v="214350"/>
    <s v="Ivan Raudell Carballo Cardoza"/>
    <n v="24"/>
    <n v="3"/>
    <n v="8"/>
    <x v="149"/>
    <x v="89"/>
    <x v="7"/>
  </r>
  <r>
    <n v="62"/>
    <m/>
    <x v="4"/>
    <n v="28021"/>
    <x v="4"/>
    <s v="Gerencia de Servicios a Pozos"/>
    <s v="SISTEMA DE PERMISOS PARA TRABAJOS CON RIESGO (SPTR)"/>
    <s v="PRESENCIAL"/>
    <n v="214350"/>
    <s v="Ivan Raudell Carballo Cardoza"/>
    <n v="24"/>
    <n v="3"/>
    <n v="5"/>
    <x v="86"/>
    <x v="92"/>
    <x v="7"/>
  </r>
  <r>
    <n v="63"/>
    <m/>
    <x v="2"/>
    <n v="29235"/>
    <x v="4"/>
    <s v="Gerencia de Perforación y Reparación de Pozos Terrestre Norte"/>
    <s v="BRIGADAS DE PRIMEROS AUXILIOS(BPA)"/>
    <s v="PRESENCIAL"/>
    <n v="686135"/>
    <s v="Jesus Alfredo Duran Enriquez"/>
    <n v="16"/>
    <n v="2"/>
    <n v="9"/>
    <x v="88"/>
    <x v="92"/>
    <x v="7"/>
  </r>
  <r>
    <n v="64"/>
    <m/>
    <x v="11"/>
    <n v="29403"/>
    <x v="4"/>
    <s v="Gerencia de Operación y Mantenimiento de Equipos"/>
    <s v="LIDERAZGO EN SSPA"/>
    <s v="PRESENCIAL"/>
    <n v="374049"/>
    <s v="Elias Cordova Perez"/>
    <n v="16"/>
    <n v="2"/>
    <n v="1"/>
    <x v="88"/>
    <x v="92"/>
    <x v="7"/>
  </r>
  <r>
    <n v="65"/>
    <m/>
    <x v="4"/>
    <n v="28022"/>
    <x v="4"/>
    <s v="Gerencia de Servicios a Pozos"/>
    <s v="SISTEMA DE PERMISOS PARA TRABAJOS CON RIESGO (SPTR)"/>
    <s v="PRESENCIAL"/>
    <n v="214350"/>
    <s v="Ivan Raudell Carballo Cardoza"/>
    <n v="24"/>
    <n v="3"/>
    <n v="8"/>
    <x v="89"/>
    <x v="95"/>
    <x v="7"/>
  </r>
  <r>
    <n v="66"/>
    <m/>
    <x v="11"/>
    <n v="29853"/>
    <x v="4"/>
    <s v="Gerencia de Operación y Mantenimiento de Equipos"/>
    <s v="SISTEMA DE PERMISOS PARA TRABAJOS CON RIESGO (SPTR)"/>
    <s v="PRESENCIAL"/>
    <n v="329947"/>
    <s v="Roberto Gonzalez Tepox"/>
    <n v="24"/>
    <n v="3"/>
    <n v="8"/>
    <x v="150"/>
    <x v="96"/>
    <x v="8"/>
  </r>
  <r>
    <n v="67"/>
    <m/>
    <x v="4"/>
    <n v="28019"/>
    <x v="4"/>
    <s v="Gerencia de Servicios a Pozos"/>
    <s v="SISTEMA DE PERMISOS PARA TRABAJOS CON RIESGO (SPTR)"/>
    <s v="PRESENCIAL"/>
    <n v="214350"/>
    <s v="Ivan Raudell Carballo Cardoza"/>
    <n v="24"/>
    <n v="3"/>
    <n v="8"/>
    <x v="150"/>
    <x v="96"/>
    <x v="8"/>
  </r>
  <r>
    <n v="68"/>
    <m/>
    <x v="8"/>
    <n v="27822"/>
    <x v="4"/>
    <s v="Gerencia de Servicios a Pozos"/>
    <s v="BASICO DE SEGURIDAD (BS)"/>
    <s v="PRESENCIAL"/>
    <n v="318824"/>
    <s v="David Antonio Amador Castillo"/>
    <n v="16"/>
    <n v="2"/>
    <n v="6"/>
    <x v="151"/>
    <x v="98"/>
    <x v="8"/>
  </r>
  <r>
    <n v="69"/>
    <m/>
    <x v="4"/>
    <n v="28015"/>
    <x v="4"/>
    <s v="Gerencia de Servicios a Pozos"/>
    <s v="SISTEMA DE PERMISOS PARA TRABAJOS CON RIESGO (SPTR)"/>
    <s v="PRESENCIAL"/>
    <n v="214350"/>
    <s v="Ivan Raudell Carballo Cardoza"/>
    <n v="24"/>
    <n v="3"/>
    <n v="8"/>
    <x v="151"/>
    <x v="163"/>
    <x v="8"/>
  </r>
  <r>
    <n v="70"/>
    <m/>
    <x v="3"/>
    <n v="25648"/>
    <x v="4"/>
    <s v="Gerencia de Perforación y Reparación de Pozos Terrestre Sur"/>
    <s v="LIDERAZGO EN SSPA"/>
    <s v="PRESENCIAL"/>
    <n v="324620"/>
    <s v="Gustavo Alberto Romero Manzano"/>
    <n v="16"/>
    <n v="2"/>
    <n v="7"/>
    <x v="94"/>
    <x v="164"/>
    <x v="8"/>
  </r>
  <r>
    <n v="71"/>
    <m/>
    <x v="2"/>
    <n v="29233"/>
    <x v="4"/>
    <s v="Gerencia de Perforación y Reparación de Pozos Terrestre Norte"/>
    <s v="BRIGADAS DE PRIMEROS AUXILIOS(BPA)"/>
    <s v="PRESENCIAL"/>
    <n v="686135"/>
    <s v="Jesus Alfredo Duran Enriquez"/>
    <n v="16"/>
    <n v="2"/>
    <n v="8"/>
    <x v="152"/>
    <x v="165"/>
    <x v="8"/>
  </r>
  <r>
    <n v="72"/>
    <m/>
    <x v="4"/>
    <n v="24683"/>
    <x v="4"/>
    <s v="Gerencia de Perforación y Reparación de Pozos Terrestre Norte"/>
    <s v="RESPUESTA A EMERGENCIAS CON MATERIALES PELIGROSOS (REMP)"/>
    <s v="PRESENCIAL"/>
    <n v="203699"/>
    <s v="Gilberto Ruben Rios Vela"/>
    <n v="16"/>
    <n v="2"/>
    <n v="9"/>
    <x v="96"/>
    <x v="102"/>
    <x v="8"/>
  </r>
  <r>
    <n v="73"/>
    <m/>
    <x v="3"/>
    <n v="25198"/>
    <x v="4"/>
    <s v="Gerencia de Perforación y Reparación de Pozos Terrestre Sur"/>
    <s v="LIDERAZGO OPERATIVO PARA LA ADMINISTRACION DE RIESGOS"/>
    <s v="PRESENCIAL"/>
    <n v="576778"/>
    <s v="Pedro Esteban Barrios Jimenez"/>
    <n v="32"/>
    <n v="4"/>
    <n v="3"/>
    <x v="153"/>
    <x v="105"/>
    <x v="8"/>
  </r>
  <r>
    <n v="74"/>
    <m/>
    <x v="4"/>
    <n v="23202"/>
    <x v="4"/>
    <s v="Gerencia de Perforación y Reparación de Pozos Terrestre Norte"/>
    <s v="ACIDO SULFHIDRICO (H2S)"/>
    <s v="PRESENCIAL"/>
    <n v="413600"/>
    <s v="Eduardo Mena Piñeyro"/>
    <n v="8"/>
    <n v="1"/>
    <n v="10"/>
    <x v="104"/>
    <x v="166"/>
    <x v="8"/>
  </r>
  <r>
    <n v="75"/>
    <m/>
    <x v="10"/>
    <n v="27976"/>
    <x v="4"/>
    <s v="Gerencia de Servicios a Pozos"/>
    <s v="MANEJO A LA DEFENSIVA (MD)"/>
    <s v="PRESENCIAL"/>
    <n v="202584"/>
    <s v="Jorge Martin Peralta Jonguitud"/>
    <n v="8"/>
    <n v="1"/>
    <n v="6"/>
    <x v="113"/>
    <x v="118"/>
    <x v="9"/>
  </r>
  <r>
    <n v="76"/>
    <m/>
    <x v="10"/>
    <n v="27978"/>
    <x v="4"/>
    <s v="Gerencia de Servicios a Pozos"/>
    <s v="MANEJO A LA DEFENSIVA (MD)"/>
    <s v="PRESENCIAL"/>
    <n v="202584"/>
    <s v="Jorge Martin Peralta Jonguitud"/>
    <n v="8"/>
    <n v="1"/>
    <n v="8"/>
    <x v="114"/>
    <x v="119"/>
    <x v="9"/>
  </r>
  <r>
    <n v="77"/>
    <m/>
    <x v="4"/>
    <n v="24902"/>
    <x v="4"/>
    <s v="Gerencia de Perforación y Reparación de Pozos Terrestre Norte"/>
    <s v="PREVENCION DE RIESGOS LABORALES"/>
    <s v="PRESENCIAL"/>
    <n v="520356"/>
    <s v="Raymundo Olivera Zaragoza"/>
    <n v="16"/>
    <n v="2"/>
    <n v="9"/>
    <x v="113"/>
    <x v="119"/>
    <x v="9"/>
  </r>
  <r>
    <n v="78"/>
    <m/>
    <x v="7"/>
    <n v="28051"/>
    <x v="4"/>
    <s v="Gerencia de Servicios a Pozos"/>
    <s v="VERIFICADOR DE GAS (VG)"/>
    <s v="PRESENCIAL"/>
    <n v="433424"/>
    <s v="Sihnue Hernandez Dominguez"/>
    <n v="8"/>
    <n v="1"/>
    <n v="4"/>
    <x v="154"/>
    <x v="120"/>
    <x v="9"/>
  </r>
  <r>
    <n v="79"/>
    <m/>
    <x v="7"/>
    <n v="28014"/>
    <x v="4"/>
    <s v="Gerencia de Servicios a Pozos"/>
    <s v="SISTEMA DE PERMISOS PARA TRABAJOS CON RIESGO (SPTR)"/>
    <s v="PRESENCIAL"/>
    <n v="433424"/>
    <s v="Sihnue Hernandez Dominguez"/>
    <n v="24"/>
    <n v="3"/>
    <n v="5"/>
    <x v="155"/>
    <x v="167"/>
    <x v="9"/>
  </r>
  <r>
    <n v="80"/>
    <m/>
    <x v="10"/>
    <n v="27821"/>
    <x v="4"/>
    <s v="Gerencia de Servicios a Pozos"/>
    <s v="BASICO DE SEGURIDAD (BS)"/>
    <s v="PRESENCIAL"/>
    <n v="202584"/>
    <s v="Jorge Martin Peralta Jonguitud"/>
    <n v="16"/>
    <n v="2"/>
    <n v="10"/>
    <x v="117"/>
    <x v="121"/>
    <x v="9"/>
  </r>
  <r>
    <n v="81"/>
    <m/>
    <x v="10"/>
    <n v="27828"/>
    <x v="4"/>
    <s v="Gerencia de Servicios a Pozos"/>
    <s v="BASICO DE SEGURIDAD (BS)"/>
    <s v="PRESENCIAL"/>
    <n v="202584"/>
    <s v="Jorge Martin Peralta Jonguitud"/>
    <n v="16"/>
    <n v="2"/>
    <n v="9"/>
    <x v="156"/>
    <x v="128"/>
    <x v="10"/>
  </r>
  <r>
    <n v="1"/>
    <m/>
    <x v="12"/>
    <n v="20810"/>
    <x v="6"/>
    <s v="Activo de Producción Reynosa"/>
    <s v="DISCIPLINA OPERATIVA"/>
    <s v="PRESENCIAL"/>
    <n v="196157"/>
    <s v="Lucio Alfonso Posadas Ramírez"/>
    <n v="16"/>
    <n v="2"/>
    <n v="12"/>
    <x v="7"/>
    <x v="168"/>
    <x v="1"/>
  </r>
  <r>
    <n v="2"/>
    <m/>
    <x v="12"/>
    <n v="20811"/>
    <x v="6"/>
    <s v="Activo de Producción Reynosa"/>
    <s v="DISCIPLINA OPERATIVA"/>
    <s v="PRESENCIAL"/>
    <n v="196157"/>
    <s v="Lucio Alfonso Posadas Ramírez"/>
    <n v="16"/>
    <n v="2"/>
    <n v="12"/>
    <x v="157"/>
    <x v="169"/>
    <x v="1"/>
  </r>
  <r>
    <n v="3"/>
    <m/>
    <x v="12"/>
    <n v="20812"/>
    <x v="6"/>
    <s v="Activo de Producción Reynosa"/>
    <s v="DISCIPLINA OPERATIVA"/>
    <s v="PRESENCIAL"/>
    <n v="196157"/>
    <s v="Lucio Alfonso Posadas Ramírez"/>
    <n v="16"/>
    <n v="2"/>
    <n v="11"/>
    <x v="158"/>
    <x v="170"/>
    <x v="1"/>
  </r>
  <r>
    <n v="4"/>
    <m/>
    <x v="12"/>
    <n v="20813"/>
    <x v="6"/>
    <s v="Activo de Producción Reynosa"/>
    <s v="DISCIPLINA OPERATIVA"/>
    <s v="PRESENCIAL"/>
    <n v="196157"/>
    <s v="Lucio Alfonso Posadas Ramírez"/>
    <n v="16"/>
    <n v="2"/>
    <n v="11"/>
    <x v="15"/>
    <x v="171"/>
    <x v="1"/>
  </r>
  <r>
    <n v="5"/>
    <m/>
    <x v="12"/>
    <n v="20804"/>
    <x v="6"/>
    <s v="Activo de Producción Reynosa"/>
    <s v="ACIDO SULFHIDRICO (H2S)"/>
    <s v="PRESENCIAL"/>
    <n v="226488"/>
    <s v="Ernesto Sánchez García"/>
    <n v="8"/>
    <n v="1"/>
    <n v="12"/>
    <x v="159"/>
    <x v="172"/>
    <x v="1"/>
  </r>
  <r>
    <n v="6"/>
    <m/>
    <x v="12"/>
    <n v="20814"/>
    <x v="6"/>
    <s v="Activo de Producción Reynosa"/>
    <s v="DISCIPLINA OPERATIVA"/>
    <s v="PRESENCIAL"/>
    <n v="196157"/>
    <s v="Lucio Alfonso Posadas Ramírez"/>
    <n v="16"/>
    <n v="2"/>
    <n v="12"/>
    <x v="159"/>
    <x v="173"/>
    <x v="1"/>
  </r>
  <r>
    <n v="7"/>
    <m/>
    <x v="12"/>
    <n v="20815"/>
    <x v="6"/>
    <s v="Activo de Producción Reynosa"/>
    <s v="DISCIPLINA OPERATIVA"/>
    <s v="PRESENCIAL"/>
    <n v="196157"/>
    <s v="Lucio Alfonso Posadas Ramírez"/>
    <n v="16"/>
    <n v="2"/>
    <n v="12"/>
    <x v="127"/>
    <x v="174"/>
    <x v="2"/>
  </r>
  <r>
    <n v="8"/>
    <m/>
    <x v="12"/>
    <n v="20921"/>
    <x v="6"/>
    <s v="Activo de Producción Reynosa"/>
    <s v="PREVENCION DE RIESGOS LABORALES"/>
    <s v="PRESENCIAL"/>
    <n v="196157"/>
    <s v="Lucio Alfonso Posadas Ramírez"/>
    <n v="16"/>
    <n v="2"/>
    <n v="9"/>
    <x v="160"/>
    <x v="175"/>
    <x v="2"/>
  </r>
  <r>
    <n v="9"/>
    <m/>
    <x v="12"/>
    <n v="20920"/>
    <x v="6"/>
    <s v="Activo de Producción Reynosa"/>
    <s v="PREVENCION DE RIESGOS LABORALES"/>
    <s v="PRESENCIAL"/>
    <n v="196157"/>
    <s v="Lucio Alfonso Posadas Ramírez"/>
    <n v="16"/>
    <n v="2"/>
    <n v="8"/>
    <x v="161"/>
    <x v="176"/>
    <x v="2"/>
  </r>
  <r>
    <n v="10"/>
    <m/>
    <x v="12"/>
    <n v="20824"/>
    <x v="6"/>
    <s v="Activo de Producción Reynosa"/>
    <s v="MANEJO A LA DEFENSIVA (MD)"/>
    <s v="PRESENCIAL"/>
    <n v="317251"/>
    <s v="Felix Horacio Aleman Garcia"/>
    <n v="8"/>
    <n v="1"/>
    <n v="5"/>
    <x v="18"/>
    <x v="18"/>
    <x v="2"/>
  </r>
  <r>
    <n v="11"/>
    <m/>
    <x v="12"/>
    <n v="20809"/>
    <x v="6"/>
    <s v="Activo de Producción Reynosa"/>
    <s v="DISCIPLINA OPERATIVA"/>
    <s v="PRESENCIAL"/>
    <n v="196157"/>
    <s v="Lucio Alfonso Posadas Ramírez"/>
    <n v="16"/>
    <n v="2"/>
    <n v="11"/>
    <x v="18"/>
    <x v="177"/>
    <x v="2"/>
  </r>
  <r>
    <n v="12"/>
    <m/>
    <x v="12"/>
    <n v="20816"/>
    <x v="6"/>
    <s v="Activo de Producción Reynosa"/>
    <s v="DISCIPLINA OPERATIVA"/>
    <s v="PRESENCIAL"/>
    <n v="196157"/>
    <s v="Lucio Alfonso Posadas Ramírez"/>
    <n v="16"/>
    <n v="2"/>
    <n v="9"/>
    <x v="162"/>
    <x v="178"/>
    <x v="2"/>
  </r>
  <r>
    <n v="13"/>
    <m/>
    <x v="12"/>
    <n v="20926"/>
    <x v="6"/>
    <s v="Activo de Producción Reynosa"/>
    <s v="PROCEDIMIENTOS CRITICOS (PC)"/>
    <s v="PRESENCIAL"/>
    <n v="408659"/>
    <s v="Juan Rojas Diaz"/>
    <n v="16"/>
    <n v="2"/>
    <n v="13"/>
    <x v="19"/>
    <x v="179"/>
    <x v="2"/>
  </r>
  <r>
    <n v="14"/>
    <m/>
    <x v="12"/>
    <n v="23609"/>
    <x v="6"/>
    <s v="Gerencia de Mantenimiento, Confiabilidad y Construcción"/>
    <s v="AUDITORIAS EFECTIVAS"/>
    <s v="PRESENCIAL"/>
    <n v="410457"/>
    <s v="Ivan Gonzalez Morales"/>
    <n v="8"/>
    <n v="1"/>
    <n v="2"/>
    <x v="25"/>
    <x v="25"/>
    <x v="3"/>
  </r>
  <r>
    <n v="15"/>
    <m/>
    <x v="12"/>
    <n v="24454"/>
    <x v="1"/>
    <s v="Gerencia de Seguridad, Salud en el Trabajo y Protección Ambiental Región Norte"/>
    <s v="RESPUESTA A EMERGENCIAS CON MATERIALES PELIGROSOS (REMP)"/>
    <s v="PRESENCIAL"/>
    <n v="226488"/>
    <s v="Ernesto Sánchez García"/>
    <n v="16"/>
    <n v="2"/>
    <n v="6"/>
    <x v="133"/>
    <x v="26"/>
    <x v="3"/>
  </r>
  <r>
    <n v="16"/>
    <m/>
    <x v="12"/>
    <n v="20925"/>
    <x v="6"/>
    <s v="Activo de Producción Reynosa"/>
    <s v="PROCEDIMIENTOS CRITICOS (PC)"/>
    <s v="PRESENCIAL"/>
    <n v="408659"/>
    <s v="Juan Rojas Diaz"/>
    <n v="16"/>
    <n v="2"/>
    <n v="13"/>
    <x v="30"/>
    <x v="29"/>
    <x v="3"/>
  </r>
  <r>
    <n v="17"/>
    <m/>
    <x v="12"/>
    <n v="24401"/>
    <x v="1"/>
    <s v="Gerencia de Seguridad, Salud en el Trabajo y Protección Ambiental Región Norte"/>
    <s v="BRIGADAS DE PRIMEROS AUXILIOS(BPA)"/>
    <s v="PRESENCIAL"/>
    <s v="CASES"/>
    <s v="INSTRUCTOR CASES ."/>
    <n v="16"/>
    <n v="2"/>
    <n v="6"/>
    <x v="163"/>
    <x v="31"/>
    <x v="3"/>
  </r>
  <r>
    <n v="18"/>
    <m/>
    <x v="12"/>
    <n v="21280"/>
    <x v="6"/>
    <s v="Activo de Producción Reynosa"/>
    <s v="REACREDITACION DE SIGNATARIOS DEL SPPTR (RSPTR)"/>
    <s v="PRESENCIAL"/>
    <n v="196157"/>
    <s v="Lucio Alfonso Posadas Ramírez"/>
    <n v="8"/>
    <n v="1"/>
    <n v="5"/>
    <x v="32"/>
    <x v="180"/>
    <x v="4"/>
  </r>
  <r>
    <n v="19"/>
    <m/>
    <x v="12"/>
    <n v="24428"/>
    <x v="1"/>
    <s v="Gerencia de Seguridad, Salud en el Trabajo y Protección Ambiental Región Norte"/>
    <s v="LIDERAZGO EN SSPA"/>
    <s v="A DISTANCIA"/>
    <n v="375324"/>
    <s v="David Michael Madrigal Eliseo"/>
    <n v="16"/>
    <n v="2"/>
    <n v="9"/>
    <x v="31"/>
    <x v="137"/>
    <x v="4"/>
  </r>
  <r>
    <n v="20"/>
    <m/>
    <x v="12"/>
    <n v="26478"/>
    <x v="0"/>
    <s v="Gerencia de Servicios de Soporte y Logística Terrestre"/>
    <s v="MANEJO A LA DEFENSIVA (MD)"/>
    <s v="PRESENCIAL"/>
    <n v="196853"/>
    <s v="Justo Jesus del Angel del Angel"/>
    <n v="8"/>
    <n v="1"/>
    <n v="12"/>
    <x v="164"/>
    <x v="138"/>
    <x v="4"/>
  </r>
  <r>
    <n v="21"/>
    <m/>
    <x v="12"/>
    <n v="23243"/>
    <x v="6"/>
    <s v="Gerencia de Mantenimiento, Confiabilidad y Construcción"/>
    <s v="REACREDITACION DE SIGNATARIOS DEL SPPTR (RSPTR)"/>
    <s v="PRESENCIAL"/>
    <n v="196157"/>
    <s v="Lucio Alfonso Posadas Ramírez"/>
    <n v="8"/>
    <n v="1"/>
    <n v="5"/>
    <x v="34"/>
    <x v="142"/>
    <x v="4"/>
  </r>
  <r>
    <n v="22"/>
    <m/>
    <x v="12"/>
    <n v="29126"/>
    <x v="1"/>
    <s v="Gerencia de Seguridad, Salud en el Trabajo y Protección Ambiental Región Norte"/>
    <s v="PLANEACION SEGURA DE LOS TRABAJOS"/>
    <s v="PRESENCIAL"/>
    <n v="336120"/>
    <s v="Julio Cesar Chirinos Cabañas"/>
    <n v="16"/>
    <n v="2"/>
    <n v="1"/>
    <x v="165"/>
    <x v="181"/>
    <x v="5"/>
  </r>
  <r>
    <n v="23"/>
    <m/>
    <x v="12"/>
    <n v="20884"/>
    <x v="6"/>
    <s v="Activo de Producción Reynosa"/>
    <s v="REVALIDACION BASICO DE SEGURIDAD (BS)"/>
    <s v="PRESENCIAL"/>
    <n v="408659"/>
    <s v="Juan Rojas Diaz"/>
    <n v="8"/>
    <n v="1"/>
    <n v="9"/>
    <x v="141"/>
    <x v="151"/>
    <x v="5"/>
  </r>
  <r>
    <n v="24"/>
    <m/>
    <x v="12"/>
    <n v="20881"/>
    <x v="6"/>
    <s v="Activo de Producción Reynosa"/>
    <s v="REVALIDACION BASICO DE SEGURIDAD (BS)"/>
    <s v="PRESENCIAL"/>
    <n v="408659"/>
    <s v="Juan Rojas Diaz"/>
    <n v="8"/>
    <n v="1"/>
    <n v="12"/>
    <x v="43"/>
    <x v="152"/>
    <x v="5"/>
  </r>
  <r>
    <n v="25"/>
    <m/>
    <x v="12"/>
    <n v="20877"/>
    <x v="6"/>
    <s v="Activo de Producción Reynosa"/>
    <s v="REVALIDACION BASICO DE SEGURIDAD (BS)"/>
    <s v="PRESENCIAL"/>
    <n v="408659"/>
    <s v="Juan Rojas Diaz"/>
    <n v="8"/>
    <n v="1"/>
    <n v="12"/>
    <x v="142"/>
    <x v="182"/>
    <x v="5"/>
  </r>
  <r>
    <n v="26"/>
    <m/>
    <x v="12"/>
    <n v="20878"/>
    <x v="6"/>
    <s v="Activo de Producción Reynosa"/>
    <s v="REVALIDACION BASICO DE SEGURIDAD (BS)"/>
    <s v="PRESENCIAL"/>
    <n v="408659"/>
    <s v="Juan Rojas Diaz"/>
    <n v="8"/>
    <n v="1"/>
    <n v="12"/>
    <x v="166"/>
    <x v="153"/>
    <x v="5"/>
  </r>
  <r>
    <n v="27"/>
    <m/>
    <x v="12"/>
    <n v="26749"/>
    <x v="0"/>
    <s v="Gerencia de Servicios de Soporte y Logística Terrestre"/>
    <s v="BASICO DE SEGURIDAD (BS)"/>
    <s v="PRESENCIAL"/>
    <n v="107392"/>
    <s v="Francisco Arcos Garcia"/>
    <n v="16"/>
    <n v="2"/>
    <n v="10"/>
    <x v="142"/>
    <x v="153"/>
    <x v="5"/>
  </r>
  <r>
    <n v="28"/>
    <m/>
    <x v="12"/>
    <n v="20879"/>
    <x v="6"/>
    <s v="Activo de Producción Reynosa"/>
    <s v="REVALIDACION BASICO DE SEGURIDAD (BS)"/>
    <s v="PRESENCIAL"/>
    <n v="408659"/>
    <s v="Juan Rojas Diaz"/>
    <n v="8"/>
    <n v="1"/>
    <n v="12"/>
    <x v="45"/>
    <x v="154"/>
    <x v="5"/>
  </r>
  <r>
    <n v="29"/>
    <m/>
    <x v="12"/>
    <n v="20883"/>
    <x v="6"/>
    <s v="Activo de Producción Reynosa"/>
    <s v="REVALIDACION BASICO DE SEGURIDAD (BS)"/>
    <s v="PRESENCIAL"/>
    <n v="408659"/>
    <s v="Juan Rojas Diaz"/>
    <n v="8"/>
    <n v="1"/>
    <n v="12"/>
    <x v="167"/>
    <x v="44"/>
    <x v="5"/>
  </r>
  <r>
    <n v="30"/>
    <m/>
    <x v="12"/>
    <n v="24384"/>
    <x v="1"/>
    <s v="Gerencia de Seguridad, Salud en el Trabajo y Protección Ambiental Región Norte"/>
    <s v="BRIGADAS CONTRAINCENDIOS (BCII)"/>
    <s v="PRESENCIAL"/>
    <n v="486686"/>
    <s v="Raul Muñoz Lozano"/>
    <n v="24"/>
    <n v="3"/>
    <n v="7"/>
    <x v="143"/>
    <x v="49"/>
    <x v="5"/>
  </r>
  <r>
    <n v="31"/>
    <m/>
    <x v="12"/>
    <n v="20882"/>
    <x v="6"/>
    <s v="Activo de Producción Reynosa"/>
    <s v="REVALIDACION BASICO DE SEGURIDAD (BS)"/>
    <s v="PRESENCIAL"/>
    <n v="408659"/>
    <s v="Juan Rojas Diaz"/>
    <n v="8"/>
    <n v="1"/>
    <n v="12"/>
    <x v="168"/>
    <x v="183"/>
    <x v="5"/>
  </r>
  <r>
    <n v="32"/>
    <m/>
    <x v="12"/>
    <n v="24402"/>
    <x v="1"/>
    <s v="Gerencia de Seguridad, Salud en el Trabajo y Protección Ambiental Región Norte"/>
    <s v="BRIGADAS DE PRIMEROS AUXILIOS(BPA)"/>
    <s v="PRESENCIAL"/>
    <s v="CASES"/>
    <s v="INSTRUCTOR CASES ."/>
    <n v="16"/>
    <n v="2"/>
    <n v="4"/>
    <x v="145"/>
    <x v="184"/>
    <x v="5"/>
  </r>
  <r>
    <n v="33"/>
    <m/>
    <x v="12"/>
    <n v="21242"/>
    <x v="6"/>
    <s v="Activo de Producción Reynosa"/>
    <s v="SEGURIDAD EN CENTROS ADMINISTRACIONS (SCA)"/>
    <s v="PRESENCIAL"/>
    <n v="147188"/>
    <s v="Alejandra L. Gonzalez Loredo"/>
    <n v="8"/>
    <n v="1"/>
    <n v="19"/>
    <x v="146"/>
    <x v="55"/>
    <x v="6"/>
  </r>
  <r>
    <n v="34"/>
    <m/>
    <x v="12"/>
    <n v="24455"/>
    <x v="1"/>
    <s v="Gerencia de Seguridad, Salud en el Trabajo y Protección Ambiental Región Norte"/>
    <s v="RESPUESTA A EMERGENCIAS CON MATERIALES PELIGROSOS (REMP)"/>
    <s v="PRESENCIAL"/>
    <n v="226488"/>
    <s v="Ernesto Sánchez García"/>
    <n v="16"/>
    <n v="2"/>
    <n v="4"/>
    <x v="147"/>
    <x v="57"/>
    <x v="6"/>
  </r>
  <r>
    <n v="35"/>
    <m/>
    <x v="12"/>
    <n v="24983"/>
    <x v="5"/>
    <s v="Gerencia de Caracterización de Yacimientos y Exploración de Campos"/>
    <s v="ADMINISTRACION DE RIESGOS EN PEMEX EXPLORACION Y PRODUCCION"/>
    <s v="PRESENCIAL"/>
    <n v="361756"/>
    <s v="Elio Mendez Damasco"/>
    <n v="8"/>
    <n v="1"/>
    <n v="3"/>
    <x v="169"/>
    <x v="60"/>
    <x v="6"/>
  </r>
  <r>
    <n v="36"/>
    <m/>
    <x v="12"/>
    <n v="20820"/>
    <x v="6"/>
    <s v="Activo de Producción Reynosa"/>
    <s v="AUDITORIAS EFECTIVAS"/>
    <s v="PRESENCIAL"/>
    <n v="196157"/>
    <s v="Lucio Alfonso Posadas Ramírez"/>
    <n v="8"/>
    <n v="1"/>
    <n v="11"/>
    <x v="59"/>
    <x v="185"/>
    <x v="6"/>
  </r>
  <r>
    <n v="37"/>
    <m/>
    <x v="12"/>
    <n v="21243"/>
    <x v="6"/>
    <s v="Activo de Producción Reynosa"/>
    <s v="SEGURIDAD EN CENTROS ADMINISTRACIONS (SCA)"/>
    <s v="PRESENCIAL"/>
    <n v="147188"/>
    <s v="Alejandra L. Gonzalez Loredo"/>
    <n v="8"/>
    <n v="1"/>
    <n v="20"/>
    <x v="60"/>
    <x v="159"/>
    <x v="6"/>
  </r>
  <r>
    <n v="38"/>
    <m/>
    <x v="12"/>
    <n v="26146"/>
    <x v="5"/>
    <s v="Gerencia de Caracterización de Yacimientos y Exploración de Campos"/>
    <s v="LIDERAZGO OPERATIVO PARA LA ADMINISTRACION DE RIESGOS"/>
    <s v="PRESENCIAL"/>
    <n v="361756"/>
    <s v="Elio Mendez Damasco"/>
    <n v="32"/>
    <n v="4"/>
    <n v="1"/>
    <x v="59"/>
    <x v="63"/>
    <x v="6"/>
  </r>
  <r>
    <n v="39"/>
    <m/>
    <x v="12"/>
    <n v="24385"/>
    <x v="1"/>
    <s v="Gerencia de Seguridad, Salud en el Trabajo y Protección Ambiental Región Norte"/>
    <s v="BRIGADAS CONTRAINCENDIOS (BCII)"/>
    <s v="PRESENCIAL"/>
    <n v="486686"/>
    <s v="Raul Muñoz Lozano"/>
    <n v="24"/>
    <n v="3"/>
    <n v="5"/>
    <x v="64"/>
    <x v="69"/>
    <x v="6"/>
  </r>
  <r>
    <n v="40"/>
    <m/>
    <x v="12"/>
    <n v="21244"/>
    <x v="6"/>
    <s v="Activo de Producción Reynosa"/>
    <s v="SEGURIDAD EN CENTROS ADMINISTRACIONS (SCA)"/>
    <s v="PRESENCIAL"/>
    <n v="147188"/>
    <s v="Alejandra L. Gonzalez Loredo"/>
    <n v="8"/>
    <n v="1"/>
    <n v="20"/>
    <x v="70"/>
    <x v="72"/>
    <x v="7"/>
  </r>
  <r>
    <n v="41"/>
    <m/>
    <x v="12"/>
    <n v="24386"/>
    <x v="1"/>
    <s v="Gerencia de Seguridad, Salud en el Trabajo y Protección Ambiental Región Norte"/>
    <s v="BRIGADAS CONTRAINCENDIOS (BCII)"/>
    <s v="PRESENCIAL"/>
    <n v="486686"/>
    <s v="Raul Muñoz Lozano"/>
    <n v="24"/>
    <n v="3"/>
    <n v="11"/>
    <x v="72"/>
    <x v="78"/>
    <x v="7"/>
  </r>
  <r>
    <n v="42"/>
    <m/>
    <x v="12"/>
    <n v="26536"/>
    <x v="0"/>
    <s v="Gerencia de Servicios de Soporte y Logística Terrestre"/>
    <s v="PREVENCION DE RIESGOS LABORALES"/>
    <s v="PRESENCIAL"/>
    <n v="196157"/>
    <s v="Lucio Alfonso Posadas Ramírez"/>
    <n v="16"/>
    <n v="2"/>
    <n v="16"/>
    <x v="75"/>
    <x v="78"/>
    <x v="7"/>
  </r>
  <r>
    <n v="43"/>
    <m/>
    <x v="12"/>
    <n v="20808"/>
    <x v="6"/>
    <s v="Activo de Producción Reynosa"/>
    <s v="DISCIPLINA OPERATIVA"/>
    <s v="PRESENCIAL"/>
    <n v="196157"/>
    <s v="Lucio Alfonso Posadas Ramírez"/>
    <n v="16"/>
    <n v="2"/>
    <n v="12"/>
    <x v="78"/>
    <x v="83"/>
    <x v="7"/>
  </r>
  <r>
    <n v="44"/>
    <m/>
    <x v="12"/>
    <n v="21245"/>
    <x v="6"/>
    <s v="Activo de Producción Reynosa"/>
    <s v="SEGURIDAD EN CENTROS ADMINISTRACIONS (SCA)"/>
    <s v="PRESENCIAL"/>
    <n v="147188"/>
    <s v="Alejandra L. Gonzalez Loredo"/>
    <n v="8"/>
    <n v="1"/>
    <n v="19"/>
    <x v="80"/>
    <x v="83"/>
    <x v="7"/>
  </r>
  <r>
    <n v="45"/>
    <m/>
    <x v="12"/>
    <n v="20880"/>
    <x v="6"/>
    <s v="Activo de Producción Reynosa"/>
    <s v="REVALIDACION BASICO DE SEGURIDAD (BS)"/>
    <s v="PRESENCIAL"/>
    <n v="408659"/>
    <s v="Juan Rojas Diaz"/>
    <n v="8"/>
    <n v="1"/>
    <n v="12"/>
    <x v="170"/>
    <x v="186"/>
    <x v="7"/>
  </r>
  <r>
    <n v="46"/>
    <m/>
    <x v="12"/>
    <n v="24456"/>
    <x v="1"/>
    <s v="Gerencia de Seguridad, Salud en el Trabajo y Protección Ambiental Región Norte"/>
    <s v="RESPUESTA A EMERGENCIAS CON MATERIALES PELIGROSOS (REMP)"/>
    <s v="PRESENCIAL"/>
    <n v="226488"/>
    <s v="Ernesto Sánchez García"/>
    <n v="16"/>
    <n v="2"/>
    <n v="8"/>
    <x v="149"/>
    <x v="88"/>
    <x v="7"/>
  </r>
  <r>
    <n v="47"/>
    <m/>
    <x v="12"/>
    <n v="24877"/>
    <x v="1"/>
    <s v="Gerencia de Seguridad, Salud en el Trabajo y Protección Ambiental Región Norte"/>
    <s v="SALUD EN EL TRABAJO"/>
    <s v="A DISTANCIA"/>
    <n v="348492"/>
    <s v="Claudia Consuelo Cuellar Burela"/>
    <n v="24"/>
    <n v="3"/>
    <n v="5"/>
    <x v="83"/>
    <x v="92"/>
    <x v="7"/>
  </r>
  <r>
    <n v="48"/>
    <m/>
    <x v="12"/>
    <n v="24403"/>
    <x v="1"/>
    <s v="Gerencia de Seguridad, Salud en el Trabajo y Protección Ambiental Región Norte"/>
    <s v="BRIGADAS DE PRIMEROS AUXILIOS(BPA)"/>
    <s v="PRESENCIAL"/>
    <s v="CASES"/>
    <s v="INSTRUCTOR CASES ."/>
    <n v="16"/>
    <n v="2"/>
    <n v="7"/>
    <x v="89"/>
    <x v="94"/>
    <x v="7"/>
  </r>
  <r>
    <n v="49"/>
    <m/>
    <x v="12"/>
    <n v="21246"/>
    <x v="6"/>
    <s v="Activo de Producción Reynosa"/>
    <s v="SEGURIDAD EN CENTROS ADMINISTRACIONS (SCA)"/>
    <s v="PRESENCIAL"/>
    <n v="147188"/>
    <s v="Alejandra L. Gonzalez Loredo"/>
    <n v="8"/>
    <n v="1"/>
    <n v="20"/>
    <x v="92"/>
    <x v="96"/>
    <x v="8"/>
  </r>
  <r>
    <n v="50"/>
    <m/>
    <x v="12"/>
    <n v="24387"/>
    <x v="1"/>
    <s v="Gerencia de Seguridad, Salud en el Trabajo y Protección Ambiental Región Norte"/>
    <s v="BRIGADAS CONTRAINCENDIOS (BCII)"/>
    <s v="PRESENCIAL"/>
    <n v="486686"/>
    <s v="Raul Muñoz Lozano"/>
    <n v="24"/>
    <n v="3"/>
    <n v="4"/>
    <x v="150"/>
    <x v="96"/>
    <x v="8"/>
  </r>
  <r>
    <n v="51"/>
    <m/>
    <x v="12"/>
    <n v="24356"/>
    <x v="1"/>
    <s v="Gerencia de Seguridad, Salud en el Trabajo y Protección Ambiental Región Norte"/>
    <s v="ADMINISTRACION DE RIESGOS EN PEMEX EXPLORACION Y PRODUCCION"/>
    <s v="A DISTANCIA"/>
    <n v="332078"/>
    <s v="Alejandro Sanchez Garcia"/>
    <n v="8"/>
    <n v="1"/>
    <n v="14"/>
    <x v="95"/>
    <x v="101"/>
    <x v="8"/>
  </r>
  <r>
    <n v="52"/>
    <m/>
    <x v="12"/>
    <n v="20819"/>
    <x v="6"/>
    <s v="Activo de Producción Reynosa"/>
    <s v="AUDITORIAS EFECTIVAS"/>
    <s v="PRESENCIAL"/>
    <n v="196157"/>
    <s v="Lucio Alfonso Posadas Ramírez"/>
    <n v="8"/>
    <n v="1"/>
    <n v="10"/>
    <x v="97"/>
    <x v="102"/>
    <x v="8"/>
  </r>
  <r>
    <n v="53"/>
    <m/>
    <x v="12"/>
    <n v="21247"/>
    <x v="6"/>
    <s v="Activo de Producción Reynosa"/>
    <s v="SEGURIDAD EN CENTROS ADMINISTRACIONS (SCA)"/>
    <s v="PRESENCIAL"/>
    <n v="147188"/>
    <s v="Alejandra L. Gonzalez Loredo"/>
    <n v="8"/>
    <n v="1"/>
    <n v="20"/>
    <x v="98"/>
    <x v="187"/>
    <x v="8"/>
  </r>
  <r>
    <n v="54"/>
    <m/>
    <x v="12"/>
    <n v="21248"/>
    <x v="6"/>
    <s v="Activo de Producción Reynosa"/>
    <s v="SEGURIDAD EN CENTROS ADMINISTRACIONS (SCA)"/>
    <s v="PRESENCIAL"/>
    <n v="147188"/>
    <s v="Alejandra L. Gonzalez Loredo"/>
    <n v="8"/>
    <n v="1"/>
    <n v="20"/>
    <x v="171"/>
    <x v="188"/>
    <x v="9"/>
  </r>
  <r>
    <n v="55"/>
    <m/>
    <x v="12"/>
    <n v="24388"/>
    <x v="1"/>
    <s v="Gerencia de Seguridad, Salud en el Trabajo y Protección Ambiental Región Norte"/>
    <s v="BRIGADAS CONTRAINCENDIOS (BCII)"/>
    <s v="PRESENCIAL"/>
    <n v="486686"/>
    <s v="Raul Muñoz Lozano"/>
    <n v="24"/>
    <n v="3"/>
    <n v="8"/>
    <x v="108"/>
    <x v="189"/>
    <x v="9"/>
  </r>
  <r>
    <n v="56"/>
    <m/>
    <x v="12"/>
    <n v="21249"/>
    <x v="6"/>
    <s v="Activo de Producción Reynosa"/>
    <s v="SEGURIDAD EN CENTROS ADMINISTRACIONS (SCA)"/>
    <s v="PRESENCIAL"/>
    <n v="147188"/>
    <s v="Alejandra L. Gonzalez Loredo"/>
    <n v="8"/>
    <n v="1"/>
    <n v="19"/>
    <x v="115"/>
    <x v="117"/>
    <x v="9"/>
  </r>
  <r>
    <n v="1"/>
    <m/>
    <x v="13"/>
    <n v="21602"/>
    <x v="6"/>
    <s v="Gerencia de Mantenimiento, Confiabilidad y Construcción"/>
    <s v="VERIFICADOR DE GAS (VG)"/>
    <s v="PRESENCIAL"/>
    <n v="203860"/>
    <s v="Miguel Hernandez Chavez"/>
    <n v="8"/>
    <n v="1"/>
    <n v="6"/>
    <x v="158"/>
    <x v="190"/>
    <x v="1"/>
  </r>
  <r>
    <n v="2"/>
    <m/>
    <x v="13"/>
    <n v="23655"/>
    <x v="6"/>
    <s v="Activo de Producción Poza Rica - Altamira"/>
    <s v="DISCIPLINA OPERATIVA"/>
    <s v="PRESENCIAL"/>
    <n v="457409"/>
    <s v="Maria Guadalupe Savino Comsille"/>
    <n v="16"/>
    <n v="2"/>
    <n v="6"/>
    <x v="127"/>
    <x v="174"/>
    <x v="2"/>
  </r>
  <r>
    <n v="3"/>
    <m/>
    <x v="13"/>
    <n v="23656"/>
    <x v="6"/>
    <s v="Activo de Producción Poza Rica - Altamira"/>
    <s v="DISCIPLINA OPERATIVA"/>
    <s v="PRESENCIAL"/>
    <n v="457409"/>
    <s v="Maria Guadalupe Savino Comsille"/>
    <n v="16"/>
    <n v="2"/>
    <n v="8"/>
    <x v="172"/>
    <x v="191"/>
    <x v="2"/>
  </r>
  <r>
    <n v="4"/>
    <m/>
    <x v="13"/>
    <n v="23717"/>
    <x v="6"/>
    <s v="Activo de Producción Poza Rica - Altamira"/>
    <s v="REVALIDACION BASICO DE SEGURIDAD (BS)"/>
    <s v="PRESENCIAL"/>
    <n v="457409"/>
    <s v="Maria Guadalupe Savino Comsille"/>
    <n v="8"/>
    <n v="1"/>
    <n v="12"/>
    <x v="173"/>
    <x v="175"/>
    <x v="2"/>
  </r>
  <r>
    <n v="5"/>
    <m/>
    <x v="13"/>
    <n v="24553"/>
    <x v="6"/>
    <s v="Activo de Producción Poza Rica - Altamira"/>
    <s v="ACIDO SULFHIDRICO (H2S)"/>
    <s v="PRESENCIAL"/>
    <n v="457409"/>
    <s v="Maria Guadalupe Savino Comsille"/>
    <n v="8"/>
    <n v="1"/>
    <n v="14"/>
    <x v="161"/>
    <x v="192"/>
    <x v="2"/>
  </r>
  <r>
    <n v="6"/>
    <m/>
    <x v="13"/>
    <n v="23244"/>
    <x v="6"/>
    <s v="Gerencia de Mantenimiento, Confiabilidad y Construcción"/>
    <s v="REACREDITACION DE SIGNATARIOS DEL SPPTR (RSPTR)"/>
    <s v="PRESENCIAL"/>
    <n v="352720"/>
    <s v="Roberto Augusto Rosas Hernandez"/>
    <n v="8"/>
    <n v="1"/>
    <n v="4"/>
    <x v="174"/>
    <x v="14"/>
    <x v="1"/>
  </r>
  <r>
    <n v="7"/>
    <m/>
    <x v="13"/>
    <n v="24460"/>
    <x v="1"/>
    <s v="Gerencia de Seguridad, Salud en el Trabajo y Protección Ambiental Región Norte"/>
    <s v="REVALIDACION BASICO DE SEGURIDAD (BS)"/>
    <s v="PRESENCIAL"/>
    <n v="317687"/>
    <s v="Maria Teresa Perez Capilla"/>
    <n v="8"/>
    <n v="1"/>
    <n v="12"/>
    <x v="18"/>
    <x v="18"/>
    <x v="2"/>
  </r>
  <r>
    <n v="8"/>
    <m/>
    <x v="13"/>
    <n v="24432"/>
    <x v="1"/>
    <s v="Gerencia de Seguridad, Salud en el Trabajo y Protección Ambiental Región Norte"/>
    <s v="MANEJO A LA DEFENSIVA (MD)"/>
    <s v="PRESENCIAL"/>
    <n v="203860"/>
    <s v="Miguel Hernandez Chavez"/>
    <n v="8"/>
    <n v="1"/>
    <n v="9"/>
    <x v="175"/>
    <x v="177"/>
    <x v="2"/>
  </r>
  <r>
    <n v="9"/>
    <m/>
    <x v="13"/>
    <n v="26479"/>
    <x v="0"/>
    <s v="Gerencia de Servicios de Soporte y Logística Terrestre"/>
    <s v="MANEJO A LA DEFENSIVA (MD)"/>
    <s v="PRESENCIAL"/>
    <n v="312224"/>
    <s v="Jorge Alberto Dominguez Reyes"/>
    <n v="8"/>
    <n v="1"/>
    <n v="11"/>
    <x v="176"/>
    <x v="193"/>
    <x v="2"/>
  </r>
  <r>
    <n v="10"/>
    <m/>
    <x v="13"/>
    <n v="26774"/>
    <x v="0"/>
    <s v="Gerencia de Servicios de Soporte y Logística Terrestre"/>
    <s v="REVALIDACION BASICO DE SEGURIDAD (BS)"/>
    <s v="PRESENCIAL"/>
    <n v="457409"/>
    <s v="Maria Guadalupe Savino Comsille"/>
    <n v="8"/>
    <n v="1"/>
    <n v="8"/>
    <x v="19"/>
    <x v="194"/>
    <x v="2"/>
  </r>
  <r>
    <n v="11"/>
    <m/>
    <x v="13"/>
    <n v="26775"/>
    <x v="0"/>
    <s v="Gerencia de Servicios de Soporte y Logística Terrestre"/>
    <s v="REVALIDACION BASICO DE SEGURIDAD (BS)"/>
    <s v="PRESENCIAL"/>
    <n v="457409"/>
    <s v="Maria Guadalupe Savino Comsille"/>
    <n v="8"/>
    <n v="1"/>
    <n v="8"/>
    <x v="128"/>
    <x v="179"/>
    <x v="2"/>
  </r>
  <r>
    <n v="12"/>
    <m/>
    <x v="13"/>
    <n v="26743"/>
    <x v="0"/>
    <s v="Gerencia de Servicios de Soporte y Logística Terrestre"/>
    <s v="ACIDO SULFHIDRICO (H2S)"/>
    <s v="PRESENCIAL"/>
    <n v="203860"/>
    <s v="Miguel Hernandez Chavez"/>
    <n v="8"/>
    <n v="1"/>
    <n v="7"/>
    <x v="177"/>
    <x v="135"/>
    <x v="3"/>
  </r>
  <r>
    <n v="13"/>
    <m/>
    <x v="13"/>
    <n v="26540"/>
    <x v="0"/>
    <s v="Gerencia de Servicios de Soporte y Logística Terrestre"/>
    <s v="PROCEDIMIENTOS CRITICOS (PC)"/>
    <s v="PRESENCIAL"/>
    <n v="124389"/>
    <s v="Guillermo Velez Baca"/>
    <n v="16"/>
    <n v="2"/>
    <n v="11"/>
    <x v="21"/>
    <x v="22"/>
    <x v="3"/>
  </r>
  <r>
    <n v="14"/>
    <m/>
    <x v="13"/>
    <n v="24473"/>
    <x v="1"/>
    <s v="Gerencia de Seguridad, Salud en el Trabajo y Protección Ambiental Región Norte"/>
    <s v="SISTEMA DE PERMISOS PARA TRABAJOS CON RIESGO (SPTR)"/>
    <s v="PRESENCIAL"/>
    <n v="352720"/>
    <s v="Roberto Augusto Rosas Hernandez"/>
    <n v="24"/>
    <n v="3"/>
    <n v="8"/>
    <x v="21"/>
    <x v="195"/>
    <x v="3"/>
  </r>
  <r>
    <n v="15"/>
    <m/>
    <x v="13"/>
    <n v="28078"/>
    <x v="1"/>
    <s v="Gerencia de Seguridad, Salud en el Trabajo y Protección Ambiental Región Norte"/>
    <s v="VERIFICADOR DE GAS (VG)"/>
    <s v="PRESENCIAL"/>
    <n v="352720"/>
    <s v="Roberto Augusto Rosas Hernandez"/>
    <n v="8"/>
    <n v="1"/>
    <n v="13"/>
    <x v="178"/>
    <x v="196"/>
    <x v="3"/>
  </r>
  <r>
    <n v="16"/>
    <m/>
    <x v="13"/>
    <n v="26541"/>
    <x v="0"/>
    <s v="Gerencia de Servicios de Soporte y Logística Terrestre"/>
    <s v="PROCEDIMIENTOS CRITICOS (PC)"/>
    <s v="PRESENCIAL"/>
    <n v="124389"/>
    <s v="Guillermo Velez Baca"/>
    <n v="16"/>
    <n v="2"/>
    <n v="11"/>
    <x v="23"/>
    <x v="196"/>
    <x v="3"/>
  </r>
  <r>
    <n v="17"/>
    <m/>
    <x v="13"/>
    <n v="21403"/>
    <x v="6"/>
    <s v="Gerencia de Mantenimiento, Confiabilidad y Construcción"/>
    <s v="MANEJO A LA DEFENSIVA (MD)"/>
    <s v="PRESENCIAL"/>
    <n v="312224"/>
    <s v="Jorge Alberto Dominguez Reyes"/>
    <n v="8"/>
    <n v="1"/>
    <n v="11"/>
    <x v="25"/>
    <x v="25"/>
    <x v="3"/>
  </r>
  <r>
    <n v="18"/>
    <m/>
    <x v="13"/>
    <n v="21402"/>
    <x v="6"/>
    <s v="Gerencia de Mantenimiento, Confiabilidad y Construcción"/>
    <s v="MANEJO A LA DEFENSIVA (MD)"/>
    <s v="PRESENCIAL"/>
    <n v="312224"/>
    <s v="Jorge Alberto Dominguez Reyes"/>
    <n v="8"/>
    <n v="1"/>
    <n v="11"/>
    <x v="133"/>
    <x v="197"/>
    <x v="3"/>
  </r>
  <r>
    <n v="19"/>
    <m/>
    <x v="13"/>
    <n v="24404"/>
    <x v="1"/>
    <s v="Gerencia de Seguridad, Salud en el Trabajo y Protección Ambiental Región Norte"/>
    <s v="BRIGADAS DE PRIMEROS AUXILIOS(BPA)"/>
    <s v="PRESENCIAL"/>
    <n v="449433"/>
    <s v="Gonzalo Moral Jordan"/>
    <n v="16"/>
    <n v="2"/>
    <n v="6"/>
    <x v="133"/>
    <x v="26"/>
    <x v="3"/>
  </r>
  <r>
    <n v="20"/>
    <m/>
    <x v="13"/>
    <n v="26553"/>
    <x v="0"/>
    <s v="Gerencia de Servicios de Soporte y Logística Terrestre"/>
    <s v="SISTEMA DE PERMISOS PARA TRABAJOS CON RIESGO (SPTR)"/>
    <s v="PRESENCIAL"/>
    <n v="352720"/>
    <s v="Roberto Augusto Rosas Hernandez"/>
    <n v="24"/>
    <n v="3"/>
    <n v="6"/>
    <x v="137"/>
    <x v="145"/>
    <x v="4"/>
  </r>
  <r>
    <n v="21"/>
    <m/>
    <x v="13"/>
    <n v="22349"/>
    <x v="6"/>
    <s v="Gerencia de Mantenimiento, Confiabilidad y Construcción"/>
    <s v="ACIDO SULFHIDRICO (H2S)"/>
    <s v="PRESENCIAL"/>
    <n v="449433"/>
    <s v="Gonzalo Moral Jordan"/>
    <n v="8"/>
    <n v="1"/>
    <n v="9"/>
    <x v="166"/>
    <x v="153"/>
    <x v="5"/>
  </r>
  <r>
    <n v="22"/>
    <m/>
    <x v="13"/>
    <n v="26754"/>
    <x v="0"/>
    <s v="Gerencia de Servicios de Soporte y Logística Terrestre"/>
    <s v="BASICO DE SEGURIDAD (BS)"/>
    <s v="PRESENCIAL"/>
    <n v="203860"/>
    <s v="Miguel Hernandez Chavez"/>
    <n v="16"/>
    <n v="2"/>
    <n v="2"/>
    <x v="142"/>
    <x v="153"/>
    <x v="5"/>
  </r>
  <r>
    <n v="23"/>
    <m/>
    <x v="13"/>
    <n v="22348"/>
    <x v="6"/>
    <s v="Gerencia de Mantenimiento, Confiabilidad y Construcción"/>
    <s v="ACIDO SULFHIDRICO (H2S)"/>
    <s v="PRESENCIAL"/>
    <n v="449433"/>
    <s v="Gonzalo Moral Jordan"/>
    <n v="8"/>
    <n v="1"/>
    <n v="10"/>
    <x v="45"/>
    <x v="154"/>
    <x v="5"/>
  </r>
  <r>
    <n v="24"/>
    <m/>
    <x v="13"/>
    <n v="23729"/>
    <x v="6"/>
    <s v="Gerencia de Mantenimiento, Confiabilidad y Construcción"/>
    <s v="SISTEMA DE PERMISOS PARA TRABAJOS CON RIESGO (SPTR)"/>
    <s v="PRESENCIAL"/>
    <n v="352720"/>
    <s v="Roberto Augusto Rosas Hernandez"/>
    <n v="24"/>
    <n v="3"/>
    <n v="4"/>
    <x v="46"/>
    <x v="47"/>
    <x v="5"/>
  </r>
  <r>
    <n v="25"/>
    <m/>
    <x v="13"/>
    <n v="26450"/>
    <x v="0"/>
    <s v="Gerencia de Servicios de Soporte y Logística Terrestre"/>
    <s v="ENTRENAMIENTO BASICO EN SISTEMA PEMEX SSPA (EB SSPA)"/>
    <s v="PRESENCIAL"/>
    <n v="457409"/>
    <s v="Maria Guadalupe Savino Comsille"/>
    <n v="16"/>
    <n v="2"/>
    <n v="9"/>
    <x v="59"/>
    <x v="62"/>
    <x v="6"/>
  </r>
  <r>
    <n v="26"/>
    <m/>
    <x v="13"/>
    <n v="24395"/>
    <x v="1"/>
    <s v="Gerencia de Seguridad, Salud en el Trabajo y Protección Ambiental Región Norte"/>
    <s v="BRIGADAS DE BUSQUEDA Y RESCATE (BBR)"/>
    <s v="PRESENCIAL"/>
    <n v="449433"/>
    <s v="Gonzalo Moral Jordan"/>
    <n v="24"/>
    <n v="3"/>
    <n v="9"/>
    <x v="72"/>
    <x v="78"/>
    <x v="7"/>
  </r>
  <r>
    <n v="27"/>
    <m/>
    <x v="13"/>
    <n v="24351"/>
    <x v="1"/>
    <s v="Gerencia de Seguridad, Salud en el Trabajo y Protección Ambiental Región Norte"/>
    <s v="ADMINISTRACION DE EMERGENCIAS MAYORES (AEM)"/>
    <s v="PRESENCIAL"/>
    <n v="352720"/>
    <s v="Roberto Augusto Rosas Hernandez"/>
    <n v="16"/>
    <n v="2"/>
    <n v="5"/>
    <x v="80"/>
    <x v="84"/>
    <x v="7"/>
  </r>
  <r>
    <n v="28"/>
    <m/>
    <x v="13"/>
    <n v="23617"/>
    <x v="6"/>
    <s v="Gerencia de Mantenimiento, Confiabilidad y Construcción"/>
    <s v="BASICO DE SEGURIDAD (BS)"/>
    <s v="PRESENCIAL"/>
    <n v="449433"/>
    <s v="Gonzalo Moral Jordan"/>
    <n v="16"/>
    <n v="2"/>
    <n v="11"/>
    <x v="88"/>
    <x v="92"/>
    <x v="7"/>
  </r>
  <r>
    <n v="29"/>
    <m/>
    <x v="13"/>
    <n v="23618"/>
    <x v="6"/>
    <s v="Gerencia de Mantenimiento, Confiabilidad y Construcción"/>
    <s v="BASICO DE SEGURIDAD (BS)"/>
    <s v="PRESENCIAL"/>
    <n v="449433"/>
    <s v="Gonzalo Moral Jordan"/>
    <n v="16"/>
    <n v="2"/>
    <n v="12"/>
    <x v="89"/>
    <x v="94"/>
    <x v="7"/>
  </r>
  <r>
    <n v="30"/>
    <m/>
    <x v="13"/>
    <n v="24471"/>
    <x v="1"/>
    <s v="Gerencia de Seguridad, Salud en el Trabajo y Protección Ambiental Región Norte"/>
    <s v="SEGURIDAD EN CENTROS ADMINISTRACIONS (SCA)"/>
    <s v="PRESENCIAL"/>
    <n v="352720"/>
    <s v="Roberto Augusto Rosas Hernandez"/>
    <n v="8"/>
    <n v="1"/>
    <n v="8"/>
    <x v="150"/>
    <x v="198"/>
    <x v="8"/>
  </r>
  <r>
    <n v="31"/>
    <m/>
    <x v="13"/>
    <n v="23619"/>
    <x v="6"/>
    <s v="Gerencia de Mantenimiento, Confiabilidad y Construcción"/>
    <s v="BASICO DE SEGURIDAD (BS)"/>
    <s v="PRESENCIAL"/>
    <n v="449433"/>
    <s v="Gonzalo Moral Jordan"/>
    <n v="16"/>
    <n v="2"/>
    <n v="12"/>
    <x v="91"/>
    <x v="96"/>
    <x v="8"/>
  </r>
  <r>
    <n v="32"/>
    <m/>
    <x v="13"/>
    <n v="26467"/>
    <x v="0"/>
    <s v="Gerencia de Servicios de Soporte y Logística Terrestre"/>
    <s v="LIDERAZGO OPERATIVO PARA LA ADMINISTRACION DE RIESGOS"/>
    <s v="PRESENCIAL"/>
    <n v="413244"/>
    <s v="Luz Del Carmen Ruiz Camarena"/>
    <n v="32"/>
    <n v="4"/>
    <n v="3"/>
    <x v="150"/>
    <x v="97"/>
    <x v="8"/>
  </r>
  <r>
    <n v="33"/>
    <m/>
    <x v="13"/>
    <n v="23620"/>
    <x v="6"/>
    <s v="Gerencia de Mantenimiento, Confiabilidad y Construcción"/>
    <s v="BASICO DE SEGURIDAD (BS)"/>
    <s v="PRESENCIAL"/>
    <n v="449433"/>
    <s v="Gonzalo Moral Jordan"/>
    <n v="16"/>
    <n v="2"/>
    <n v="12"/>
    <x v="151"/>
    <x v="98"/>
    <x v="8"/>
  </r>
  <r>
    <n v="34"/>
    <m/>
    <x v="13"/>
    <n v="23616"/>
    <x v="6"/>
    <s v="Gerencia de Mantenimiento, Confiabilidad y Construcción"/>
    <s v="BASICO DE SEGURIDAD (BS)"/>
    <s v="PRESENCIAL"/>
    <n v="449433"/>
    <s v="Gonzalo Moral Jordan"/>
    <n v="16"/>
    <n v="2"/>
    <n v="11"/>
    <x v="94"/>
    <x v="164"/>
    <x v="8"/>
  </r>
  <r>
    <n v="35"/>
    <m/>
    <x v="13"/>
    <n v="23615"/>
    <x v="6"/>
    <s v="Gerencia de Mantenimiento, Confiabilidad y Construcción"/>
    <s v="BASICO DE SEGURIDAD (BS)"/>
    <s v="PRESENCIAL"/>
    <n v="449433"/>
    <s v="Gonzalo Moral Jordan"/>
    <n v="16"/>
    <n v="2"/>
    <n v="12"/>
    <x v="95"/>
    <x v="101"/>
    <x v="8"/>
  </r>
  <r>
    <n v="36"/>
    <m/>
    <x v="13"/>
    <n v="23614"/>
    <x v="6"/>
    <s v="Gerencia de Mantenimiento, Confiabilidad y Construcción"/>
    <s v="BASICO DE SEGURIDAD (BS)"/>
    <s v="PRESENCIAL"/>
    <n v="449433"/>
    <s v="Gonzalo Moral Jordan"/>
    <n v="16"/>
    <n v="2"/>
    <n v="11"/>
    <x v="153"/>
    <x v="199"/>
    <x v="8"/>
  </r>
  <r>
    <n v="37"/>
    <m/>
    <x v="13"/>
    <n v="24438"/>
    <x v="1"/>
    <s v="Gerencia de Seguridad, Salud en el Trabajo y Protección Ambiental Región Norte"/>
    <s v="PREVENCION DE RIESGOS LABORALES"/>
    <s v="PRESENCIAL"/>
    <n v="203860"/>
    <s v="Miguel Hernandez Chavez"/>
    <n v="16"/>
    <n v="2"/>
    <n v="11"/>
    <x v="108"/>
    <x v="113"/>
    <x v="9"/>
  </r>
  <r>
    <n v="38"/>
    <m/>
    <x v="13"/>
    <n v="21112"/>
    <x v="1"/>
    <s v="Gerencia de Seguridad, Salud en el Trabajo y Protección Ambiental Región Norte"/>
    <s v="AUDITORIAS EFECTIVAS"/>
    <s v="PRESENCIAL"/>
    <n v="203860"/>
    <s v="Miguel Hernandez Chavez"/>
    <n v="8"/>
    <n v="1"/>
    <n v="10"/>
    <x v="112"/>
    <x v="200"/>
    <x v="9"/>
  </r>
  <r>
    <n v="39"/>
    <m/>
    <x v="13"/>
    <n v="26546"/>
    <x v="0"/>
    <s v="Gerencia de Servicios de Soporte y Logística Terrestre"/>
    <s v="RESPUESTA A EMERGENCIAS CON MATERIALES PELIGROSOS (REMP)"/>
    <s v="PRESENCIAL"/>
    <n v="520919"/>
    <s v="Alfredo Lopez Herrera"/>
    <n v="16"/>
    <n v="2"/>
    <n v="10"/>
    <x v="179"/>
    <x v="201"/>
    <x v="9"/>
  </r>
  <r>
    <n v="40"/>
    <m/>
    <x v="13"/>
    <n v="26537"/>
    <x v="0"/>
    <s v="Gerencia de Servicios de Soporte y Logística Terrestre"/>
    <s v="PREVENCION DE RIESGOS LABORALES"/>
    <s v="PRESENCIAL"/>
    <n v="457409"/>
    <s v="Maria Guadalupe Savino Comsille"/>
    <n v="16"/>
    <n v="2"/>
    <n v="5"/>
    <x v="180"/>
    <x v="202"/>
    <x v="10"/>
  </r>
  <r>
    <n v="1"/>
    <m/>
    <x v="14"/>
    <n v="24457"/>
    <x v="1"/>
    <s v="Gerencia de Seguridad, Salud en el Trabajo y Protección Ambiental Región Norte"/>
    <s v="RESPUESTA A EMERGENCIAS CON MATERIALES PELIGROSOS (REMP)"/>
    <s v="PRESENCIAL"/>
    <n v="196853"/>
    <s v="Justo Jesus del Angel del Angel"/>
    <n v="16"/>
    <n v="2"/>
    <n v="10"/>
    <x v="8"/>
    <x v="8"/>
    <x v="1"/>
  </r>
  <r>
    <n v="2"/>
    <m/>
    <x v="14"/>
    <n v="24475"/>
    <x v="1"/>
    <s v="Gerencia de Seguridad, Salud en el Trabajo y Protección Ambiental Región Norte"/>
    <s v="SISTEMA DE PERMISOS PARA TRABAJOS CON RIESGO (SPTR)"/>
    <s v="PRESENCIAL"/>
    <n v="352720"/>
    <s v="Roberto Augusto Rosas Hernandez"/>
    <n v="24"/>
    <n v="3"/>
    <n v="10"/>
    <x v="181"/>
    <x v="190"/>
    <x v="1"/>
  </r>
  <r>
    <n v="3"/>
    <m/>
    <x v="15"/>
    <n v="24458"/>
    <x v="1"/>
    <s v="Gerencia de Seguridad, Salud en el Trabajo y Protección Ambiental Región Norte"/>
    <s v="RESPUESTA A EMERGENCIAS CON MATERIALES PELIGROSOS (REMP)"/>
    <s v="PRESENCIAL"/>
    <n v="196853"/>
    <s v="Justo Jesus del Angel del Angel"/>
    <n v="16"/>
    <n v="2"/>
    <n v="5"/>
    <x v="158"/>
    <x v="170"/>
    <x v="1"/>
  </r>
  <r>
    <n v="4"/>
    <m/>
    <x v="14"/>
    <n v="24448"/>
    <x v="1"/>
    <s v="Gerencia de Seguridad, Salud en el Trabajo y Protección Ambiental Región Norte"/>
    <s v="PROCEDIMIENTOS CRITICOS (PC)"/>
    <s v="PRESENCIAL"/>
    <n v="352720"/>
    <s v="Roberto Augusto Rosas Hernandez"/>
    <n v="16"/>
    <n v="2"/>
    <n v="9"/>
    <x v="10"/>
    <x v="10"/>
    <x v="1"/>
  </r>
  <r>
    <n v="5"/>
    <m/>
    <x v="14"/>
    <n v="28077"/>
    <x v="1"/>
    <s v="Gerencia de Seguridad, Salud en el Trabajo y Protección Ambiental Región Norte"/>
    <s v="VERIFICADOR DE GAS (VG)"/>
    <s v="PRESENCIAL"/>
    <n v="352720"/>
    <s v="Roberto Augusto Rosas Hernandez"/>
    <n v="8"/>
    <n v="1"/>
    <n v="9"/>
    <x v="13"/>
    <x v="12"/>
    <x v="1"/>
  </r>
  <r>
    <n v="6"/>
    <m/>
    <x v="14"/>
    <n v="24476"/>
    <x v="1"/>
    <s v="Gerencia de Seguridad, Salud en el Trabajo y Protección Ambiental Región Norte"/>
    <s v="SISTEMA DE PERMISOS PARA TRABAJOS CON RIESGO (SPTR)"/>
    <s v="PRESENCIAL"/>
    <n v="352720"/>
    <s v="Roberto Augusto Rosas Hernandez"/>
    <n v="24"/>
    <n v="3"/>
    <n v="11"/>
    <x v="172"/>
    <x v="175"/>
    <x v="2"/>
  </r>
  <r>
    <n v="7"/>
    <m/>
    <x v="15"/>
    <n v="26773"/>
    <x v="0"/>
    <s v="Gerencia de Servicios de Soporte y Logística Terrestre"/>
    <s v="REVALIDACION BASICO DE SEGURIDAD (BS)"/>
    <s v="PRESENCIAL"/>
    <n v="228486"/>
    <s v="Jorge Eduardo Hernandez Galvan"/>
    <n v="8"/>
    <n v="1"/>
    <n v="12"/>
    <x v="18"/>
    <x v="18"/>
    <x v="2"/>
  </r>
  <r>
    <n v="8"/>
    <m/>
    <x v="14"/>
    <n v="26477"/>
    <x v="0"/>
    <s v="Gerencia de Servicios de Soporte y Logística Terrestre"/>
    <s v="MANEJO A LA DEFENSIVA"/>
    <s v="PRESENCIAL"/>
    <n v="352720"/>
    <s v="Roberto Augusto Rosas Hernandez"/>
    <n v="8"/>
    <n v="1"/>
    <n v="9"/>
    <x v="182"/>
    <x v="19"/>
    <x v="2"/>
  </r>
  <r>
    <n v="9"/>
    <m/>
    <x v="14"/>
    <n v="24377"/>
    <x v="1"/>
    <s v="Gerencia de Seguridad, Salud en el Trabajo y Protección Ambiental Región Norte"/>
    <s v="BASICO DE SEGURIDAD (BS)"/>
    <s v="PRESENCIAL"/>
    <n v="372624"/>
    <s v="Jair de Jesus Carrillo Cabello"/>
    <n v="16"/>
    <n v="2"/>
    <n v="11"/>
    <x v="19"/>
    <x v="179"/>
    <x v="2"/>
  </r>
  <r>
    <n v="10"/>
    <m/>
    <x v="14"/>
    <n v="24466"/>
    <x v="1"/>
    <s v="Gerencia de Seguridad, Salud en el Trabajo y Protección Ambiental Región Norte"/>
    <s v="SEGURIDAD EN CENTROS ADMINISTRACIONS (SCA)"/>
    <s v="PRESENCIAL"/>
    <n v="372624"/>
    <s v="Jair de Jesus Carrillo Cabello"/>
    <n v="8"/>
    <n v="1"/>
    <n v="8"/>
    <x v="129"/>
    <x v="203"/>
    <x v="3"/>
  </r>
  <r>
    <n v="11"/>
    <m/>
    <x v="14"/>
    <n v="24378"/>
    <x v="1"/>
    <s v="Gerencia de Seguridad, Salud en el Trabajo y Protección Ambiental Región Norte"/>
    <s v="BASICO DE SEGURIDAD (BS)"/>
    <s v="PRESENCIAL"/>
    <n v="196853"/>
    <s v="Justo Jesus del Angel del Angel"/>
    <n v="16"/>
    <n v="2"/>
    <n v="10"/>
    <x v="131"/>
    <x v="135"/>
    <x v="3"/>
  </r>
  <r>
    <n v="12"/>
    <m/>
    <x v="14"/>
    <n v="26480"/>
    <x v="0"/>
    <s v="Gerencia de Servicios de Soporte y Logística Terrestre"/>
    <s v="MANEJO A LA DEFENSIVA (MD)"/>
    <s v="PRESENCIAL"/>
    <n v="352720"/>
    <s v="Roberto Augusto Rosas Hernandez"/>
    <n v="8"/>
    <n v="1"/>
    <n v="6"/>
    <x v="177"/>
    <x v="135"/>
    <x v="3"/>
  </r>
  <r>
    <n v="13"/>
    <m/>
    <x v="16"/>
    <n v="25133"/>
    <x v="6"/>
    <s v="Activo de Producción Poza Rica - Altamira"/>
    <s v="BASICO DE SEGURIDAD (BS)"/>
    <s v="PRESENCIAL"/>
    <n v="372624"/>
    <s v="Jair de Jesus Carrillo Cabello"/>
    <n v="16"/>
    <n v="2"/>
    <n v="10"/>
    <x v="20"/>
    <x v="195"/>
    <x v="3"/>
  </r>
  <r>
    <n v="14"/>
    <m/>
    <x v="14"/>
    <n v="24469"/>
    <x v="1"/>
    <s v="Gerencia de Seguridad, Salud en el Trabajo y Protección Ambiental Región Norte"/>
    <s v="SEGURIDAD EN CENTROS ADMINISTRACIONS (SCA)"/>
    <s v="PRESENCIAL"/>
    <n v="372624"/>
    <s v="Jair de Jesus Carrillo Cabello"/>
    <n v="8"/>
    <n v="1"/>
    <n v="7"/>
    <x v="178"/>
    <x v="196"/>
    <x v="3"/>
  </r>
  <r>
    <n v="15"/>
    <m/>
    <x v="14"/>
    <n v="23612"/>
    <x v="6"/>
    <s v="Gerencia de Mantenimiento, Confiabilidad y Construcción"/>
    <s v="BASICO DE SEGURIDAD (BS)"/>
    <s v="PRESENCIAL"/>
    <n v="372624"/>
    <s v="Jair de Jesus Carrillo Cabello"/>
    <n v="16"/>
    <n v="2"/>
    <n v="10"/>
    <x v="132"/>
    <x v="24"/>
    <x v="3"/>
  </r>
  <r>
    <n v="16"/>
    <m/>
    <x v="15"/>
    <n v="23613"/>
    <x v="6"/>
    <s v="Gerencia de Mantenimiento, Confiabilidad y Construcción"/>
    <s v="BASICO DE SEGURIDAD (BS)"/>
    <s v="PRESENCIAL"/>
    <n v="196853"/>
    <s v="Justo Jesus del Angel del Angel"/>
    <n v="16"/>
    <n v="2"/>
    <n v="10"/>
    <x v="132"/>
    <x v="24"/>
    <x v="3"/>
  </r>
  <r>
    <n v="17"/>
    <m/>
    <x v="16"/>
    <n v="24551"/>
    <x v="6"/>
    <s v="Activo de Producción Poza Rica - Altamira"/>
    <s v="ACIDO SULFHIDRICO (H2S)"/>
    <s v="PRESENCIAL"/>
    <n v="372624"/>
    <s v="Jair de Jesus Carrillo Cabello"/>
    <n v="8"/>
    <n v="1"/>
    <n v="4"/>
    <x v="26"/>
    <x v="26"/>
    <x v="3"/>
  </r>
  <r>
    <n v="18"/>
    <m/>
    <x v="16"/>
    <n v="25136"/>
    <x v="6"/>
    <s v="Activo de Producción Poza Rica - Altamira"/>
    <s v="BASICO DE SEGURIDAD (BS)"/>
    <s v="PRESENCIAL"/>
    <n v="372624"/>
    <s v="Jair de Jesus Carrillo Cabello"/>
    <n v="16"/>
    <n v="2"/>
    <n v="7"/>
    <x v="27"/>
    <x v="204"/>
    <x v="3"/>
  </r>
  <r>
    <n v="19"/>
    <m/>
    <x v="16"/>
    <n v="24549"/>
    <x v="6"/>
    <s v="Activo de Producción Poza Rica - Altamira"/>
    <s v="ACIDO SULFHIDRICO (H2S)"/>
    <s v="PRESENCIAL"/>
    <n v="372624"/>
    <s v="Jair de Jesus Carrillo Cabello"/>
    <n v="8"/>
    <n v="1"/>
    <n v="10"/>
    <x v="30"/>
    <x v="205"/>
    <x v="3"/>
  </r>
  <r>
    <n v="20"/>
    <m/>
    <x v="15"/>
    <n v="24391"/>
    <x v="1"/>
    <s v="Gerencia de Seguridad, Salud en el Trabajo y Protección Ambiental Región Norte"/>
    <s v="BRIGADAS CONTRAINCENDIOS (BCII)"/>
    <s v="PRESENCIAL"/>
    <n v="196853"/>
    <s v="Justo Jesus del Angel del Angel"/>
    <n v="24"/>
    <n v="3"/>
    <n v="6"/>
    <x v="31"/>
    <x v="206"/>
    <x v="4"/>
  </r>
  <r>
    <n v="21"/>
    <m/>
    <x v="14"/>
    <n v="24470"/>
    <x v="1"/>
    <s v="Gerencia de Seguridad, Salud en el Trabajo y Protección Ambiental Región Norte"/>
    <s v="SEGURIDAD EN CENTROS ADMINISTRACIONS (SCA)"/>
    <s v="PRESENCIAL"/>
    <n v="372624"/>
    <s v="Jair de Jesus Carrillo Cabello"/>
    <n v="8"/>
    <n v="1"/>
    <n v="7"/>
    <x v="164"/>
    <x v="138"/>
    <x v="4"/>
  </r>
  <r>
    <n v="22"/>
    <m/>
    <x v="14"/>
    <n v="24433"/>
    <x v="1"/>
    <s v="Gerencia de Seguridad, Salud en el Trabajo y Protección Ambiental Región Norte"/>
    <s v="MANEJO A LA DEFENSIVA (MD)"/>
    <s v="PRESENCIAL"/>
    <n v="372624"/>
    <s v="Jair de Jesus Carrillo Cabello"/>
    <n v="8"/>
    <n v="1"/>
    <n v="6"/>
    <x v="138"/>
    <x v="147"/>
    <x v="4"/>
  </r>
  <r>
    <n v="23"/>
    <m/>
    <x v="15"/>
    <n v="23730"/>
    <x v="6"/>
    <s v="Gerencia de Mantenimiento, Confiabilidad y Construcción"/>
    <s v="SISTEMA DE PERMISOS PARA TRABAJOS CON RIESGO (SPTR)"/>
    <s v="PRESENCIAL"/>
    <n v="352720"/>
    <s v="Roberto Augusto Rosas Hernandez"/>
    <n v="24"/>
    <n v="3"/>
    <n v="11"/>
    <x v="140"/>
    <x v="42"/>
    <x v="4"/>
  </r>
  <r>
    <n v="24"/>
    <m/>
    <x v="15"/>
    <n v="24396"/>
    <x v="1"/>
    <s v="Gerencia de Seguridad, Salud en el Trabajo y Protección Ambiental Región Norte"/>
    <s v="BRIGADAS DE BUSQUEDA Y RESCATE (BBR)"/>
    <s v="PRESENCIAL"/>
    <n v="196853"/>
    <s v="Justo Jesus del Angel del Angel"/>
    <n v="24"/>
    <n v="3"/>
    <n v="8"/>
    <x v="140"/>
    <x v="42"/>
    <x v="4"/>
  </r>
  <r>
    <n v="25"/>
    <m/>
    <x v="14"/>
    <n v="24440"/>
    <x v="1"/>
    <s v="Gerencia de Seguridad, Salud en el Trabajo y Protección Ambiental Región Norte"/>
    <s v="PREVENCION DE RIESGOS LABORALES"/>
    <s v="PRESENCIAL"/>
    <n v="196853"/>
    <s v="Justo Jesus del Angel del Angel"/>
    <n v="16"/>
    <n v="2"/>
    <n v="10"/>
    <x v="141"/>
    <x v="152"/>
    <x v="5"/>
  </r>
  <r>
    <n v="26"/>
    <m/>
    <x v="15"/>
    <n v="24405"/>
    <x v="1"/>
    <s v="Gerencia de Seguridad, Salud en el Trabajo y Protección Ambiental Región Norte"/>
    <s v="BRIGADAS DE PRIMEROS AUXILIOS(BPA)"/>
    <s v="PRESENCIAL"/>
    <n v="196853"/>
    <s v="Justo Jesus del Angel del Angel"/>
    <n v="16"/>
    <n v="2"/>
    <n v="7"/>
    <x v="166"/>
    <x v="154"/>
    <x v="5"/>
  </r>
  <r>
    <n v="27"/>
    <m/>
    <x v="15"/>
    <n v="24406"/>
    <x v="1"/>
    <s v="Gerencia de Seguridad, Salud en el Trabajo y Protección Ambiental Región Norte"/>
    <s v="BRIGADAS DE PRIMEROS AUXILIOS(BPA)"/>
    <s v="PRESENCIAL"/>
    <n v="372624"/>
    <s v="Jair de Jesus Carrillo Cabello"/>
    <n v="16"/>
    <n v="2"/>
    <n v="5"/>
    <x v="44"/>
    <x v="44"/>
    <x v="5"/>
  </r>
  <r>
    <n v="28"/>
    <m/>
    <x v="14"/>
    <n v="24442"/>
    <x v="1"/>
    <s v="Gerencia de Seguridad, Salud en el Trabajo y Protección Ambiental Región Norte"/>
    <s v="PREVENCION DE RIESGOS LABORALES"/>
    <s v="PRESENCIAL"/>
    <n v="372624"/>
    <s v="Jair de Jesus Carrillo Cabello"/>
    <n v="16"/>
    <n v="2"/>
    <n v="9"/>
    <x v="183"/>
    <x v="47"/>
    <x v="5"/>
  </r>
  <r>
    <n v="29"/>
    <m/>
    <x v="14"/>
    <n v="24443"/>
    <x v="1"/>
    <s v="Gerencia de Seguridad, Salud en el Trabajo y Protección Ambiental Región Norte"/>
    <s v="PREVENCION DE RIESGOS LABORALES"/>
    <s v="PRESENCIAL"/>
    <n v="372624"/>
    <s v="Jair de Jesus Carrillo Cabello"/>
    <n v="16"/>
    <n v="2"/>
    <n v="8"/>
    <x v="143"/>
    <x v="48"/>
    <x v="5"/>
  </r>
  <r>
    <n v="1"/>
    <m/>
    <x v="17"/>
    <n v="26256"/>
    <x v="5"/>
    <s v="Activo de Exploración Marina Norte"/>
    <s v="ENTRENAMIENTO BASICO EN SISTEMA PEMEX SSPA (EB SSPA)"/>
    <s v="PRESENCIAL"/>
    <n v="348492"/>
    <s v="Claudia Consuelo Cuellar Burela"/>
    <n v="16"/>
    <n v="2"/>
    <n v="10"/>
    <x v="184"/>
    <x v="207"/>
    <x v="0"/>
  </r>
  <r>
    <n v="2"/>
    <m/>
    <x v="17"/>
    <n v="26255"/>
    <x v="5"/>
    <s v="Activo de Exploración Marina Norte"/>
    <s v="ENTRENAMIENTO BASICO EN SISTEMA PEMEX SSPA (EB SSPA)"/>
    <s v="PRESENCIAL"/>
    <n v="348492"/>
    <s v="Claudia Consuelo Cuellar Burela"/>
    <n v="16"/>
    <n v="2"/>
    <n v="10"/>
    <x v="185"/>
    <x v="208"/>
    <x v="0"/>
  </r>
  <r>
    <n v="3"/>
    <m/>
    <x v="17"/>
    <n v="30250"/>
    <x v="5"/>
    <s v="Activo de Exploración Terrestre Norte"/>
    <s v="AUDITORIAS EFECTIVAS"/>
    <s v="PRESENCIAL"/>
    <n v="396482"/>
    <s v="Jose Cuitlahuac Estrada Arras"/>
    <n v="8"/>
    <n v="2"/>
    <n v="2"/>
    <x v="186"/>
    <x v="1"/>
    <x v="0"/>
  </r>
  <r>
    <n v="4"/>
    <m/>
    <x v="17"/>
    <n v="30762"/>
    <x v="5"/>
    <s v="Activo de Exploración Terrestre Norte"/>
    <s v="SEGURIDAD EN CENTROS ADMINISTRACIONS (SCA)"/>
    <s v="PRESENCIAL"/>
    <n v="374253"/>
    <s v="Eduardo Gonzalez Rodriguez"/>
    <n v="8"/>
    <n v="2"/>
    <n v="12"/>
    <x v="5"/>
    <x v="5"/>
    <x v="0"/>
  </r>
  <r>
    <n v="5"/>
    <m/>
    <x v="17"/>
    <n v="30251"/>
    <x v="5"/>
    <s v="Activo de Exploración Terrestre Norte"/>
    <s v="INVESTIGACION DE INCIDENTES Y ANALISIS DE CAUSA RAIZ (IIACR)"/>
    <s v="PRESENCIAL"/>
    <n v="636204"/>
    <s v="Eduardo Hernandez Gomez"/>
    <n v="16"/>
    <n v="4"/>
    <n v="1"/>
    <x v="6"/>
    <x v="209"/>
    <x v="0"/>
  </r>
  <r>
    <n v="6"/>
    <m/>
    <x v="17"/>
    <n v="30751"/>
    <x v="5"/>
    <s v="Activo de Exploración Terrestre Norte"/>
    <s v="BRIGADAS DE PRIMEROS AUXILIOS(BPA)"/>
    <s v="PRESENCIAL"/>
    <n v="365499"/>
    <s v="Victor Gabriel Kayser Espinosa"/>
    <n v="16"/>
    <n v="4"/>
    <n v="5"/>
    <x v="7"/>
    <x v="7"/>
    <x v="1"/>
  </r>
  <r>
    <n v="7"/>
    <m/>
    <x v="17"/>
    <n v="30218"/>
    <x v="5"/>
    <s v="Activo de Exploración Terrestre Norte"/>
    <s v="SALUD EN EL TRABAJO"/>
    <s v="PRESENCIAL"/>
    <n v="413600"/>
    <s v="Eduardo Mena Piñeyro"/>
    <n v="24"/>
    <n v="3"/>
    <n v="10"/>
    <x v="181"/>
    <x v="190"/>
    <x v="1"/>
  </r>
  <r>
    <n v="8"/>
    <m/>
    <x v="17"/>
    <n v="30763"/>
    <x v="5"/>
    <s v="Activo de Exploración Terrestre Norte"/>
    <s v="SEGURIDAD EN CENTROS ADMINISTRACIONS (SCA)"/>
    <s v="PRESENCIAL"/>
    <n v="354951"/>
    <s v="Raul Armando Garza Torre"/>
    <n v="8"/>
    <n v="2"/>
    <n v="14"/>
    <x v="187"/>
    <x v="9"/>
    <x v="1"/>
  </r>
  <r>
    <n v="9"/>
    <m/>
    <x v="17"/>
    <n v="29726"/>
    <x v="5"/>
    <s v="Activo de Exploración Terrestre Norte"/>
    <s v="RIG PASS"/>
    <s v="PRESENCIAL"/>
    <n v="331056"/>
    <s v="Jose Manuel Hernandez de Leon"/>
    <n v="16"/>
    <n v="4"/>
    <n v="2"/>
    <x v="187"/>
    <x v="11"/>
    <x v="1"/>
  </r>
  <r>
    <n v="10"/>
    <m/>
    <x v="17"/>
    <n v="22351"/>
    <x v="6"/>
    <s v="Gerencia de Mantenimiento, Confiabilidad y Construcción"/>
    <s v="ACIDO SULFHIDRICO (H2S)"/>
    <s v="PRESENCIAL"/>
    <n v="352720"/>
    <s v="Roberto Augusto Rosas Hernandez"/>
    <n v="8"/>
    <n v="1"/>
    <n v="5"/>
    <x v="188"/>
    <x v="171"/>
    <x v="1"/>
  </r>
  <r>
    <n v="11"/>
    <m/>
    <x v="17"/>
    <n v="23710"/>
    <x v="6"/>
    <s v="Activo de Producción Poza Rica - Altamira"/>
    <s v="REVALIDACION BASICO DE SEGURIDAD (BS)"/>
    <s v="PRESENCIAL"/>
    <n v="226483"/>
    <s v="Jorge Alberto Jaramillo Ruanova"/>
    <n v="8"/>
    <n v="1"/>
    <n v="11"/>
    <x v="189"/>
    <x v="210"/>
    <x v="2"/>
  </r>
  <r>
    <n v="12"/>
    <m/>
    <x v="17"/>
    <n v="24474"/>
    <x v="1"/>
    <s v="Gerencia de Seguridad, Salud en el Trabajo y Protección Ambiental Región Norte"/>
    <s v="SISTEMA DE PERMISOS PARA TRABAJOS CON RIESGO (SPTR)"/>
    <s v="PRESENCIAL"/>
    <n v="352720"/>
    <s v="Roberto Augusto Rosas Hernandez"/>
    <n v="24"/>
    <n v="3"/>
    <n v="5"/>
    <x v="190"/>
    <x v="210"/>
    <x v="1"/>
  </r>
  <r>
    <n v="13"/>
    <m/>
    <x v="17"/>
    <n v="23706"/>
    <x v="6"/>
    <s v="Activo de Producción Poza Rica - Altamira"/>
    <s v="REVALIDACION BASICO DE SEGURIDAD (BS)"/>
    <s v="PRESENCIAL"/>
    <n v="226483"/>
    <s v="Jorge Alberto Jaramillo Ruanova"/>
    <n v="8"/>
    <n v="1"/>
    <n v="10"/>
    <x v="160"/>
    <x v="191"/>
    <x v="2"/>
  </r>
  <r>
    <n v="14"/>
    <m/>
    <x v="17"/>
    <n v="23705"/>
    <x v="6"/>
    <s v="Activo de Producción Poza Rica - Altamira"/>
    <s v="REVALIDACION BASICO DE SEGURIDAD (BS)"/>
    <s v="PRESENCIAL"/>
    <n v="455484"/>
    <s v="Josue Isai Rodriguez Cruz"/>
    <n v="8"/>
    <n v="1"/>
    <n v="12"/>
    <x v="173"/>
    <x v="175"/>
    <x v="2"/>
  </r>
  <r>
    <n v="15"/>
    <m/>
    <x v="17"/>
    <n v="30255"/>
    <x v="5"/>
    <s v="Activo de Exploración Terrestre Norte"/>
    <s v="PREVENCION DE RIESGOS LABORALES"/>
    <s v="PRESENCIAL"/>
    <n v="458886"/>
    <s v="Edgar Mendoza Rodriguez"/>
    <n v="16"/>
    <n v="4"/>
    <n v="1"/>
    <x v="191"/>
    <x v="175"/>
    <x v="2"/>
  </r>
  <r>
    <n v="16"/>
    <m/>
    <x v="17"/>
    <n v="23704"/>
    <x v="6"/>
    <s v="Activo de Producción Poza Rica - Altamira"/>
    <s v="REVALIDACION BASICO DE SEGURIDAD (BS)"/>
    <s v="PRESENCIAL"/>
    <n v="455484"/>
    <s v="Josue Isai Rodriguez Cruz"/>
    <n v="8"/>
    <n v="1"/>
    <n v="12"/>
    <x v="161"/>
    <x v="192"/>
    <x v="2"/>
  </r>
  <r>
    <n v="18"/>
    <m/>
    <x v="17"/>
    <n v="25143"/>
    <x v="6"/>
    <s v="Activo de Producción Poza Rica - Altamira"/>
    <s v="BASICO DE SEGURIDAD (BS)"/>
    <s v="PRESENCIAL"/>
    <n v="226483"/>
    <s v="Jorge Alberto Jaramillo Ruanova"/>
    <n v="16"/>
    <n v="2"/>
    <n v="6"/>
    <x v="161"/>
    <x v="176"/>
    <x v="2"/>
  </r>
  <r>
    <n v="19"/>
    <m/>
    <x v="17"/>
    <n v="23707"/>
    <x v="6"/>
    <s v="Activo de Producción Poza Rica - Altamira"/>
    <s v="REVALIDACION BASICO DE SEGURIDAD (BS)"/>
    <s v="PRESENCIAL"/>
    <n v="455484"/>
    <s v="Josue Isai Rodriguez Cruz"/>
    <n v="8"/>
    <n v="1"/>
    <n v="7"/>
    <x v="192"/>
    <x v="176"/>
    <x v="2"/>
  </r>
  <r>
    <n v="17"/>
    <m/>
    <x v="17"/>
    <n v="26475"/>
    <x v="0"/>
    <s v="Gerencia de Servicios de Soporte y Logística Terrestre"/>
    <s v="MANEJO A LA DEFENSIVA"/>
    <s v="PRESENCIAL"/>
    <n v="352720"/>
    <s v="Roberto Augusto Rosas Hernandez"/>
    <n v="8"/>
    <n v="1"/>
    <n v="10"/>
    <x v="161"/>
    <x v="192"/>
    <x v="2"/>
  </r>
  <r>
    <n v="20"/>
    <m/>
    <x v="17"/>
    <n v="25521"/>
    <x v="1"/>
    <s v="Gerencia de Seguridad, Salud en el Trabajo y Protección Ambiental Región Norte"/>
    <s v="ENTRENAMIENTO BASICO EN SISTEMA PEMEX SSPA (EB SSPA)"/>
    <s v="PRESENCIAL"/>
    <n v="352720"/>
    <s v="Roberto Augusto Rosas Hernandez"/>
    <n v="16"/>
    <n v="2"/>
    <n v="10"/>
    <x v="16"/>
    <x v="16"/>
    <x v="2"/>
  </r>
  <r>
    <n v="21"/>
    <m/>
    <x v="17"/>
    <n v="30761"/>
    <x v="5"/>
    <s v="Activo de Exploración Terrestre Norte"/>
    <s v="SEGURIDAD EN CENTROS ADMINISTRACIONS (SCA)"/>
    <s v="PRESENCIAL"/>
    <n v="354951"/>
    <s v="Raul Armando Garza Torre"/>
    <n v="8"/>
    <n v="2"/>
    <n v="12"/>
    <x v="18"/>
    <x v="177"/>
    <x v="2"/>
  </r>
  <r>
    <n v="22"/>
    <m/>
    <x v="17"/>
    <n v="24430"/>
    <x v="1"/>
    <s v="Gerencia de Seguridad, Salud en el Trabajo y Protección Ambiental Región Norte"/>
    <s v="LIDERAZGO EN SSPA"/>
    <s v="A DISTANCIA"/>
    <n v="374123"/>
    <s v="Gustavo Adolfo Miranda Rosas"/>
    <n v="16"/>
    <n v="2"/>
    <n v="13"/>
    <x v="175"/>
    <x v="211"/>
    <x v="2"/>
  </r>
  <r>
    <n v="23"/>
    <m/>
    <x v="17"/>
    <n v="26772"/>
    <x v="0"/>
    <s v="Gerencia de Servicios de Soporte y Logística Terrestre"/>
    <s v="REVALIDACION BASICO DE SEGURIDAD (BS)"/>
    <s v="PRESENCIAL"/>
    <n v="228486"/>
    <s v="Jorge Eduardo Hernandez Galvan"/>
    <n v="8"/>
    <n v="1"/>
    <n v="12"/>
    <x v="193"/>
    <x v="178"/>
    <x v="2"/>
  </r>
  <r>
    <n v="24"/>
    <m/>
    <x v="17"/>
    <n v="26552"/>
    <x v="0"/>
    <s v="Gerencia de Servicios de Soporte y Logística Terrestre"/>
    <s v="SISTEMA DE PERMISOS PARA TRABAJOS CON RIESGO (SPTR)"/>
    <s v="PRESENCIAL"/>
    <n v="352720"/>
    <s v="Roberto Augusto Rosas Hernandez"/>
    <n v="24"/>
    <n v="3"/>
    <n v="11"/>
    <x v="132"/>
    <x v="25"/>
    <x v="3"/>
  </r>
  <r>
    <n v="25"/>
    <m/>
    <x v="17"/>
    <n v="25132"/>
    <x v="6"/>
    <s v="Activo de Producción Poza Rica - Altamira"/>
    <s v="BASICO DE SEGURIDAD (BS)"/>
    <s v="PRESENCIAL"/>
    <n v="226483"/>
    <s v="Jorge Alberto Jaramillo Ruanova"/>
    <n v="16"/>
    <n v="2"/>
    <n v="10"/>
    <x v="27"/>
    <x v="204"/>
    <x v="3"/>
  </r>
  <r>
    <n v="26"/>
    <m/>
    <x v="17"/>
    <n v="24439"/>
    <x v="1"/>
    <s v="Gerencia de Seguridad, Salud en el Trabajo y Protección Ambiental Región Norte"/>
    <s v="PREVENCION DE RIESGOS LABORALES"/>
    <s v="PRESENCIAL"/>
    <n v="136596"/>
    <s v="Edmundo Angel Hernandez Ramirez"/>
    <n v="16"/>
    <n v="2"/>
    <n v="13"/>
    <x v="27"/>
    <x v="204"/>
    <x v="3"/>
  </r>
  <r>
    <n v="27"/>
    <m/>
    <x v="17"/>
    <n v="25524"/>
    <x v="1"/>
    <s v="Gerencia de Seguridad, Salud en el Trabajo y Protección Ambiental Región Norte"/>
    <s v="ENTRENAMIENTO BASICO EN SISTEMA PEMEX SSPA (EB SSPA)"/>
    <s v="PRESENCIAL"/>
    <n v="352720"/>
    <s v="Roberto Augusto Rosas Hernandez"/>
    <n v="16"/>
    <n v="2"/>
    <n v="9"/>
    <x v="27"/>
    <x v="204"/>
    <x v="3"/>
  </r>
  <r>
    <n v="28"/>
    <m/>
    <x v="17"/>
    <n v="25525"/>
    <x v="1"/>
    <s v="Gerencia de Seguridad, Salud en el Trabajo y Protección Ambiental Región Norte"/>
    <s v="ENTRENAMIENTO BASICO EN SISTEMA PEMEX SSPA (EB SSPA)"/>
    <s v="PRESENCIAL"/>
    <n v="352720"/>
    <s v="Roberto Augusto Rosas Hernandez"/>
    <n v="16"/>
    <n v="2"/>
    <n v="7"/>
    <x v="29"/>
    <x v="205"/>
    <x v="3"/>
  </r>
  <r>
    <n v="29"/>
    <m/>
    <x v="17"/>
    <n v="25523"/>
    <x v="1"/>
    <s v="Gerencia de Seguridad, Salud en el Trabajo y Protección Ambiental Región Norte"/>
    <s v="ENTRENAMIENTO BASICO EN SISTEMA PEMEX SSPA (EB SSPA)"/>
    <s v="PRESENCIAL"/>
    <n v="352720"/>
    <s v="Roberto Augusto Rosas Hernandez"/>
    <n v="16"/>
    <n v="2"/>
    <n v="8"/>
    <x v="31"/>
    <x v="137"/>
    <x v="4"/>
  </r>
  <r>
    <n v="30"/>
    <m/>
    <x v="17"/>
    <n v="24465"/>
    <x v="1"/>
    <s v="Gerencia de Seguridad, Salud en el Trabajo y Protección Ambiental Región Norte"/>
    <s v="SEGURIDAD EN CENTROS ADMINISTRACIONS (SCA)"/>
    <s v="PRESENCIAL"/>
    <n v="352720"/>
    <s v="Roberto Augusto Rosas Hernandez"/>
    <n v="8"/>
    <n v="1"/>
    <n v="7"/>
    <x v="33"/>
    <x v="141"/>
    <x v="4"/>
  </r>
  <r>
    <n v="31"/>
    <m/>
    <x v="17"/>
    <n v="24468"/>
    <x v="1"/>
    <s v="Gerencia de Seguridad, Salud en el Trabajo y Protección Ambiental Región Norte"/>
    <s v="SEGURIDAD EN CENTROS ADMINISTRACIONS (SCA)"/>
    <s v="PRESENCIAL"/>
    <n v="352720"/>
    <s v="Roberto Augusto Rosas Hernandez"/>
    <n v="8"/>
    <n v="1"/>
    <n v="6"/>
    <x v="34"/>
    <x v="142"/>
    <x v="4"/>
  </r>
  <r>
    <n v="32"/>
    <m/>
    <x v="17"/>
    <n v="24399"/>
    <x v="1"/>
    <s v="Gerencia de Seguridad, Salud en el Trabajo y Protección Ambiental Región Norte"/>
    <s v="BRIGADAS DE BUSQUEDA Y RESCATE (BBR)"/>
    <s v="PRESENCIAL"/>
    <n v="228486"/>
    <s v="Jorge Eduardo Hernandez Galvan"/>
    <n v="24"/>
    <n v="3"/>
    <n v="9"/>
    <x v="136"/>
    <x v="142"/>
    <x v="4"/>
  </r>
  <r>
    <n v="33"/>
    <m/>
    <x v="17"/>
    <n v="24380"/>
    <x v="1"/>
    <s v="Gerencia de Seguridad, Salud en el Trabajo y Protección Ambiental Región Norte"/>
    <s v="BASICO DE SEGURIDAD (BS)"/>
    <s v="PRESENCIAL"/>
    <n v="352720"/>
    <s v="Roberto Augusto Rosas Hernandez"/>
    <n v="16"/>
    <n v="2"/>
    <n v="10"/>
    <x v="35"/>
    <x v="143"/>
    <x v="4"/>
  </r>
  <r>
    <n v="34"/>
    <m/>
    <x v="17"/>
    <n v="23731"/>
    <x v="6"/>
    <s v="Gerencia de Mantenimiento, Confiabilidad y Construcción"/>
    <s v="SISTEMA DE PERMISOS PARA TRABAJOS CON RIESGO (SPTR)"/>
    <s v="PRESENCIAL"/>
    <n v="226483"/>
    <s v="Jorge Alberto Jaramillo Ruanova"/>
    <n v="24"/>
    <n v="3"/>
    <n v="3"/>
    <x v="137"/>
    <x v="145"/>
    <x v="4"/>
  </r>
  <r>
    <n v="35"/>
    <m/>
    <x v="17"/>
    <n v="25522"/>
    <x v="1"/>
    <s v="Gerencia de Seguridad, Salud en el Trabajo y Protección Ambiental Región Norte"/>
    <s v="ENTRENAMIENTO BASICO EN SISTEMA PEMEX SSPA (EB SSPA)"/>
    <s v="PRESENCIAL"/>
    <n v="352720"/>
    <s v="Roberto Augusto Rosas Hernandez"/>
    <n v="16"/>
    <n v="2"/>
    <n v="8"/>
    <x v="38"/>
    <x v="212"/>
    <x v="4"/>
  </r>
  <r>
    <n v="36"/>
    <m/>
    <x v="17"/>
    <n v="24390"/>
    <x v="1"/>
    <s v="Gerencia de Seguridad, Salud en el Trabajo y Protección Ambiental Región Norte"/>
    <s v="BRIGADAS CONTRAINCENDIOS (BCII)"/>
    <s v="PRESENCIAL"/>
    <n v="228486"/>
    <s v="Jorge Eduardo Hernandez Galvan"/>
    <n v="24"/>
    <n v="3"/>
    <n v="2"/>
    <x v="38"/>
    <x v="148"/>
    <x v="4"/>
  </r>
  <r>
    <n v="37"/>
    <m/>
    <x v="17"/>
    <n v="21357"/>
    <x v="6"/>
    <s v="Gerencia de Coordinación Operativa"/>
    <s v="LIDERAZGO OPERATIVO PARA LA ADMINISTRACION DE RIESGOS"/>
    <s v="PRESENCIAL"/>
    <n v="374123"/>
    <s v="Gustavo Adolfo Miranda Rosas"/>
    <n v="32"/>
    <n v="4"/>
    <n v="1"/>
    <x v="38"/>
    <x v="213"/>
    <x v="4"/>
  </r>
  <r>
    <n v="38"/>
    <m/>
    <x v="17"/>
    <n v="25125"/>
    <x v="6"/>
    <s v="Activo de Producción Poza Rica - Altamira"/>
    <s v="BASICO DE SEGURIDAD (BS)"/>
    <s v="PRESENCIAL"/>
    <n v="455484"/>
    <s v="Josue Isai Rodriguez Cruz"/>
    <n v="16"/>
    <n v="2"/>
    <n v="9"/>
    <x v="194"/>
    <x v="213"/>
    <x v="4"/>
  </r>
  <r>
    <n v="39"/>
    <m/>
    <x v="17"/>
    <n v="24394"/>
    <x v="1"/>
    <s v="Gerencia de Seguridad, Salud en el Trabajo y Protección Ambiental Región Norte"/>
    <s v="BRIGADAS CONTRAINCENDIOS (BCII)"/>
    <s v="PRESENCIAL"/>
    <n v="228486"/>
    <s v="Jorge Eduardo Hernandez Galvan"/>
    <n v="24"/>
    <n v="3"/>
    <n v="13"/>
    <x v="40"/>
    <x v="40"/>
    <x v="4"/>
  </r>
  <r>
    <n v="40"/>
    <m/>
    <x v="17"/>
    <n v="25118"/>
    <x v="6"/>
    <s v="Activo de Producción Poza Rica - Altamira"/>
    <s v="BASICO DE SEGURIDAD (BS)"/>
    <s v="PRESENCIAL"/>
    <n v="455484"/>
    <s v="Josue Isai Rodriguez Cruz"/>
    <n v="16"/>
    <n v="2"/>
    <n v="10"/>
    <x v="142"/>
    <x v="153"/>
    <x v="5"/>
  </r>
  <r>
    <n v="41"/>
    <m/>
    <x v="17"/>
    <n v="24389"/>
    <x v="1"/>
    <s v="Gerencia de Seguridad, Salud en el Trabajo y Protección Ambiental Región Norte"/>
    <s v="BRIGADAS CONTRAINCENDIOS (BCII)"/>
    <s v="PRESENCIAL"/>
    <n v="228486"/>
    <s v="Jorge Eduardo Hernandez Galvan"/>
    <n v="24"/>
    <n v="3"/>
    <n v="7"/>
    <x v="142"/>
    <x v="154"/>
    <x v="5"/>
  </r>
  <r>
    <n v="42"/>
    <m/>
    <x v="17"/>
    <n v="25117"/>
    <x v="6"/>
    <s v="Activo de Producción Poza Rica - Altamira"/>
    <s v="BASICO DE SEGURIDAD (BS)"/>
    <s v="PRESENCIAL"/>
    <n v="455484"/>
    <s v="Josue Isai Rodriguez Cruz"/>
    <n v="16"/>
    <n v="2"/>
    <n v="10"/>
    <x v="45"/>
    <x v="214"/>
    <x v="5"/>
  </r>
  <r>
    <n v="43"/>
    <m/>
    <x v="17"/>
    <n v="25128"/>
    <x v="6"/>
    <s v="Activo de Producción Poza Rica - Altamira"/>
    <s v="BASICO DE SEGURIDAD (BS)"/>
    <s v="PRESENCIAL"/>
    <n v="226483"/>
    <s v="Jorge Alberto Jaramillo Ruanova"/>
    <n v="16"/>
    <n v="2"/>
    <n v="13"/>
    <x v="44"/>
    <x v="44"/>
    <x v="5"/>
  </r>
  <r>
    <n v="44"/>
    <m/>
    <x v="17"/>
    <n v="24344"/>
    <x v="1"/>
    <s v="Gerencia de Seguridad, Salud en el Trabajo y Protección Ambiental Región Norte"/>
    <s v="ADMINISTRACION AMBIENTAL"/>
    <s v="PRESENCIAL"/>
    <n v="315738"/>
    <s v="María de los Angeles Alday Alvarez"/>
    <n v="16"/>
    <n v="2"/>
    <n v="14"/>
    <x v="166"/>
    <x v="44"/>
    <x v="5"/>
  </r>
  <r>
    <n v="45"/>
    <m/>
    <x v="17"/>
    <n v="24398"/>
    <x v="1"/>
    <s v="Gerencia de Seguridad, Salud en el Trabajo y Protección Ambiental Región Norte"/>
    <s v="BRIGADAS DE BUSQUEDA Y RESCATE (BBR)"/>
    <s v="PRESENCIAL"/>
    <n v="228486"/>
    <s v="Jorge Eduardo Hernandez Galvan"/>
    <n v="24"/>
    <n v="3"/>
    <n v="10"/>
    <x v="44"/>
    <x v="45"/>
    <x v="5"/>
  </r>
  <r>
    <n v="46"/>
    <m/>
    <x v="17"/>
    <n v="25116"/>
    <x v="6"/>
    <s v="Activo de Producción Poza Rica - Altamira"/>
    <s v="BASICO DE SEGURIDAD (BS)"/>
    <s v="PRESENCIAL"/>
    <n v="455484"/>
    <s v="Josue Isai Rodriguez Cruz"/>
    <n v="16"/>
    <n v="2"/>
    <n v="11"/>
    <x v="46"/>
    <x v="155"/>
    <x v="5"/>
  </r>
  <r>
    <n v="47"/>
    <m/>
    <x v="17"/>
    <n v="24408"/>
    <x v="1"/>
    <s v="Gerencia de Seguridad, Salud en el Trabajo y Protección Ambiental Región Norte"/>
    <s v="BRIGADAS DE PRIMEROS AUXILIOS(BPA)"/>
    <s v="PRESENCIAL"/>
    <n v="228486"/>
    <s v="Jorge Eduardo Hernandez Galvan"/>
    <n v="16"/>
    <n v="2"/>
    <n v="10"/>
    <x v="46"/>
    <x v="155"/>
    <x v="5"/>
  </r>
  <r>
    <n v="48"/>
    <m/>
    <x v="17"/>
    <n v="24410"/>
    <x v="1"/>
    <s v="Gerencia de Seguridad, Salud en el Trabajo y Protección Ambiental Región Norte"/>
    <s v="BRIGADAS DE PRIMEROS AUXILIOS(BPA)"/>
    <s v="PRESENCIAL"/>
    <n v="228486"/>
    <s v="Jorge Eduardo Hernandez Galvan"/>
    <n v="16"/>
    <n v="2"/>
    <n v="3"/>
    <x v="48"/>
    <x v="215"/>
    <x v="5"/>
  </r>
  <r>
    <n v="49"/>
    <m/>
    <x v="17"/>
    <n v="24409"/>
    <x v="1"/>
    <s v="Gerencia de Seguridad, Salud en el Trabajo y Protección Ambiental Región Norte"/>
    <s v="BRIGADAS DE PRIMEROS AUXILIOS(BPA)"/>
    <s v="PRESENCIAL"/>
    <n v="228486"/>
    <s v="Jorge Eduardo Hernandez Galvan"/>
    <n v="16"/>
    <n v="2"/>
    <n v="10"/>
    <x v="49"/>
    <x v="49"/>
    <x v="5"/>
  </r>
  <r>
    <n v="50"/>
    <m/>
    <x v="17"/>
    <n v="25123"/>
    <x v="6"/>
    <s v="Activo de Producción Poza Rica - Altamira"/>
    <s v="BASICO DE SEGURIDAD (BS)"/>
    <s v="PRESENCIAL"/>
    <n v="455484"/>
    <s v="Josue Isai Rodriguez Cruz"/>
    <n v="16"/>
    <n v="2"/>
    <n v="15"/>
    <x v="144"/>
    <x v="156"/>
    <x v="5"/>
  </r>
  <r>
    <n v="51"/>
    <m/>
    <x v="17"/>
    <n v="21560"/>
    <x v="6"/>
    <s v="Gerencia de Mantenimiento, Confiabilidad y Construcción"/>
    <s v="ADMINISTRACION DE RIESGOS EN PEMEX EXPLORACION Y PRODUCCION"/>
    <s v="A DISTANCIA"/>
    <n v="374123"/>
    <s v="Gustavo Adolfo Miranda Rosas"/>
    <n v="8"/>
    <n v="1"/>
    <n v="10"/>
    <x v="53"/>
    <x v="52"/>
    <x v="5"/>
  </r>
  <r>
    <n v="52"/>
    <m/>
    <x v="17"/>
    <n v="22096"/>
    <x v="6"/>
    <s v="Gerencia de Mantenimiento, Confiabilidad y Construcción"/>
    <s v="REVALIDACION BASICO DE SEGURIDAD (BS)"/>
    <s v="PRESENCIAL"/>
    <n v="226483"/>
    <s v="Jorge Alberto Jaramillo Ruanova"/>
    <n v="8"/>
    <n v="1"/>
    <n v="3"/>
    <x v="59"/>
    <x v="185"/>
    <x v="6"/>
  </r>
  <r>
    <n v="53"/>
    <m/>
    <x v="17"/>
    <n v="21987"/>
    <x v="5"/>
    <s v="Gerencia de Caracterización de Yacimientos y Exploración de Campos"/>
    <s v="DISCIPLINA OPERATIVA"/>
    <s v="PRESENCIAL"/>
    <n v="343036"/>
    <s v="Leove Rosas Ontiveros"/>
    <n v="16"/>
    <n v="2"/>
    <n v="6"/>
    <x v="59"/>
    <x v="62"/>
    <x v="6"/>
  </r>
  <r>
    <n v="54"/>
    <m/>
    <x v="17"/>
    <n v="26145"/>
    <x v="5"/>
    <s v="Gerencia de Caracterización de Yacimientos y Exploración de Campos"/>
    <s v="LIDERAZGO OPERATIVO PARA LA ADMINISTRACION DE RIESGOS"/>
    <s v="PRESENCIAL"/>
    <n v="279089"/>
    <s v="Erick D. Castillo Melo"/>
    <n v="32"/>
    <n v="4"/>
    <n v="1"/>
    <x v="195"/>
    <x v="64"/>
    <x v="6"/>
  </r>
  <r>
    <n v="55"/>
    <m/>
    <x v="17"/>
    <n v="24350"/>
    <x v="1"/>
    <s v="Gerencia de Seguridad, Salud en el Trabajo y Protección Ambiental Región Norte"/>
    <s v="ADMINISTRACION DE EMERGENCIAS MAYORES (AEM)"/>
    <s v="PRESENCIAL"/>
    <n v="812346"/>
    <s v="Javier Patiño Macias"/>
    <n v="16"/>
    <n v="2"/>
    <n v="2"/>
    <x v="196"/>
    <x v="70"/>
    <x v="6"/>
  </r>
  <r>
    <n v="56"/>
    <m/>
    <x v="17"/>
    <n v="24543"/>
    <x v="6"/>
    <s v="Activo de Producción Poza Rica - Altamira"/>
    <s v="ACIDO SULFHIDRICO (H2S)"/>
    <s v="PRESENCIAL"/>
    <n v="226483"/>
    <s v="Jorge Alberto Jaramillo Ruanova"/>
    <n v="8"/>
    <n v="1"/>
    <n v="12"/>
    <x v="72"/>
    <x v="77"/>
    <x v="7"/>
  </r>
  <r>
    <n v="57"/>
    <m/>
    <x v="17"/>
    <n v="24423"/>
    <x v="1"/>
    <s v="Gerencia de Seguridad, Salud en el Trabajo y Protección Ambiental Región Norte"/>
    <s v="INVESTIGACION DE INCIDENTES Y ANALISIS DE CAUSA RAIZ (IIACR)"/>
    <s v="A DISTANCIA"/>
    <n v="812346"/>
    <s v="Javier Patiño Macias"/>
    <n v="16"/>
    <n v="2"/>
    <n v="7"/>
    <x v="82"/>
    <x v="88"/>
    <x v="7"/>
  </r>
  <r>
    <n v="58"/>
    <m/>
    <x v="17"/>
    <n v="21404"/>
    <x v="6"/>
    <s v="Gerencia de Mantenimiento, Confiabilidad y Construcción"/>
    <s v="MANEJO A LA DEFENSIVA (MD)"/>
    <s v="PRESENCIAL"/>
    <n v="226483"/>
    <s v="Jorge Alberto Jaramillo Ruanova"/>
    <n v="8"/>
    <n v="1"/>
    <n v="3"/>
    <x v="91"/>
    <x v="216"/>
    <x v="8"/>
  </r>
  <r>
    <n v="59"/>
    <m/>
    <x v="17"/>
    <n v="29127"/>
    <x v="1"/>
    <s v="Gerencia de Seguridad, Salud en el Trabajo y Protección Ambiental Región Norte"/>
    <s v="PLANEACION SEGURA DE LOS TRABAJOS"/>
    <s v="PRESENCIAL"/>
    <n v="352720"/>
    <s v="Roberto Augusto Rosas Hernandez"/>
    <n v="16"/>
    <n v="2"/>
    <n v="6"/>
    <x v="96"/>
    <x v="102"/>
    <x v="8"/>
  </r>
  <r>
    <n v="60"/>
    <m/>
    <x v="17"/>
    <n v="21603"/>
    <x v="6"/>
    <s v="Gerencia de Mantenimiento, Confiabilidad y Construcción"/>
    <s v="VERIFICADOR DE GAS (VG)"/>
    <s v="PRESENCIAL"/>
    <n v="226483"/>
    <s v="Jorge Alberto Jaramillo Ruanova"/>
    <n v="8"/>
    <n v="1"/>
    <n v="1"/>
    <x v="99"/>
    <x v="199"/>
    <x v="8"/>
  </r>
  <r>
    <n v="61"/>
    <m/>
    <x v="17"/>
    <n v="23608"/>
    <x v="6"/>
    <s v="Gerencia de Mantenimiento, Confiabilidad y Construcción"/>
    <s v="AUDITORIAS EFECTIVAS"/>
    <s v="PRESENCIAL"/>
    <n v="226483"/>
    <s v="Jorge Alberto Jaramillo Ruanova"/>
    <n v="8"/>
    <n v="1"/>
    <n v="1"/>
    <x v="111"/>
    <x v="116"/>
    <x v="9"/>
  </r>
  <r>
    <n v="62"/>
    <m/>
    <x v="17"/>
    <n v="24355"/>
    <x v="1"/>
    <s v="Gerencia de Seguridad, Salud en el Trabajo y Protección Ambiental Región Norte"/>
    <s v="ADMINISTRACION DE RIESGOS EN PEMEX EXPLORACION Y PRODUCCION"/>
    <s v="A DISTANCIA"/>
    <n v="332078"/>
    <s v="Alejandro Sanchez Garcia"/>
    <n v="8"/>
    <n v="1"/>
    <n v="14"/>
    <x v="117"/>
    <x v="121"/>
    <x v="9"/>
  </r>
  <r>
    <n v="63"/>
    <m/>
    <x v="17"/>
    <n v="24445"/>
    <x v="1"/>
    <s v="Gerencia de Seguridad, Salud en el Trabajo y Protección Ambiental Región Norte"/>
    <s v="PREVENCION DE RIESGOS LABORALES"/>
    <s v="PRESENCIAL"/>
    <n v="352720"/>
    <s v="Roberto Augusto Rosas Hernandez"/>
    <n v="16"/>
    <n v="2"/>
    <n v="10"/>
    <x v="116"/>
    <x v="122"/>
    <x v="9"/>
  </r>
  <r>
    <n v="64"/>
    <m/>
    <x v="17"/>
    <n v="24447"/>
    <x v="1"/>
    <s v="Gerencia de Seguridad, Salud en el Trabajo y Protección Ambiental Región Norte"/>
    <s v="PROCEDIMIENTOS CRITICOS (PC)"/>
    <s v="PRESENCIAL"/>
    <n v="352720"/>
    <s v="Roberto Augusto Rosas Hernandez"/>
    <n v="16"/>
    <n v="2"/>
    <n v="2"/>
    <x v="197"/>
    <x v="125"/>
    <x v="10"/>
  </r>
  <r>
    <n v="1"/>
    <m/>
    <x v="9"/>
    <n v="23347"/>
    <x v="6"/>
    <s v="Activo de Producción Veracruz"/>
    <s v="SISTEMA DE PERMISOS PARA TRABAJOS CON RIESGO (SPTR)"/>
    <s v="PRESENCIAL"/>
    <n v="520213"/>
    <s v="Fernando Fabian Ludewig Melgarejo"/>
    <n v="24"/>
    <n v="3"/>
    <n v="8"/>
    <x v="160"/>
    <x v="217"/>
    <x v="2"/>
  </r>
  <r>
    <n v="2"/>
    <m/>
    <x v="9"/>
    <n v="23346"/>
    <x v="6"/>
    <s v="Activo de Producción Veracruz"/>
    <s v="SISTEMA DE PERMISOS PARA TRABAJOS CON RIESGO (SPTR)"/>
    <s v="PRESENCIAL"/>
    <n v="520213"/>
    <s v="Fernando Fabian Ludewig Melgarejo"/>
    <n v="24"/>
    <n v="3"/>
    <n v="8"/>
    <x v="161"/>
    <x v="218"/>
    <x v="2"/>
  </r>
  <r>
    <n v="3"/>
    <m/>
    <x v="9"/>
    <n v="23345"/>
    <x v="6"/>
    <s v="Activo de Producción Veracruz"/>
    <s v="SISTEMA DE PERMISOS PARA TRABAJOS CON RIESGO (SPTR)"/>
    <s v="PRESENCIAL"/>
    <n v="520213"/>
    <s v="Fernando Fabian Ludewig Melgarejo"/>
    <n v="24"/>
    <n v="3"/>
    <n v="8"/>
    <x v="16"/>
    <x v="17"/>
    <x v="2"/>
  </r>
  <r>
    <n v="4"/>
    <m/>
    <x v="9"/>
    <n v="23349"/>
    <x v="6"/>
    <s v="Activo de Producción Veracruz"/>
    <s v="SISTEMA DE PERMISOS PARA TRABAJOS CON RIESGO (SPTR)"/>
    <s v="PRESENCIAL"/>
    <n v="520213"/>
    <s v="Fernando Fabian Ludewig Melgarejo"/>
    <n v="24"/>
    <n v="3"/>
    <n v="6"/>
    <x v="127"/>
    <x v="219"/>
    <x v="2"/>
  </r>
  <r>
    <n v="5"/>
    <m/>
    <x v="9"/>
    <n v="24341"/>
    <x v="1"/>
    <s v="Gerencia de Seguridad, Salud en el Trabajo y Protección Ambiental Región Norte"/>
    <s v="ACIDO SULFHIDRICO (H2S)"/>
    <s v="PRESENCIAL"/>
    <n v="463384"/>
    <s v="Francisco Ruben Chavez Osorio"/>
    <n v="8"/>
    <n v="1"/>
    <n v="3"/>
    <x v="17"/>
    <x v="218"/>
    <x v="2"/>
  </r>
  <r>
    <n v="6"/>
    <m/>
    <x v="9"/>
    <n v="24392"/>
    <x v="1"/>
    <s v="Gerencia de Seguridad, Salud en el Trabajo y Protección Ambiental Región Norte"/>
    <s v="BRIGADAS CONTRAINCENDIOS (BCII)"/>
    <s v="PRESENCIAL"/>
    <n v="463384"/>
    <s v="Francisco Ruben Chavez Osorio"/>
    <n v="24"/>
    <n v="3"/>
    <n v="6"/>
    <x v="16"/>
    <x v="17"/>
    <x v="2"/>
  </r>
  <r>
    <n v="7"/>
    <m/>
    <x v="9"/>
    <n v="24444"/>
    <x v="1"/>
    <s v="Gerencia de Seguridad, Salud en el Trabajo y Protección Ambiental Región Norte"/>
    <s v="PREVENCION DE RIESGOS LABORALES"/>
    <s v="PRESENCIAL"/>
    <n v="463384"/>
    <s v="Francisco Ruben Chavez Osorio"/>
    <n v="16"/>
    <n v="2"/>
    <n v="7"/>
    <x v="18"/>
    <x v="177"/>
    <x v="2"/>
  </r>
  <r>
    <n v="8"/>
    <m/>
    <x v="9"/>
    <n v="23348"/>
    <x v="6"/>
    <s v="Activo de Producción Veracruz"/>
    <s v="SISTEMA DE PERMISOS PARA TRABAJOS CON RIESGO (SPTR)"/>
    <s v="PRESENCIAL"/>
    <n v="520213"/>
    <s v="Fernando Fabian Ludewig Melgarejo"/>
    <n v="24"/>
    <n v="3"/>
    <n v="7"/>
    <x v="18"/>
    <x v="19"/>
    <x v="2"/>
  </r>
  <r>
    <n v="9"/>
    <m/>
    <x v="9"/>
    <n v="24407"/>
    <x v="1"/>
    <s v="Gerencia de Seguridad, Salud en el Trabajo y Protección Ambiental Región Norte"/>
    <s v="BRIGADAS DE PRIMEROS AUXILIOS(BPA)"/>
    <s v="PRESENCIAL"/>
    <n v="463384"/>
    <s v="Francisco Ruben Chavez Osorio"/>
    <n v="16"/>
    <n v="2"/>
    <n v="6"/>
    <x v="182"/>
    <x v="220"/>
    <x v="2"/>
  </r>
  <r>
    <n v="10"/>
    <m/>
    <x v="9"/>
    <n v="23344"/>
    <x v="6"/>
    <s v="Activo de Producción Veracruz"/>
    <s v="SISTEMA DE PERMISOS PARA TRABAJOS CON RIESGO (SPTR)"/>
    <s v="PRESENCIAL"/>
    <n v="520213"/>
    <s v="Fernando Fabian Ludewig Melgarejo"/>
    <n v="24"/>
    <n v="3"/>
    <n v="8"/>
    <x v="198"/>
    <x v="221"/>
    <x v="2"/>
  </r>
  <r>
    <n v="11"/>
    <m/>
    <x v="9"/>
    <n v="24449"/>
    <x v="1"/>
    <s v="Gerencia de Seguridad, Salud en el Trabajo y Protección Ambiental Región Norte"/>
    <s v="PROCEDIMIENTOS CRITICOS (PC)"/>
    <s v="PRESENCIAL"/>
    <n v="463384"/>
    <s v="Francisco Ruben Chavez Osorio"/>
    <n v="16"/>
    <n v="2"/>
    <n v="7"/>
    <x v="199"/>
    <x v="221"/>
    <x v="2"/>
  </r>
  <r>
    <n v="12"/>
    <m/>
    <x v="9"/>
    <n v="23351"/>
    <x v="6"/>
    <s v="Activo de Producción Veracruz"/>
    <s v="VERIFICADOR DE GAS (VG)"/>
    <s v="PRESENCIAL"/>
    <n v="520213"/>
    <s v="Fernando Fabian Ludewig Melgarejo"/>
    <n v="8"/>
    <n v="1"/>
    <n v="5"/>
    <x v="176"/>
    <x v="193"/>
    <x v="2"/>
  </r>
  <r>
    <n v="13"/>
    <m/>
    <x v="9"/>
    <n v="23343"/>
    <x v="6"/>
    <s v="Activo de Producción Veracruz"/>
    <s v="SEGURIDAD EN CENTROS ADMINISTRACIONS (SCA)"/>
    <s v="PRESENCIAL"/>
    <n v="520213"/>
    <s v="Fernando Fabian Ludewig Melgarejo"/>
    <n v="8"/>
    <n v="1"/>
    <n v="1"/>
    <x v="129"/>
    <x v="203"/>
    <x v="3"/>
  </r>
  <r>
    <n v="14"/>
    <m/>
    <x v="9"/>
    <n v="23333"/>
    <x v="6"/>
    <s v="Activo de Producción Veracruz"/>
    <s v="BASICO DE SEGURIDAD (BS)"/>
    <s v="PRESENCIAL"/>
    <n v="520213"/>
    <s v="Fernando Fabian Ludewig Melgarejo"/>
    <n v="16"/>
    <n v="2"/>
    <n v="4"/>
    <x v="131"/>
    <x v="135"/>
    <x v="3"/>
  </r>
  <r>
    <n v="15"/>
    <m/>
    <x v="9"/>
    <n v="24353"/>
    <x v="1"/>
    <s v="Gerencia de Seguridad, Salud en el Trabajo y Protección Ambiental Región Norte"/>
    <s v="ADMINISTRACION DE EMERGENCIAS MAYORES (AEM)"/>
    <s v="PRESENCIAL"/>
    <n v="441106"/>
    <s v="Javier Becerril Morales"/>
    <n v="16"/>
    <n v="2"/>
    <n v="6"/>
    <x v="200"/>
    <x v="222"/>
    <x v="3"/>
  </r>
  <r>
    <n v="16"/>
    <m/>
    <x v="9"/>
    <n v="23332"/>
    <x v="6"/>
    <s v="Activo de Producción Veracruz"/>
    <s v="BASICO DE SEGURIDAD (BS)"/>
    <s v="PRESENCIAL"/>
    <n v="520213"/>
    <s v="Fernando Fabian Ludewig Melgarejo"/>
    <n v="16"/>
    <n v="2"/>
    <n v="4"/>
    <x v="21"/>
    <x v="22"/>
    <x v="3"/>
  </r>
  <r>
    <n v="17"/>
    <m/>
    <x v="9"/>
    <n v="23331"/>
    <x v="6"/>
    <s v="Activo de Producción Veracruz"/>
    <s v="BASICO DE SEGURIDAD (BS)"/>
    <s v="PRESENCIAL"/>
    <n v="520213"/>
    <s v="Fernando Fabian Ludewig Melgarejo"/>
    <n v="16"/>
    <n v="2"/>
    <n v="5"/>
    <x v="23"/>
    <x v="196"/>
    <x v="3"/>
  </r>
  <r>
    <n v="18"/>
    <m/>
    <x v="9"/>
    <n v="29128"/>
    <x v="1"/>
    <s v="Gerencia de Seguridad, Salud en el Trabajo y Protección Ambiental Región Norte"/>
    <s v="PLANEACION SEGURA DE LOS TRABAJOS"/>
    <s v="PRESENCIAL"/>
    <n v="441106"/>
    <s v="Javier Becerril Morales"/>
    <n v="16"/>
    <n v="2"/>
    <n v="3"/>
    <x v="178"/>
    <x v="23"/>
    <x v="3"/>
  </r>
  <r>
    <n v="19"/>
    <m/>
    <x v="9"/>
    <n v="23342"/>
    <x v="6"/>
    <s v="Activo de Producción Veracruz"/>
    <s v="SEGURIDAD EN CENTROS ADMINISTRACIONS (SCA)"/>
    <s v="PRESENCIAL"/>
    <n v="520213"/>
    <s v="Fernando Fabian Ludewig Melgarejo"/>
    <n v="8"/>
    <n v="1"/>
    <n v="2"/>
    <x v="132"/>
    <x v="223"/>
    <x v="3"/>
  </r>
  <r>
    <n v="20"/>
    <m/>
    <x v="9"/>
    <n v="24434"/>
    <x v="1"/>
    <s v="Gerencia de Seguridad, Salud en el Trabajo y Protección Ambiental Región Norte"/>
    <s v="MANEJO A LA DEFENSIVA (MD)"/>
    <s v="PRESENCIAL"/>
    <n v="441106"/>
    <s v="Javier Becerril Morales"/>
    <n v="8"/>
    <n v="1"/>
    <n v="5"/>
    <x v="132"/>
    <x v="223"/>
    <x v="3"/>
  </r>
  <r>
    <n v="21"/>
    <m/>
    <x v="9"/>
    <n v="23341"/>
    <x v="6"/>
    <s v="Activo de Producción Veracruz"/>
    <s v="PROCEDIMIENTOS CRITICOS (PC)"/>
    <s v="PRESENCIAL"/>
    <n v="520213"/>
    <s v="Fernando Fabian Ludewig Melgarejo"/>
    <n v="16"/>
    <n v="2"/>
    <n v="4"/>
    <x v="133"/>
    <x v="224"/>
    <x v="3"/>
  </r>
  <r>
    <n v="22"/>
    <m/>
    <x v="9"/>
    <n v="24393"/>
    <x v="1"/>
    <s v="Gerencia de Seguridad, Salud en el Trabajo y Protección Ambiental Región Norte"/>
    <s v="BRIGADAS CONTRAINCENDIOS (BCII)"/>
    <s v="PRESENCIAL"/>
    <n v="441106"/>
    <s v="Javier Becerril Morales"/>
    <n v="24"/>
    <n v="3"/>
    <n v="7"/>
    <x v="25"/>
    <x v="224"/>
    <x v="3"/>
  </r>
  <r>
    <n v="23"/>
    <m/>
    <x v="9"/>
    <n v="23340"/>
    <x v="6"/>
    <s v="Activo de Producción Veracruz"/>
    <s v="PROCEDIMIENTOS CRITICOS (PC)"/>
    <s v="PRESENCIAL"/>
    <n v="520213"/>
    <s v="Fernando Fabian Ludewig Melgarejo"/>
    <n v="16"/>
    <n v="2"/>
    <n v="4"/>
    <x v="27"/>
    <x v="225"/>
    <x v="3"/>
  </r>
  <r>
    <n v="24"/>
    <m/>
    <x v="9"/>
    <n v="26777"/>
    <x v="0"/>
    <s v="Gerencia de Servicios de Soporte y Logística Terrestre"/>
    <s v="REACREDITACION DE SIGNATARIOS DEL SPPTR (RSPTR)"/>
    <s v="PRESENCIAL"/>
    <n v="307531"/>
    <s v="Ubaldo Santiago Sobrevilla"/>
    <n v="8"/>
    <n v="1"/>
    <n v="1"/>
    <x v="29"/>
    <x v="226"/>
    <x v="3"/>
  </r>
  <r>
    <n v="25"/>
    <m/>
    <x v="9"/>
    <n v="23339"/>
    <x v="6"/>
    <s v="Activo de Producción Veracruz"/>
    <s v="PROCEDIMIENTOS CRITICOS (PC)"/>
    <s v="PRESENCIAL"/>
    <n v="520213"/>
    <s v="Fernando Fabian Ludewig Melgarejo"/>
    <n v="16"/>
    <n v="2"/>
    <n v="5"/>
    <x v="30"/>
    <x v="227"/>
    <x v="3"/>
  </r>
  <r>
    <n v="26"/>
    <m/>
    <x v="9"/>
    <n v="23334"/>
    <x v="6"/>
    <s v="Activo de Producción Veracruz"/>
    <s v="MANEJO A LA DEFENSIVA (MD)"/>
    <s v="PRESENCIAL"/>
    <n v="520213"/>
    <s v="Fernando Fabian Ludewig Melgarejo"/>
    <n v="8"/>
    <n v="1"/>
    <n v="1"/>
    <x v="163"/>
    <x v="228"/>
    <x v="3"/>
  </r>
  <r>
    <n v="27"/>
    <m/>
    <x v="9"/>
    <n v="25005"/>
    <x v="6"/>
    <s v="Activo de Producción Veracruz"/>
    <s v="ACIDO SULFHIDRICO (H2S)"/>
    <s v="PRESENCIAL"/>
    <n v="520213"/>
    <s v="Fernando Fabian Ludewig Melgarejo"/>
    <n v="8"/>
    <n v="1"/>
    <n v="4"/>
    <x v="31"/>
    <x v="229"/>
    <x v="4"/>
  </r>
  <r>
    <n v="28"/>
    <m/>
    <x v="9"/>
    <n v="25004"/>
    <x v="6"/>
    <s v="Activo de Producción Veracruz"/>
    <s v="ACIDO SULFHIDRICO (H2S)"/>
    <s v="PRESENCIAL"/>
    <n v="520213"/>
    <s v="Fernando Fabian Ludewig Melgarejo"/>
    <n v="8"/>
    <n v="1"/>
    <n v="4"/>
    <x v="32"/>
    <x v="137"/>
    <x v="4"/>
  </r>
  <r>
    <n v="29"/>
    <m/>
    <x v="9"/>
    <n v="25007"/>
    <x v="6"/>
    <s v="Activo de Producción Veracruz"/>
    <s v="REACREDITACION DE SIGNATARIOS DEL SPPTR (RSPTR)"/>
    <s v="PRESENCIAL"/>
    <n v="520213"/>
    <s v="Fernando Fabian Ludewig Melgarejo"/>
    <n v="8"/>
    <n v="1"/>
    <n v="3"/>
    <x v="134"/>
    <x v="206"/>
    <x v="4"/>
  </r>
  <r>
    <n v="30"/>
    <m/>
    <x v="9"/>
    <n v="23336"/>
    <x v="6"/>
    <s v="Activo de Producción Veracruz"/>
    <s v="PREVENCION DE RIESGOS LABORALES"/>
    <s v="PRESENCIAL"/>
    <n v="520213"/>
    <s v="Fernando Fabian Ludewig Melgarejo"/>
    <n v="16"/>
    <n v="2"/>
    <n v="4"/>
    <x v="136"/>
    <x v="141"/>
    <x v="4"/>
  </r>
  <r>
    <n v="31"/>
    <m/>
    <x v="9"/>
    <n v="23335"/>
    <x v="6"/>
    <s v="Activo de Producción Veracruz"/>
    <s v="PREVENCION DE RIESGOS LABORALES"/>
    <s v="PRESENCIAL"/>
    <n v="520213"/>
    <s v="Fernando Fabian Ludewig Melgarejo"/>
    <n v="16"/>
    <n v="2"/>
    <n v="3"/>
    <x v="137"/>
    <x v="144"/>
    <x v="4"/>
  </r>
  <r>
    <n v="32"/>
    <m/>
    <x v="9"/>
    <n v="24441"/>
    <x v="1"/>
    <s v="Gerencia de Seguridad, Salud en el Trabajo y Protección Ambiental Región Norte"/>
    <s v="PREVENCION DE RIESGOS LABORALES"/>
    <s v="PRESENCIAL"/>
    <n v="463384"/>
    <s v="Francisco Ruben Chavez Osorio"/>
    <n v="16"/>
    <n v="2"/>
    <n v="2"/>
    <x v="137"/>
    <x v="144"/>
    <x v="4"/>
  </r>
  <r>
    <n v="33"/>
    <m/>
    <x v="9"/>
    <n v="24352"/>
    <x v="1"/>
    <s v="Gerencia de Seguridad, Salud en el Trabajo y Protección Ambiental Región Norte"/>
    <s v="ADMINISTRACION DE EMERGENCIAS MAYORES (AEM)"/>
    <s v="PRESENCIAL"/>
    <n v="463384"/>
    <s v="Francisco Ruben Chavez Osorio"/>
    <n v="16"/>
    <n v="2"/>
    <n v="5"/>
    <x v="37"/>
    <x v="146"/>
    <x v="4"/>
  </r>
  <r>
    <n v="34"/>
    <m/>
    <x v="9"/>
    <n v="24379"/>
    <x v="1"/>
    <s v="Gerencia de Seguridad, Salud en el Trabajo y Protección Ambiental Región Norte"/>
    <s v="BASICO DE SEGURIDAD (BS)"/>
    <s v="PRESENCIAL"/>
    <n v="463384"/>
    <s v="Francisco Ruben Chavez Osorio"/>
    <n v="16"/>
    <n v="2"/>
    <n v="2"/>
    <x v="138"/>
    <x v="230"/>
    <x v="4"/>
  </r>
  <r>
    <n v="35"/>
    <m/>
    <x v="9"/>
    <n v="28079"/>
    <x v="1"/>
    <s v="Gerencia de Seguridad, Salud en el Trabajo y Protección Ambiental Región Norte"/>
    <s v="VERIFICADOR DE GAS (VG)"/>
    <s v="PRESENCIAL"/>
    <n v="520213"/>
    <s v="Fernando Fabian Ludewig Melgarejo"/>
    <n v="8"/>
    <n v="1"/>
    <n v="3"/>
    <x v="48"/>
    <x v="47"/>
    <x v="5"/>
  </r>
  <r>
    <n v="36"/>
    <m/>
    <x v="9"/>
    <n v="24477"/>
    <x v="1"/>
    <s v="Gerencia de Seguridad, Salud en el Trabajo y Protección Ambiental Región Norte"/>
    <s v="SISTEMA DE PERMISOS PARA TRABAJOS CON RIESGO (SPTR)"/>
    <s v="PRESENCIAL"/>
    <n v="520213"/>
    <s v="Fernando Fabian Ludewig Melgarejo"/>
    <n v="24"/>
    <n v="3"/>
    <n v="3"/>
    <x v="143"/>
    <x v="49"/>
    <x v="5"/>
  </r>
  <r>
    <n v="37"/>
    <m/>
    <x v="9"/>
    <n v="24397"/>
    <x v="1"/>
    <s v="Gerencia de Seguridad, Salud en el Trabajo y Protección Ambiental Región Norte"/>
    <s v="BRIGADAS DE BUSQUEDA Y RESCATE (BBR)"/>
    <s v="PRESENCIAL"/>
    <n v="520213"/>
    <s v="Fernando Fabian Ludewig Melgarejo"/>
    <n v="24"/>
    <n v="3"/>
    <n v="6"/>
    <x v="57"/>
    <x v="231"/>
    <x v="6"/>
  </r>
  <r>
    <n v="38"/>
    <m/>
    <x v="9"/>
    <n v="24467"/>
    <x v="1"/>
    <s v="Gerencia de Seguridad, Salud en el Trabajo y Protección Ambiental Región Norte"/>
    <s v="SEGURIDAD EN CENTROS ADMINISTRACIONS (SCA)"/>
    <s v="PRESENCIAL"/>
    <n v="520213"/>
    <s v="Fernando Fabian Ludewig Melgarejo"/>
    <n v="8"/>
    <n v="1"/>
    <n v="5"/>
    <x v="148"/>
    <x v="61"/>
    <x v="6"/>
  </r>
  <r>
    <n v="39"/>
    <m/>
    <x v="9"/>
    <n v="24459"/>
    <x v="1"/>
    <s v="Gerencia de Seguridad, Salud en el Trabajo y Protección Ambiental Región Norte"/>
    <s v="RESPUESTA A EMERGENCIAS CON MATERIALES PELIGROSOS (REMP)"/>
    <s v="PRESENCIAL"/>
    <n v="520213"/>
    <s v="Fernando Fabian Ludewig Melgarejo"/>
    <n v="16"/>
    <n v="2"/>
    <n v="1"/>
    <x v="201"/>
    <x v="158"/>
    <x v="6"/>
  </r>
  <r>
    <n v="40"/>
    <m/>
    <x v="9"/>
    <n v="25509"/>
    <x v="1"/>
    <s v="Gerencia de Seguridad, Salud en el Trabajo y Protección Ambiental Región Norte"/>
    <s v="LIDERAZGO OPERATIVO PARA LA ADMINISTRACION DE RIESGOS"/>
    <s v="A DISTANCIA"/>
    <n v="374123"/>
    <s v="Gustavo Adolfo Miranda Rosas"/>
    <n v="32"/>
    <n v="4"/>
    <n v="5"/>
    <x v="150"/>
    <x v="101"/>
    <x v="8"/>
  </r>
  <r>
    <n v="1"/>
    <m/>
    <x v="18"/>
    <n v="25417"/>
    <x v="7"/>
    <s v="Gerencia de Mantenimiento, Confiabilidad y Construcción"/>
    <s v="BASICO DE SEGURIDAD (BS)"/>
    <s v="PRESENCIAL"/>
    <n v="536181"/>
    <s v="Alexander Julian Alcantara Santillan"/>
    <n v="16"/>
    <n v="2"/>
    <n v="15"/>
    <x v="202"/>
    <x v="232"/>
    <x v="11"/>
  </r>
  <r>
    <n v="2"/>
    <m/>
    <x v="18"/>
    <n v="24302"/>
    <x v="7"/>
    <s v="Activo de Producción Cinco Presidentes"/>
    <s v="MANEJO A LA DEFENSIVA (MD)"/>
    <s v="PRESENCIAL"/>
    <n v="266493"/>
    <s v="Antonio Oziel Almaguer Trevino"/>
    <n v="8"/>
    <n v="1"/>
    <n v="3"/>
    <x v="5"/>
    <x v="4"/>
    <x v="0"/>
  </r>
  <r>
    <n v="3"/>
    <m/>
    <x v="18"/>
    <n v="21888"/>
    <x v="7"/>
    <s v="Activo de Producción Cinco Presidentes"/>
    <s v="SISTEMA DE PERMISOS PARA TRABAJOS CON RIESGO (SPTR)"/>
    <s v="PRESENCIAL"/>
    <n v="510960"/>
    <s v="Roony Joanathan Quevedo Lopez"/>
    <n v="24"/>
    <n v="3"/>
    <n v="1"/>
    <x v="127"/>
    <x v="219"/>
    <x v="2"/>
  </r>
  <r>
    <n v="4"/>
    <m/>
    <x v="18"/>
    <n v="23582"/>
    <x v="7"/>
    <s v="Activo de Producción Cinco Presidentes"/>
    <s v="BRIGADAS CONTRAINCENDIOS (BCII)"/>
    <s v="PRESENCIAL"/>
    <n v="510960"/>
    <s v="Roony Joanathan Quevedo Lopez"/>
    <n v="24"/>
    <n v="3"/>
    <n v="8"/>
    <x v="161"/>
    <x v="218"/>
    <x v="2"/>
  </r>
  <r>
    <n v="5"/>
    <m/>
    <x v="18"/>
    <n v="21829"/>
    <x v="7"/>
    <s v="Activo de Producción Cinco Presidentes"/>
    <s v="RIG PASS"/>
    <s v="PRESENCIAL"/>
    <n v="529808"/>
    <s v="Cristian Arturo Martinez de la Rosa"/>
    <n v="16"/>
    <n v="2"/>
    <n v="1"/>
    <x v="18"/>
    <x v="177"/>
    <x v="2"/>
  </r>
  <r>
    <n v="6"/>
    <m/>
    <x v="18"/>
    <n v="23581"/>
    <x v="7"/>
    <s v="Activo de Producción Cinco Presidentes"/>
    <s v="BRIGADAS CONTRAINCENDIOS (BCII)"/>
    <s v="PRESENCIAL"/>
    <n v="510960"/>
    <s v="Roony Joanathan Quevedo Lopez"/>
    <n v="24"/>
    <n v="3"/>
    <n v="8"/>
    <x v="18"/>
    <x v="19"/>
    <x v="2"/>
  </r>
  <r>
    <n v="7"/>
    <m/>
    <x v="18"/>
    <n v="23580"/>
    <x v="7"/>
    <s v="Activo de Producción Cinco Presidentes"/>
    <s v="BRIGADAS CONTRAINCENDIOS (BCII)"/>
    <s v="PRESENCIAL"/>
    <n v="510960"/>
    <s v="Roony Joanathan Quevedo Lopez"/>
    <n v="24"/>
    <n v="3"/>
    <n v="8"/>
    <x v="176"/>
    <x v="233"/>
    <x v="2"/>
  </r>
  <r>
    <n v="8"/>
    <m/>
    <x v="18"/>
    <n v="25427"/>
    <x v="7"/>
    <s v="Gerencia de Mantenimiento, Confiabilidad y Construcción"/>
    <s v="BASICO DE SEGURIDAD (BS)"/>
    <s v="PRESENCIAL"/>
    <n v="536181"/>
    <s v="Alexander Julian Alcantara Santillan"/>
    <n v="16"/>
    <n v="2"/>
    <n v="15"/>
    <x v="203"/>
    <x v="194"/>
    <x v="2"/>
  </r>
  <r>
    <n v="9"/>
    <m/>
    <x v="18"/>
    <n v="25418"/>
    <x v="7"/>
    <s v="Gerencia de Mantenimiento, Confiabilidad y Construcción"/>
    <s v="BASICO DE SEGURIDAD (BS)"/>
    <s v="PRESENCIAL"/>
    <n v="536181"/>
    <s v="Alexander Julian Alcantara Santillan"/>
    <n v="16"/>
    <n v="2"/>
    <n v="15"/>
    <x v="128"/>
    <x v="20"/>
    <x v="2"/>
  </r>
  <r>
    <n v="11"/>
    <m/>
    <x v="18"/>
    <n v="25406"/>
    <x v="7"/>
    <s v="Gerencia de Mantenimiento, Confiabilidad y Construcción"/>
    <s v="BASICO DE SEGURIDAD (BS)"/>
    <s v="PRESENCIAL"/>
    <n v="536181"/>
    <s v="Alexander Julian Alcantara Santillan"/>
    <n v="16"/>
    <n v="2"/>
    <n v="15"/>
    <x v="131"/>
    <x v="135"/>
    <x v="3"/>
  </r>
  <r>
    <n v="13"/>
    <m/>
    <x v="18"/>
    <n v="25519"/>
    <x v="7"/>
    <s v="Gerencia de Mantenimiento, Confiabilidad y Construcción"/>
    <s v="DISCIPLINA OPERATIVA"/>
    <s v="PRESENCIAL"/>
    <n v="432705"/>
    <s v="Nora Edith Velarde Tovar"/>
    <n v="16"/>
    <n v="2"/>
    <n v="15"/>
    <x v="21"/>
    <x v="22"/>
    <x v="3"/>
  </r>
  <r>
    <n v="14"/>
    <m/>
    <x v="18"/>
    <n v="23409"/>
    <x v="7"/>
    <s v="Activo de Producción Cinco Presidentes"/>
    <s v="REVALIDACION BASICO DE SEGURIDAD (BS)"/>
    <s v="PRESENCIAL"/>
    <n v="510960"/>
    <s v="Roony Joanathan Quevedo Lopez"/>
    <n v="8"/>
    <n v="1"/>
    <n v="11"/>
    <x v="20"/>
    <x v="22"/>
    <x v="3"/>
  </r>
  <r>
    <n v="15"/>
    <m/>
    <x v="18"/>
    <n v="21872"/>
    <x v="7"/>
    <s v="Activo de Producción Cinco Presidentes"/>
    <s v="BASICO DE SEGURIDAD (BS)"/>
    <s v="PRESENCIAL"/>
    <n v="536181"/>
    <s v="Alexander Julian Alcantara Santillan"/>
    <n v="16"/>
    <n v="4"/>
    <n v="7"/>
    <x v="200"/>
    <x v="195"/>
    <x v="3"/>
  </r>
  <r>
    <n v="16"/>
    <m/>
    <x v="18"/>
    <n v="25520"/>
    <x v="7"/>
    <s v="Gerencia de Mantenimiento, Confiabilidad y Construcción"/>
    <s v="DISCIPLINA OPERATIVA"/>
    <s v="PRESENCIAL"/>
    <n v="432705"/>
    <s v="Nora Edith Velarde Tovar"/>
    <n v="16"/>
    <n v="2"/>
    <n v="15"/>
    <x v="23"/>
    <x v="196"/>
    <x v="3"/>
  </r>
  <r>
    <n v="17"/>
    <m/>
    <x v="18"/>
    <n v="23408"/>
    <x v="7"/>
    <s v="Activo de Producción Cinco Presidentes"/>
    <s v="REVALIDACION BASICO DE SEGURIDAD (BS)"/>
    <s v="PRESENCIAL"/>
    <n v="510960"/>
    <s v="Roony Joanathan Quevedo Lopez"/>
    <n v="8"/>
    <n v="1"/>
    <n v="10"/>
    <x v="178"/>
    <x v="196"/>
    <x v="3"/>
  </r>
  <r>
    <n v="18"/>
    <m/>
    <x v="18"/>
    <n v="23407"/>
    <x v="7"/>
    <s v="Activo de Producción Cinco Presidentes"/>
    <s v="REVALIDACION BASICO DE SEGURIDAD (BS)"/>
    <s v="PRESENCIAL"/>
    <n v="510960"/>
    <s v="Roony Joanathan Quevedo Lopez"/>
    <n v="8"/>
    <n v="1"/>
    <n v="10"/>
    <x v="132"/>
    <x v="223"/>
    <x v="3"/>
  </r>
  <r>
    <n v="19"/>
    <m/>
    <x v="18"/>
    <n v="23398"/>
    <x v="7"/>
    <s v="Activo de Producción Cinco Presidentes"/>
    <s v="REVALIDACION BASICO DE SEGURIDAD (BS)"/>
    <s v="PRESENCIAL"/>
    <n v="510960"/>
    <s v="Roony Joanathan Quevedo Lopez"/>
    <n v="8"/>
    <n v="1"/>
    <n v="10"/>
    <x v="24"/>
    <x v="24"/>
    <x v="3"/>
  </r>
  <r>
    <n v="20"/>
    <m/>
    <x v="18"/>
    <n v="25416"/>
    <x v="7"/>
    <s v="Gerencia de Mantenimiento, Confiabilidad y Construcción"/>
    <s v="BASICO DE SEGURIDAD (BS)"/>
    <s v="PRESENCIAL"/>
    <n v="536181"/>
    <s v="Alexander Julian Alcantara Santillan"/>
    <n v="16"/>
    <n v="2"/>
    <n v="15"/>
    <x v="24"/>
    <x v="25"/>
    <x v="3"/>
  </r>
  <r>
    <n v="21"/>
    <m/>
    <x v="18"/>
    <n v="23406"/>
    <x v="7"/>
    <s v="Activo de Producción Cinco Presidentes"/>
    <s v="REVALIDACION BASICO DE SEGURIDAD (BS)"/>
    <s v="PRESENCIAL"/>
    <n v="510960"/>
    <s v="Roony Joanathan Quevedo Lopez"/>
    <n v="8"/>
    <n v="1"/>
    <n v="10"/>
    <x v="25"/>
    <x v="25"/>
    <x v="3"/>
  </r>
  <r>
    <n v="22"/>
    <m/>
    <x v="18"/>
    <n v="23397"/>
    <x v="7"/>
    <s v="Activo de Producción Cinco Presidentes"/>
    <s v="REVALIDACION BASICO DE SEGURIDAD (BS)"/>
    <s v="PRESENCIAL"/>
    <n v="510960"/>
    <s v="Roony Joanathan Quevedo Lopez"/>
    <n v="8"/>
    <n v="1"/>
    <n v="10"/>
    <x v="133"/>
    <x v="197"/>
    <x v="3"/>
  </r>
  <r>
    <n v="23"/>
    <m/>
    <x v="18"/>
    <n v="25411"/>
    <x v="7"/>
    <s v="Gerencia de Mantenimiento, Confiabilidad y Construcción"/>
    <s v="BASICO DE SEGURIDAD (BS)"/>
    <s v="PRESENCIAL"/>
    <n v="536181"/>
    <s v="Alexander Julian Alcantara Santillan"/>
    <n v="16"/>
    <n v="2"/>
    <n v="15"/>
    <x v="133"/>
    <x v="26"/>
    <x v="3"/>
  </r>
  <r>
    <n v="24"/>
    <m/>
    <x v="18"/>
    <n v="23405"/>
    <x v="7"/>
    <s v="Activo de Producción Cinco Presidentes"/>
    <s v="REVALIDACION BASICO DE SEGURIDAD (BS)"/>
    <s v="PRESENCIAL"/>
    <n v="510960"/>
    <s v="Roony Joanathan Quevedo Lopez"/>
    <n v="8"/>
    <n v="1"/>
    <n v="10"/>
    <x v="26"/>
    <x v="26"/>
    <x v="3"/>
  </r>
  <r>
    <n v="25"/>
    <m/>
    <x v="18"/>
    <n v="23404"/>
    <x v="7"/>
    <s v="Activo de Producción Cinco Presidentes"/>
    <s v="REVALIDACION BASICO DE SEGURIDAD (BS)"/>
    <s v="PRESENCIAL"/>
    <n v="510960"/>
    <s v="Roony Joanathan Quevedo Lopez"/>
    <n v="8"/>
    <n v="1"/>
    <n v="10"/>
    <x v="27"/>
    <x v="28"/>
    <x v="3"/>
  </r>
  <r>
    <n v="26"/>
    <m/>
    <x v="18"/>
    <n v="23396"/>
    <x v="7"/>
    <s v="Activo de Producción Cinco Presidentes"/>
    <s v="REVALIDACION BASICO DE SEGURIDAD (BS)"/>
    <s v="PRESENCIAL"/>
    <n v="510960"/>
    <s v="Roony Joanathan Quevedo Lopez"/>
    <n v="8"/>
    <n v="1"/>
    <n v="10"/>
    <x v="204"/>
    <x v="204"/>
    <x v="3"/>
  </r>
  <r>
    <n v="27"/>
    <m/>
    <x v="18"/>
    <n v="23403"/>
    <x v="7"/>
    <s v="Activo de Producción Cinco Presidentes"/>
    <s v="REVALIDACION BASICO DE SEGURIDAD (BS)"/>
    <s v="PRESENCIAL"/>
    <n v="510960"/>
    <s v="Roony Joanathan Quevedo Lopez"/>
    <n v="8"/>
    <n v="1"/>
    <n v="10"/>
    <x v="29"/>
    <x v="136"/>
    <x v="3"/>
  </r>
  <r>
    <n v="28"/>
    <m/>
    <x v="18"/>
    <n v="23395"/>
    <x v="7"/>
    <s v="Activo de Producción Cinco Presidentes"/>
    <s v="REVALIDACION BASICO DE SEGURIDAD (BS)"/>
    <s v="PRESENCIAL"/>
    <n v="510960"/>
    <s v="Roony Joanathan Quevedo Lopez"/>
    <n v="8"/>
    <n v="1"/>
    <n v="10"/>
    <x v="30"/>
    <x v="205"/>
    <x v="3"/>
  </r>
  <r>
    <n v="30"/>
    <m/>
    <x v="18"/>
    <n v="23402"/>
    <x v="7"/>
    <s v="Activo de Producción Cinco Presidentes"/>
    <s v="REVALIDACION BASICO DE SEGURIDAD (BS)"/>
    <s v="PRESENCIAL"/>
    <n v="510960"/>
    <s v="Roony Joanathan Quevedo Lopez"/>
    <n v="8"/>
    <n v="1"/>
    <n v="10"/>
    <x v="205"/>
    <x v="29"/>
    <x v="3"/>
  </r>
  <r>
    <n v="31"/>
    <m/>
    <x v="18"/>
    <n v="23401"/>
    <x v="7"/>
    <s v="Activo de Producción Cinco Presidentes"/>
    <s v="REVALIDACION BASICO DE SEGURIDAD (BS)"/>
    <s v="PRESENCIAL"/>
    <n v="510960"/>
    <s v="Roony Joanathan Quevedo Lopez"/>
    <n v="8"/>
    <n v="1"/>
    <n v="10"/>
    <x v="163"/>
    <x v="234"/>
    <x v="3"/>
  </r>
  <r>
    <n v="32"/>
    <m/>
    <x v="18"/>
    <n v="23394"/>
    <x v="7"/>
    <s v="Activo de Producción Cinco Presidentes"/>
    <s v="REVALIDACION BASICO DE SEGURIDAD (BS)"/>
    <s v="PRESENCIAL"/>
    <n v="510960"/>
    <s v="Roony Joanathan Quevedo Lopez"/>
    <n v="8"/>
    <n v="1"/>
    <n v="10"/>
    <x v="31"/>
    <x v="229"/>
    <x v="4"/>
  </r>
  <r>
    <n v="33"/>
    <m/>
    <x v="18"/>
    <n v="23400"/>
    <x v="7"/>
    <s v="Activo de Producción Cinco Presidentes"/>
    <s v="REVALIDACION BASICO DE SEGURIDAD (BS)"/>
    <s v="PRESENCIAL"/>
    <n v="510960"/>
    <s v="Roony Joanathan Quevedo Lopez"/>
    <n v="8"/>
    <n v="1"/>
    <n v="10"/>
    <x v="32"/>
    <x v="137"/>
    <x v="4"/>
  </r>
  <r>
    <n v="36"/>
    <m/>
    <x v="18"/>
    <n v="23399"/>
    <x v="7"/>
    <s v="Activo de Producción Cinco Presidentes"/>
    <s v="REVALIDACION BASICO DE SEGURIDAD (BS)"/>
    <s v="PRESENCIAL"/>
    <n v="510960"/>
    <s v="Roony Joanathan Quevedo Lopez"/>
    <n v="8"/>
    <n v="1"/>
    <n v="10"/>
    <x v="164"/>
    <x v="138"/>
    <x v="4"/>
  </r>
  <r>
    <n v="37"/>
    <m/>
    <x v="18"/>
    <n v="23392"/>
    <x v="7"/>
    <s v="Activo de Producción Cinco Presidentes"/>
    <s v="REVALIDACION BASICO DE SEGURIDAD (BS)"/>
    <s v="PRESENCIAL"/>
    <n v="510960"/>
    <s v="Roony Joanathan Quevedo Lopez"/>
    <n v="8"/>
    <n v="1"/>
    <n v="10"/>
    <x v="136"/>
    <x v="140"/>
    <x v="4"/>
  </r>
  <r>
    <n v="38"/>
    <m/>
    <x v="18"/>
    <n v="23391"/>
    <x v="7"/>
    <s v="Activo de Producción Cinco Presidentes"/>
    <s v="REVALIDACION BASICO DE SEGURIDAD (BS)"/>
    <s v="PRESENCIAL"/>
    <n v="510960"/>
    <s v="Roony Joanathan Quevedo Lopez"/>
    <n v="8"/>
    <n v="1"/>
    <n v="10"/>
    <x v="33"/>
    <x v="141"/>
    <x v="4"/>
  </r>
  <r>
    <n v="39"/>
    <m/>
    <x v="18"/>
    <n v="23390"/>
    <x v="7"/>
    <s v="Activo de Producción Cinco Presidentes"/>
    <s v="REVALIDACION BASICO DE SEGURIDAD (BS)"/>
    <s v="PRESENCIAL"/>
    <n v="510960"/>
    <s v="Roony Joanathan Quevedo Lopez"/>
    <n v="8"/>
    <n v="1"/>
    <n v="10"/>
    <x v="34"/>
    <x v="142"/>
    <x v="4"/>
  </r>
  <r>
    <n v="41"/>
    <m/>
    <x v="18"/>
    <n v="23388"/>
    <x v="7"/>
    <s v="Activo de Producción Cinco Presidentes"/>
    <s v="REVALIDACION BASICO DE SEGURIDAD (BS)"/>
    <s v="PRESENCIAL"/>
    <n v="510960"/>
    <s v="Roony Joanathan Quevedo Lopez"/>
    <n v="8"/>
    <n v="1"/>
    <n v="10"/>
    <x v="206"/>
    <x v="143"/>
    <x v="4"/>
  </r>
  <r>
    <n v="43"/>
    <m/>
    <x v="18"/>
    <n v="23387"/>
    <x v="7"/>
    <s v="Activo de Producción Cinco Presidentes"/>
    <s v="REVALIDACION BASICO DE SEGURIDAD (BS)"/>
    <s v="PRESENCIAL"/>
    <n v="510960"/>
    <s v="Roony Joanathan Quevedo Lopez"/>
    <n v="8"/>
    <n v="1"/>
    <n v="10"/>
    <x v="137"/>
    <x v="235"/>
    <x v="4"/>
  </r>
  <r>
    <n v="44"/>
    <m/>
    <x v="18"/>
    <n v="23386"/>
    <x v="7"/>
    <s v="Activo de Producción Cinco Presidentes"/>
    <s v="REVALIDACION BASICO DE SEGURIDAD (BS)"/>
    <s v="PRESENCIAL"/>
    <n v="510960"/>
    <s v="Roony Joanathan Quevedo Lopez"/>
    <n v="8"/>
    <n v="1"/>
    <n v="10"/>
    <x v="207"/>
    <x v="144"/>
    <x v="4"/>
  </r>
  <r>
    <n v="46"/>
    <m/>
    <x v="18"/>
    <n v="23384"/>
    <x v="7"/>
    <s v="Activo de Producción Cinco Presidentes"/>
    <s v="REVALIDACION BASICO DE SEGURIDAD (BS)"/>
    <s v="PRESENCIAL"/>
    <n v="510960"/>
    <s v="Roony Joanathan Quevedo Lopez"/>
    <n v="8"/>
    <n v="1"/>
    <n v="10"/>
    <x v="36"/>
    <x v="146"/>
    <x v="4"/>
  </r>
  <r>
    <n v="47"/>
    <m/>
    <x v="18"/>
    <n v="23383"/>
    <x v="7"/>
    <s v="Activo de Producción Cinco Presidentes"/>
    <s v="REVALIDACION BASICO DE SEGURIDAD (BS)"/>
    <s v="PRESENCIAL"/>
    <n v="510960"/>
    <s v="Roony Joanathan Quevedo Lopez"/>
    <n v="8"/>
    <n v="1"/>
    <n v="10"/>
    <x v="138"/>
    <x v="147"/>
    <x v="4"/>
  </r>
  <r>
    <n v="48"/>
    <m/>
    <x v="18"/>
    <n v="23382"/>
    <x v="7"/>
    <s v="Activo de Producción Cinco Presidentes"/>
    <s v="REVALIDACION BASICO DE SEGURIDAD (BS)"/>
    <s v="PRESENCIAL"/>
    <n v="510960"/>
    <s v="Roony Joanathan Quevedo Lopez"/>
    <n v="8"/>
    <n v="1"/>
    <n v="10"/>
    <x v="38"/>
    <x v="39"/>
    <x v="4"/>
  </r>
  <r>
    <n v="90"/>
    <m/>
    <x v="18"/>
    <n v="25391"/>
    <x v="7"/>
    <s v="Gerencia de Mantenimiento, Confiabilidad y Construcción"/>
    <s v="LIDERAZGO EN SSPA"/>
    <s v="PRESENCIAL"/>
    <n v="560514"/>
    <s v="ESPERANZA LILIANA ALATORRE GERONIMO"/>
    <n v="16"/>
    <n v="2"/>
    <n v="15"/>
    <x v="77"/>
    <x v="80"/>
    <x v="7"/>
  </r>
  <r>
    <n v="109"/>
    <m/>
    <x v="18"/>
    <n v="21889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208"/>
    <x v="236"/>
    <x v="10"/>
  </r>
  <r>
    <n v="40"/>
    <m/>
    <x v="18"/>
    <n v="23389"/>
    <x v="7"/>
    <s v="Activo de Producción Cinco Presidentes"/>
    <s v="REVALIDACION BASICO DE SEGURIDAD (BS)"/>
    <s v="PRESENCIAL"/>
    <n v="510960"/>
    <s v="Roony Joanathan Quevedo Lopez"/>
    <n v="8"/>
    <n v="1"/>
    <n v="10"/>
    <x v="35"/>
    <x v="237"/>
    <x v="4"/>
  </r>
  <r>
    <n v="10"/>
    <m/>
    <x v="18"/>
    <n v="23579"/>
    <x v="7"/>
    <s v="Activo de Producción Cinco Presidentes"/>
    <s v="BRIGADAS CONTRAINCENDIOS (BCII)"/>
    <s v="PRESENCIAL"/>
    <n v="510960"/>
    <s v="Roony Joanathan Quevedo Lopez"/>
    <n v="24"/>
    <n v="3"/>
    <n v="8"/>
    <x v="130"/>
    <x v="238"/>
    <x v="3"/>
  </r>
  <r>
    <n v="12"/>
    <m/>
    <x v="18"/>
    <n v="23410"/>
    <x v="7"/>
    <s v="Activo de Producción Cinco Presidentes"/>
    <s v="REVALIDACION BASICO DE SEGURIDAD (BS)"/>
    <s v="PRESENCIAL"/>
    <n v="510960"/>
    <s v="Roony Joanathan Quevedo Lopez"/>
    <n v="8"/>
    <n v="1"/>
    <n v="11"/>
    <x v="200"/>
    <x v="239"/>
    <x v="3"/>
  </r>
  <r>
    <n v="29"/>
    <m/>
    <x v="18"/>
    <n v="25410"/>
    <x v="7"/>
    <s v="Gerencia de Mantenimiento, Confiabilidad y Construcción"/>
    <s v="BASICO DE SEGURIDAD (BS)"/>
    <s v="PRESENCIAL"/>
    <n v="536181"/>
    <s v="Alexander Julian Alcantara Santillan"/>
    <n v="16"/>
    <n v="2"/>
    <n v="15"/>
    <x v="30"/>
    <x v="29"/>
    <x v="3"/>
  </r>
  <r>
    <n v="34"/>
    <m/>
    <x v="18"/>
    <n v="23393"/>
    <x v="7"/>
    <s v="Activo de Producción Cinco Presidentes"/>
    <s v="REVALIDACION BASICO DE SEGURIDAD (BS)"/>
    <s v="PRESENCIAL"/>
    <n v="510960"/>
    <s v="Roony Joanathan Quevedo Lopez"/>
    <n v="8"/>
    <n v="1"/>
    <n v="10"/>
    <x v="134"/>
    <x v="206"/>
    <x v="4"/>
  </r>
  <r>
    <n v="35"/>
    <m/>
    <x v="18"/>
    <n v="25408"/>
    <x v="7"/>
    <s v="Gerencia de Mantenimiento, Confiabilidad y Construcción"/>
    <s v="BASICO DE SEGURIDAD (BS)"/>
    <s v="PRESENCIAL"/>
    <n v="536181"/>
    <s v="Alexander Julian Alcantara Santillan"/>
    <n v="16"/>
    <n v="2"/>
    <n v="15"/>
    <x v="134"/>
    <x v="138"/>
    <x v="4"/>
  </r>
  <r>
    <n v="42"/>
    <m/>
    <x v="18"/>
    <n v="21765"/>
    <x v="1"/>
    <s v="Gerencia de Seguridad, Salud en el Trabajo y Protección Ambiental Región Sur"/>
    <s v="BRIGADAS CONTRAINCENDIOS (BCII)"/>
    <s v="PRESENCIAL"/>
    <n v="213374"/>
    <s v="Ignacio Cessa Lopez"/>
    <n v="24"/>
    <n v="3"/>
    <n v="5"/>
    <x v="34"/>
    <x v="143"/>
    <x v="4"/>
  </r>
  <r>
    <n v="45"/>
    <m/>
    <x v="18"/>
    <n v="23385"/>
    <x v="7"/>
    <s v="Activo de Producción Cinco Presidentes"/>
    <s v="REVALIDACION BASICO DE SEGURIDAD (BS)"/>
    <s v="PRESENCIAL"/>
    <n v="510960"/>
    <s v="Roony Joanathan Quevedo Lopez"/>
    <n v="8"/>
    <n v="1"/>
    <n v="10"/>
    <x v="37"/>
    <x v="145"/>
    <x v="4"/>
  </r>
  <r>
    <n v="49"/>
    <m/>
    <x v="18"/>
    <n v="25430"/>
    <x v="7"/>
    <s v="Gerencia de Mantenimiento, Confiabilidad y Construcción"/>
    <s v="MANEJO A LA DEFENSIVA (MD)"/>
    <s v="PRESENCIAL"/>
    <n v="510960"/>
    <s v="Roony Joanathan Quevedo Lopez"/>
    <n v="8"/>
    <n v="1"/>
    <n v="15"/>
    <x v="142"/>
    <x v="182"/>
    <x v="5"/>
  </r>
  <r>
    <n v="50"/>
    <m/>
    <x v="18"/>
    <n v="25431"/>
    <x v="7"/>
    <s v="Gerencia de Mantenimiento, Confiabilidad y Construcción"/>
    <s v="MANEJO A LA DEFENSIVA (MD)"/>
    <s v="PRESENCIAL"/>
    <n v="510960"/>
    <s v="Roony Joanathan Quevedo Lopez"/>
    <n v="8"/>
    <n v="1"/>
    <n v="15"/>
    <x v="166"/>
    <x v="153"/>
    <x v="5"/>
  </r>
  <r>
    <n v="51"/>
    <m/>
    <x v="18"/>
    <n v="25651"/>
    <x v="7"/>
    <s v="Gerencia de Mantenimiento, Confiabilidad y Construcción"/>
    <s v="SISTEMA DE PERMISOS PARA TRABAJOS CON RIESGO (SPTR)"/>
    <s v="PRESENCIAL"/>
    <n v="510960"/>
    <s v="Roony Joanathan Quevedo Lopez"/>
    <n v="24"/>
    <n v="3"/>
    <n v="15"/>
    <x v="45"/>
    <x v="44"/>
    <x v="5"/>
  </r>
  <r>
    <n v="52"/>
    <m/>
    <x v="18"/>
    <n v="25432"/>
    <x v="7"/>
    <s v="Gerencia de Mantenimiento, Confiabilidad y Construcción"/>
    <s v="MANEJO A LA DEFENSIVA (MD)"/>
    <s v="PRESENCIAL"/>
    <n v="510960"/>
    <s v="Roony Joanathan Quevedo Lopez"/>
    <n v="8"/>
    <n v="1"/>
    <n v="15"/>
    <x v="46"/>
    <x v="46"/>
    <x v="5"/>
  </r>
  <r>
    <n v="53"/>
    <m/>
    <x v="18"/>
    <n v="25435"/>
    <x v="7"/>
    <s v="Gerencia de Mantenimiento, Confiabilidad y Construcción"/>
    <s v="MANEJO A LA DEFENSIVA (MD)"/>
    <s v="PRESENCIAL"/>
    <n v="510960"/>
    <s v="Roony Joanathan Quevedo Lopez"/>
    <n v="8"/>
    <n v="1"/>
    <n v="15"/>
    <x v="183"/>
    <x v="155"/>
    <x v="5"/>
  </r>
  <r>
    <n v="54"/>
    <m/>
    <x v="18"/>
    <n v="25652"/>
    <x v="7"/>
    <s v="Gerencia de Mantenimiento, Confiabilidad y Construcción"/>
    <s v="SISTEMA DE PERMISOS PARA TRABAJOS CON RIESGO (SPTR)"/>
    <s v="PRESENCIAL"/>
    <n v="510960"/>
    <s v="Roony Joanathan Quevedo Lopez"/>
    <n v="24"/>
    <n v="3"/>
    <n v="15"/>
    <x v="48"/>
    <x v="48"/>
    <x v="5"/>
  </r>
  <r>
    <n v="55"/>
    <m/>
    <x v="18"/>
    <n v="25434"/>
    <x v="7"/>
    <s v="Gerencia de Mantenimiento, Confiabilidad y Construcción"/>
    <s v="MANEJO A LA DEFENSIVA (MD)"/>
    <s v="PRESENCIAL"/>
    <n v="510960"/>
    <s v="Roony Joanathan Quevedo Lopez"/>
    <n v="8"/>
    <n v="1"/>
    <n v="15"/>
    <x v="168"/>
    <x v="183"/>
    <x v="5"/>
  </r>
  <r>
    <n v="56"/>
    <m/>
    <x v="18"/>
    <n v="25653"/>
    <x v="7"/>
    <s v="Gerencia de Mantenimiento, Confiabilidad y Construcción"/>
    <s v="SISTEMA DE PERMISOS PARA TRABAJOS CON RIESGO (SPTR)"/>
    <s v="PRESENCIAL"/>
    <n v="510960"/>
    <s v="Roony Joanathan Quevedo Lopez"/>
    <n v="24"/>
    <n v="3"/>
    <n v="15"/>
    <x v="50"/>
    <x v="240"/>
    <x v="5"/>
  </r>
  <r>
    <n v="57"/>
    <m/>
    <x v="18"/>
    <n v="23072"/>
    <x v="7"/>
    <s v="Activo de Producción Cinco Presidentes"/>
    <s v="ACIDO SULFHIDRICO (H2S)"/>
    <s v="PRESENCIAL"/>
    <n v="510960"/>
    <s v="Roony Joanathan Quevedo Lopez"/>
    <n v="8"/>
    <n v="1"/>
    <n v="7"/>
    <x v="52"/>
    <x v="156"/>
    <x v="5"/>
  </r>
  <r>
    <n v="58"/>
    <m/>
    <x v="18"/>
    <n v="23071"/>
    <x v="7"/>
    <s v="Activo de Producción Cinco Presidentes"/>
    <s v="ACIDO SULFHIDRICO (H2S)"/>
    <s v="PRESENCIAL"/>
    <n v="510960"/>
    <s v="Roony Joanathan Quevedo Lopez"/>
    <n v="8"/>
    <n v="1"/>
    <n v="9"/>
    <x v="53"/>
    <x v="52"/>
    <x v="5"/>
  </r>
  <r>
    <n v="59"/>
    <m/>
    <x v="18"/>
    <n v="23070"/>
    <x v="7"/>
    <s v="Activo de Producción Cinco Presidentes"/>
    <s v="ACIDO SULFHIDRICO (H2S)"/>
    <s v="PRESENCIAL"/>
    <n v="510960"/>
    <s v="Roony Joanathan Quevedo Lopez"/>
    <n v="8"/>
    <n v="1"/>
    <n v="10"/>
    <x v="145"/>
    <x v="53"/>
    <x v="5"/>
  </r>
  <r>
    <n v="60"/>
    <m/>
    <x v="18"/>
    <n v="23069"/>
    <x v="7"/>
    <s v="Activo de Producción Cinco Presidentes"/>
    <s v="ACIDO SULFHIDRICO (H2S)"/>
    <s v="PRESENCIAL"/>
    <n v="510960"/>
    <s v="Roony Joanathan Quevedo Lopez"/>
    <n v="8"/>
    <n v="1"/>
    <n v="10"/>
    <x v="209"/>
    <x v="184"/>
    <x v="5"/>
  </r>
  <r>
    <n v="61"/>
    <m/>
    <x v="18"/>
    <n v="23068"/>
    <x v="7"/>
    <s v="Activo de Producción Cinco Presidentes"/>
    <s v="ACIDO SULFHIDRICO (H2S)"/>
    <s v="PRESENCIAL"/>
    <n v="510960"/>
    <s v="Roony Joanathan Quevedo Lopez"/>
    <n v="8"/>
    <n v="1"/>
    <n v="10"/>
    <x v="54"/>
    <x v="157"/>
    <x v="6"/>
  </r>
  <r>
    <n v="62"/>
    <m/>
    <x v="18"/>
    <n v="23067"/>
    <x v="7"/>
    <s v="Activo de Producción Cinco Presidentes"/>
    <s v="ACIDO SULFHIDRICO (H2S)"/>
    <s v="PRESENCIAL"/>
    <n v="510960"/>
    <s v="Roony Joanathan Quevedo Lopez"/>
    <n v="8"/>
    <n v="1"/>
    <n v="10"/>
    <x v="55"/>
    <x v="54"/>
    <x v="6"/>
  </r>
  <r>
    <n v="63"/>
    <m/>
    <x v="18"/>
    <n v="23066"/>
    <x v="7"/>
    <s v="Activo de Producción Cinco Presidentes"/>
    <s v="ACIDO SULFHIDRICO (H2S)"/>
    <s v="PRESENCIAL"/>
    <n v="510960"/>
    <s v="Roony Joanathan Quevedo Lopez"/>
    <n v="8"/>
    <n v="1"/>
    <n v="10"/>
    <x v="146"/>
    <x v="55"/>
    <x v="6"/>
  </r>
  <r>
    <n v="64"/>
    <m/>
    <x v="18"/>
    <n v="23065"/>
    <x v="7"/>
    <s v="Activo de Producción Cinco Presidentes"/>
    <s v="ACIDO SULFHIDRICO (H2S)"/>
    <s v="PRESENCIAL"/>
    <n v="510960"/>
    <s v="Roony Joanathan Quevedo Lopez"/>
    <n v="8"/>
    <n v="1"/>
    <n v="10"/>
    <x v="147"/>
    <x v="56"/>
    <x v="6"/>
  </r>
  <r>
    <n v="65"/>
    <m/>
    <x v="18"/>
    <n v="23064"/>
    <x v="7"/>
    <s v="Activo de Producción Cinco Presidentes"/>
    <s v="ACIDO SULFHIDRICO (H2S)"/>
    <s v="PRESENCIAL"/>
    <n v="510960"/>
    <s v="Roony Joanathan Quevedo Lopez"/>
    <n v="8"/>
    <n v="1"/>
    <n v="10"/>
    <x v="56"/>
    <x v="57"/>
    <x v="6"/>
  </r>
  <r>
    <n v="66"/>
    <m/>
    <x v="18"/>
    <n v="23063"/>
    <x v="7"/>
    <s v="Activo de Producción Cinco Presidentes"/>
    <s v="ACIDO SULFHIDRICO (H2S)"/>
    <s v="PRESENCIAL"/>
    <n v="510960"/>
    <s v="Roony Joanathan Quevedo Lopez"/>
    <n v="8"/>
    <n v="1"/>
    <n v="10"/>
    <x v="57"/>
    <x v="59"/>
    <x v="6"/>
  </r>
  <r>
    <n v="67"/>
    <m/>
    <x v="18"/>
    <n v="23062"/>
    <x v="7"/>
    <s v="Activo de Producción Cinco Presidentes"/>
    <s v="ACIDO SULFHIDRICO (H2S)"/>
    <s v="PRESENCIAL"/>
    <n v="510960"/>
    <s v="Roony Joanathan Quevedo Lopez"/>
    <n v="8"/>
    <n v="1"/>
    <n v="10"/>
    <x v="169"/>
    <x v="60"/>
    <x v="6"/>
  </r>
  <r>
    <n v="68"/>
    <m/>
    <x v="18"/>
    <n v="23061"/>
    <x v="7"/>
    <s v="Activo de Producción Cinco Presidentes"/>
    <s v="ACIDO SULFHIDRICO (H2S)"/>
    <s v="PRESENCIAL"/>
    <n v="510960"/>
    <s v="Roony Joanathan Quevedo Lopez"/>
    <n v="8"/>
    <n v="1"/>
    <n v="10"/>
    <x v="58"/>
    <x v="231"/>
    <x v="6"/>
  </r>
  <r>
    <n v="69"/>
    <m/>
    <x v="18"/>
    <n v="23060"/>
    <x v="7"/>
    <s v="Activo de Producción Cinco Presidentes"/>
    <s v="ACIDO SULFHIDRICO (H2S)"/>
    <s v="PRESENCIAL"/>
    <n v="510960"/>
    <s v="Roony Joanathan Quevedo Lopez"/>
    <n v="8"/>
    <n v="1"/>
    <n v="10"/>
    <x v="148"/>
    <x v="61"/>
    <x v="6"/>
  </r>
  <r>
    <n v="70"/>
    <m/>
    <x v="18"/>
    <n v="23059"/>
    <x v="7"/>
    <s v="Activo de Producción Cinco Presidentes"/>
    <s v="ACIDO SULFHIDRICO (H2S)"/>
    <s v="PRESENCIAL"/>
    <n v="510960"/>
    <s v="Roony Joanathan Quevedo Lopez"/>
    <n v="8"/>
    <n v="1"/>
    <n v="10"/>
    <x v="201"/>
    <x v="241"/>
    <x v="6"/>
  </r>
  <r>
    <n v="71"/>
    <m/>
    <x v="18"/>
    <n v="23058"/>
    <x v="7"/>
    <s v="Activo de Producción Cinco Presidentes"/>
    <s v="ACIDO SULFHIDRICO (H2S)"/>
    <s v="PRESENCIAL"/>
    <n v="510960"/>
    <s v="Roony Joanathan Quevedo Lopez"/>
    <n v="8"/>
    <n v="1"/>
    <n v="10"/>
    <x v="59"/>
    <x v="185"/>
    <x v="6"/>
  </r>
  <r>
    <n v="72"/>
    <m/>
    <x v="18"/>
    <n v="23057"/>
    <x v="7"/>
    <s v="Activo de Producción Cinco Presidentes"/>
    <s v="ACIDO SULFHIDRICO (H2S)"/>
    <s v="PRESENCIAL"/>
    <n v="510960"/>
    <s v="Roony Joanathan Quevedo Lopez"/>
    <n v="8"/>
    <n v="1"/>
    <n v="10"/>
    <x v="195"/>
    <x v="62"/>
    <x v="6"/>
  </r>
  <r>
    <n v="73"/>
    <m/>
    <x v="18"/>
    <n v="23056"/>
    <x v="7"/>
    <s v="Activo de Producción Cinco Presidentes"/>
    <s v="ACIDO SULFHIDRICO (H2S)"/>
    <s v="PRESENCIAL"/>
    <n v="510960"/>
    <s v="Roony Joanathan Quevedo Lopez"/>
    <n v="8"/>
    <n v="1"/>
    <n v="10"/>
    <x v="60"/>
    <x v="159"/>
    <x v="6"/>
  </r>
  <r>
    <n v="74"/>
    <m/>
    <x v="18"/>
    <n v="23055"/>
    <x v="7"/>
    <s v="Activo de Producción Cinco Presidentes"/>
    <s v="ACIDO SULFHIDRICO (H2S)"/>
    <s v="PRESENCIAL"/>
    <n v="510960"/>
    <s v="Roony Joanathan Quevedo Lopez"/>
    <n v="8"/>
    <n v="1"/>
    <n v="10"/>
    <x v="61"/>
    <x v="63"/>
    <x v="6"/>
  </r>
  <r>
    <n v="75"/>
    <m/>
    <x v="18"/>
    <n v="23054"/>
    <x v="7"/>
    <s v="Activo de Producción Cinco Presidentes"/>
    <s v="ACIDO SULFHIDRICO (H2S)"/>
    <s v="PRESENCIAL"/>
    <n v="510960"/>
    <s v="Roony Joanathan Quevedo Lopez"/>
    <n v="8"/>
    <n v="1"/>
    <n v="10"/>
    <x v="62"/>
    <x v="64"/>
    <x v="6"/>
  </r>
  <r>
    <n v="76"/>
    <m/>
    <x v="18"/>
    <n v="23053"/>
    <x v="7"/>
    <s v="Activo de Producción Cinco Presidentes"/>
    <s v="ACIDO SULFHIDRICO (H2S)"/>
    <s v="PRESENCIAL"/>
    <n v="510960"/>
    <s v="Roony Joanathan Quevedo Lopez"/>
    <n v="8"/>
    <n v="1"/>
    <n v="10"/>
    <x v="63"/>
    <x v="66"/>
    <x v="6"/>
  </r>
  <r>
    <n v="77"/>
    <m/>
    <x v="18"/>
    <n v="23052"/>
    <x v="7"/>
    <s v="Activo de Producción Cinco Presidentes"/>
    <s v="ACIDO SULFHIDRICO (H2S)"/>
    <s v="PRESENCIAL"/>
    <n v="510960"/>
    <s v="Roony Joanathan Quevedo Lopez"/>
    <n v="8"/>
    <n v="1"/>
    <n v="10"/>
    <x v="64"/>
    <x v="67"/>
    <x v="6"/>
  </r>
  <r>
    <n v="78"/>
    <m/>
    <x v="18"/>
    <n v="23051"/>
    <x v="7"/>
    <s v="Activo de Producción Cinco Presidentes"/>
    <s v="ACIDO SULFHIDRICO (H2S)"/>
    <s v="PRESENCIAL"/>
    <n v="510960"/>
    <s v="Roony Joanathan Quevedo Lopez"/>
    <n v="8"/>
    <n v="1"/>
    <n v="10"/>
    <x v="65"/>
    <x v="68"/>
    <x v="6"/>
  </r>
  <r>
    <n v="79"/>
    <m/>
    <x v="18"/>
    <n v="23050"/>
    <x v="7"/>
    <s v="Activo de Producción Cinco Presidentes"/>
    <s v="ACIDO SULFHIDRICO (H2S)"/>
    <s v="PRESENCIAL"/>
    <n v="510960"/>
    <s v="Roony Joanathan Quevedo Lopez"/>
    <n v="8"/>
    <n v="1"/>
    <n v="10"/>
    <x v="196"/>
    <x v="69"/>
    <x v="6"/>
  </r>
  <r>
    <n v="80"/>
    <m/>
    <x v="18"/>
    <n v="23049"/>
    <x v="7"/>
    <s v="Activo de Producción Cinco Presidentes"/>
    <s v="ACIDO SULFHIDRICO (H2S)"/>
    <s v="PRESENCIAL"/>
    <n v="510960"/>
    <s v="Roony Joanathan Quevedo Lopez"/>
    <n v="8"/>
    <n v="1"/>
    <n v="10"/>
    <x v="66"/>
    <x v="70"/>
    <x v="6"/>
  </r>
  <r>
    <n v="81"/>
    <m/>
    <x v="18"/>
    <n v="23048"/>
    <x v="7"/>
    <s v="Activo de Producción Cinco Presidentes"/>
    <s v="ACIDO SULFHIDRICO (H2S)"/>
    <s v="PRESENCIAL"/>
    <n v="510960"/>
    <s v="Roony Joanathan Quevedo Lopez"/>
    <n v="8"/>
    <n v="1"/>
    <n v="10"/>
    <x v="67"/>
    <x v="71"/>
    <x v="6"/>
  </r>
  <r>
    <n v="82"/>
    <m/>
    <x v="18"/>
    <n v="23047"/>
    <x v="7"/>
    <s v="Activo de Producción Cinco Presidentes"/>
    <s v="ACIDO SULFHIDRICO (H2S)"/>
    <s v="PRESENCIAL"/>
    <n v="510960"/>
    <s v="Roony Joanathan Quevedo Lopez"/>
    <n v="8"/>
    <n v="1"/>
    <n v="10"/>
    <x v="68"/>
    <x v="242"/>
    <x v="6"/>
  </r>
  <r>
    <n v="83"/>
    <m/>
    <x v="18"/>
    <n v="23046"/>
    <x v="7"/>
    <s v="Activo de Producción Cinco Presidentes"/>
    <s v="ACIDO SULFHIDRICO (H2S)"/>
    <s v="PRESENCIAL"/>
    <n v="510960"/>
    <s v="Roony Joanathan Quevedo Lopez"/>
    <n v="8"/>
    <n v="1"/>
    <n v="10"/>
    <x v="70"/>
    <x v="72"/>
    <x v="7"/>
  </r>
  <r>
    <n v="84"/>
    <m/>
    <x v="18"/>
    <n v="23045"/>
    <x v="7"/>
    <s v="Activo de Producción Cinco Presidentes"/>
    <s v="ACIDO SULFHIDRICO (H2S)"/>
    <s v="PRESENCIAL"/>
    <n v="510960"/>
    <s v="Roony Joanathan Quevedo Lopez"/>
    <n v="8"/>
    <n v="1"/>
    <n v="10"/>
    <x v="69"/>
    <x v="73"/>
    <x v="7"/>
  </r>
  <r>
    <n v="85"/>
    <m/>
    <x v="18"/>
    <n v="23044"/>
    <x v="7"/>
    <s v="Activo de Producción Cinco Presidentes"/>
    <s v="ACIDO SULFHIDRICO (H2S)"/>
    <s v="PRESENCIAL"/>
    <n v="510960"/>
    <s v="Roony Joanathan Quevedo Lopez"/>
    <n v="8"/>
    <n v="1"/>
    <n v="10"/>
    <x v="71"/>
    <x v="74"/>
    <x v="7"/>
  </r>
  <r>
    <n v="86"/>
    <m/>
    <x v="18"/>
    <n v="23043"/>
    <x v="7"/>
    <s v="Activo de Producción Cinco Presidentes"/>
    <s v="ACIDO SULFHIDRICO (H2S)"/>
    <s v="PRESENCIAL"/>
    <n v="510960"/>
    <s v="Roony Joanathan Quevedo Lopez"/>
    <n v="8"/>
    <n v="1"/>
    <n v="10"/>
    <x v="72"/>
    <x v="77"/>
    <x v="7"/>
  </r>
  <r>
    <n v="87"/>
    <m/>
    <x v="18"/>
    <n v="23042"/>
    <x v="7"/>
    <s v="Activo de Producción Cinco Presidentes"/>
    <s v="ACIDO SULFHIDRICO (H2S)"/>
    <s v="PRESENCIAL"/>
    <n v="510960"/>
    <s v="Roony Joanathan Quevedo Lopez"/>
    <n v="8"/>
    <n v="1"/>
    <n v="10"/>
    <x v="75"/>
    <x v="161"/>
    <x v="7"/>
  </r>
  <r>
    <n v="88"/>
    <m/>
    <x v="18"/>
    <n v="23041"/>
    <x v="7"/>
    <s v="Activo de Producción Cinco Presidentes"/>
    <s v="ACIDO SULFHIDRICO (H2S)"/>
    <s v="PRESENCIAL"/>
    <n v="510960"/>
    <s v="Roony Joanathan Quevedo Lopez"/>
    <n v="8"/>
    <n v="1"/>
    <n v="10"/>
    <x v="74"/>
    <x v="78"/>
    <x v="7"/>
  </r>
  <r>
    <n v="89"/>
    <m/>
    <x v="18"/>
    <n v="23040"/>
    <x v="7"/>
    <s v="Activo de Producción Cinco Presidentes"/>
    <s v="ACIDO SULFHIDRICO (H2S)"/>
    <s v="PRESENCIAL"/>
    <n v="510960"/>
    <s v="Roony Joanathan Quevedo Lopez"/>
    <n v="8"/>
    <n v="1"/>
    <n v="10"/>
    <x v="77"/>
    <x v="79"/>
    <x v="7"/>
  </r>
  <r>
    <n v="91"/>
    <m/>
    <x v="18"/>
    <n v="21902"/>
    <x v="7"/>
    <s v="Activo de Producción Cinco Presidentes"/>
    <s v="SISTEMA DE PERMISOS PARA TRABAJOS CON RIESGO (SPTR)"/>
    <s v="PRESENCIAL"/>
    <n v="510960"/>
    <s v="Roony Joanathan Quevedo Lopez"/>
    <n v="24"/>
    <n v="3"/>
    <n v="5"/>
    <x v="78"/>
    <x v="84"/>
    <x v="7"/>
  </r>
  <r>
    <n v="92"/>
    <m/>
    <x v="18"/>
    <n v="21876"/>
    <x v="7"/>
    <s v="Activo de Producción Cinco Presidentes"/>
    <s v="BASICO DE SEGURIDAD (BS)"/>
    <s v="PRESENCIAL"/>
    <n v="510960"/>
    <s v="Roony Joanathan Quevedo Lopez"/>
    <n v="16"/>
    <n v="2"/>
    <n v="17"/>
    <x v="81"/>
    <x v="85"/>
    <x v="7"/>
  </r>
  <r>
    <n v="93"/>
    <m/>
    <x v="18"/>
    <n v="21901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170"/>
    <x v="86"/>
    <x v="7"/>
  </r>
  <r>
    <n v="94"/>
    <m/>
    <x v="18"/>
    <n v="21875"/>
    <x v="7"/>
    <s v="Activo de Producción Cinco Presidentes"/>
    <s v="BASICO DE SEGURIDAD (BS)"/>
    <s v="PRESENCIAL"/>
    <n v="510960"/>
    <s v="Roony Joanathan Quevedo Lopez"/>
    <n v="16"/>
    <n v="2"/>
    <n v="20"/>
    <x v="149"/>
    <x v="88"/>
    <x v="7"/>
  </r>
  <r>
    <n v="95"/>
    <m/>
    <x v="18"/>
    <n v="21900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86"/>
    <x v="92"/>
    <x v="7"/>
  </r>
  <r>
    <n v="96"/>
    <m/>
    <x v="18"/>
    <n v="21874"/>
    <x v="7"/>
    <s v="Activo de Producción Cinco Presidentes"/>
    <s v="BASICO DE SEGURIDAD (BS)"/>
    <s v="PRESENCIAL"/>
    <n v="510960"/>
    <s v="Roony Joanathan Quevedo Lopez"/>
    <n v="16"/>
    <n v="2"/>
    <n v="20"/>
    <x v="89"/>
    <x v="94"/>
    <x v="7"/>
  </r>
  <r>
    <n v="97"/>
    <m/>
    <x v="18"/>
    <n v="21899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150"/>
    <x v="96"/>
    <x v="8"/>
  </r>
  <r>
    <n v="98"/>
    <m/>
    <x v="18"/>
    <n v="21873"/>
    <x v="7"/>
    <s v="Activo de Producción Cinco Presidentes"/>
    <s v="BASICO DE SEGURIDAD (BS)"/>
    <s v="PRESENCIAL"/>
    <n v="510960"/>
    <s v="Roony Joanathan Quevedo Lopez"/>
    <n v="16"/>
    <n v="2"/>
    <n v="20"/>
    <x v="151"/>
    <x v="98"/>
    <x v="8"/>
  </r>
  <r>
    <n v="99"/>
    <m/>
    <x v="18"/>
    <n v="21898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94"/>
    <x v="165"/>
    <x v="8"/>
  </r>
  <r>
    <n v="100"/>
    <m/>
    <x v="18"/>
    <n v="21897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153"/>
    <x v="187"/>
    <x v="8"/>
  </r>
  <r>
    <n v="101"/>
    <m/>
    <x v="18"/>
    <n v="21896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101"/>
    <x v="108"/>
    <x v="8"/>
  </r>
  <r>
    <n v="102"/>
    <m/>
    <x v="18"/>
    <n v="21895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106"/>
    <x v="111"/>
    <x v="9"/>
  </r>
  <r>
    <n v="103"/>
    <m/>
    <x v="18"/>
    <n v="21894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108"/>
    <x v="189"/>
    <x v="9"/>
  </r>
  <r>
    <n v="104"/>
    <m/>
    <x v="18"/>
    <n v="21893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111"/>
    <x v="117"/>
    <x v="9"/>
  </r>
  <r>
    <n v="105"/>
    <m/>
    <x v="18"/>
    <n v="21828"/>
    <x v="7"/>
    <s v="Activo de Producción Cinco Presidentes"/>
    <s v="RIG PASS"/>
    <s v="PRESENCIAL"/>
    <n v="529808"/>
    <s v="Cristian Arturo Martinez de la Rosa"/>
    <n v="16"/>
    <n v="2"/>
    <n v="8"/>
    <x v="155"/>
    <x v="243"/>
    <x v="9"/>
  </r>
  <r>
    <n v="106"/>
    <m/>
    <x v="18"/>
    <n v="21892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155"/>
    <x v="167"/>
    <x v="9"/>
  </r>
  <r>
    <n v="107"/>
    <m/>
    <x v="18"/>
    <n v="21891"/>
    <x v="7"/>
    <s v="Activo de Producción Cinco Presidentes"/>
    <s v="SISTEMA DE PERMISOS PARA TRABAJOS CON RIESGO (SPTR)"/>
    <s v="PRESENCIAL"/>
    <n v="510960"/>
    <s v="Roony Joanathan Quevedo Lopez"/>
    <n v="24"/>
    <n v="3"/>
    <n v="20"/>
    <x v="179"/>
    <x v="124"/>
    <x v="9"/>
  </r>
  <r>
    <n v="108"/>
    <m/>
    <x v="18"/>
    <n v="21890"/>
    <x v="7"/>
    <s v="Activo de Producción Cinco Presidentes"/>
    <s v="SISTEMA DE PERMISOS PARA TRABAJOS CON RIESGO (SPTR)"/>
    <s v="PRESENCIAL"/>
    <n v="510960"/>
    <s v="Roony Joanathan Quevedo Lopez"/>
    <n v="24"/>
    <n v="3"/>
    <n v="19"/>
    <x v="121"/>
    <x v="127"/>
    <x v="10"/>
  </r>
  <r>
    <n v="1"/>
    <m/>
    <x v="6"/>
    <n v="25425"/>
    <x v="7"/>
    <s v="Gerencia de Mantenimiento, Confiabilidad y Construcción"/>
    <s v="BASICO DE SEGURIDAD (BS)"/>
    <s v="PRESENCIAL"/>
    <n v="570530"/>
    <s v="Maria Irene Cruz Magaña"/>
    <n v="16"/>
    <n v="4"/>
    <n v="20"/>
    <x v="7"/>
    <x v="7"/>
    <x v="1"/>
  </r>
  <r>
    <n v="2"/>
    <m/>
    <x v="6"/>
    <n v="25263"/>
    <x v="7"/>
    <s v="Gerencia de Mantenimiento, Confiabilidad y Construcción"/>
    <s v="ACIDO SULFHIDRICO (H2S)"/>
    <s v="PRESENCIAL"/>
    <n v="413600"/>
    <s v="Eduardo Mena Piñeyro"/>
    <n v="8"/>
    <n v="4"/>
    <n v="11"/>
    <x v="127"/>
    <x v="191"/>
    <x v="2"/>
  </r>
  <r>
    <n v="3"/>
    <m/>
    <x v="6"/>
    <n v="25401"/>
    <x v="7"/>
    <s v="Gerencia de Mantenimiento, Confiabilidad y Construcción"/>
    <s v="BASICO DE SEGURIDAD (BS)"/>
    <s v="PRESENCIAL"/>
    <n v="413600"/>
    <s v="Eduardo Mena Piñeyro"/>
    <n v="16"/>
    <n v="2"/>
    <n v="20"/>
    <x v="161"/>
    <x v="176"/>
    <x v="2"/>
  </r>
  <r>
    <n v="4"/>
    <m/>
    <x v="6"/>
    <n v="25405"/>
    <x v="7"/>
    <s v="Gerencia de Mantenimiento, Confiabilidad y Construcción"/>
    <s v="BASICO DE SEGURIDAD (BS)"/>
    <s v="PRESENCIAL"/>
    <n v="359204"/>
    <s v="Roger Cancino Maldonado"/>
    <n v="16"/>
    <n v="2"/>
    <n v="20"/>
    <x v="176"/>
    <x v="178"/>
    <x v="2"/>
  </r>
  <r>
    <n v="5"/>
    <m/>
    <x v="6"/>
    <n v="25415"/>
    <x v="7"/>
    <s v="Gerencia de Mantenimiento, Confiabilidad y Construcción"/>
    <s v="BASICO DE SEGURIDAD (BS)"/>
    <s v="PRESENCIAL"/>
    <n v="570530"/>
    <s v="Maria Irene Cruz Magaña"/>
    <n v="16"/>
    <n v="2"/>
    <n v="20"/>
    <x v="193"/>
    <x v="233"/>
    <x v="2"/>
  </r>
  <r>
    <n v="9"/>
    <m/>
    <x v="6"/>
    <n v="25421"/>
    <x v="7"/>
    <s v="Gerencia de Mantenimiento, Confiabilidad y Construcción"/>
    <s v="BASICO DE SEGURIDAD (BS)"/>
    <s v="PRESENCIAL"/>
    <n v="570530"/>
    <s v="Maria Irene Cruz Magaña"/>
    <n v="16"/>
    <n v="4"/>
    <n v="15"/>
    <x v="132"/>
    <x v="197"/>
    <x v="3"/>
  </r>
  <r>
    <n v="14"/>
    <m/>
    <x v="6"/>
    <n v="25423"/>
    <x v="7"/>
    <s v="Gerencia de Mantenimiento, Confiabilidad y Construcción"/>
    <s v="BASICO DE SEGURIDAD (BS)"/>
    <s v="PRESENCIAL"/>
    <n v="570530"/>
    <s v="Maria Irene Cruz Magaña"/>
    <n v="16"/>
    <n v="4"/>
    <n v="15"/>
    <x v="163"/>
    <x v="32"/>
    <x v="3"/>
  </r>
  <r>
    <n v="22"/>
    <m/>
    <x v="6"/>
    <n v="25409"/>
    <x v="7"/>
    <s v="Gerencia de Mantenimiento, Confiabilidad y Construcción"/>
    <s v="BASICO DE SEGURIDAD (BS)"/>
    <s v="PRESENCIAL"/>
    <n v="570530"/>
    <s v="Maria Irene Cruz Magaña"/>
    <n v="16"/>
    <n v="2"/>
    <n v="15"/>
    <x v="140"/>
    <x v="244"/>
    <x v="4"/>
  </r>
  <r>
    <n v="23"/>
    <m/>
    <x v="6"/>
    <n v="26753"/>
    <x v="0"/>
    <s v="Gerencia de Servicios de Soporte y Logística Terrestre"/>
    <s v="BASICO DE SEGURIDAD (BS)"/>
    <s v="PRESENCIAL"/>
    <n v="428350"/>
    <s v="Ubaldo Martinez Ocampo"/>
    <n v="16"/>
    <n v="2"/>
    <n v="1"/>
    <x v="142"/>
    <x v="245"/>
    <x v="5"/>
  </r>
  <r>
    <n v="24"/>
    <m/>
    <x v="6"/>
    <n v="25262"/>
    <x v="7"/>
    <s v="Gerencia de Mantenimiento, Confiabilidad y Construcción"/>
    <s v="ACIDO SULFHIDRICO (H2S)"/>
    <s v="PRESENCIAL"/>
    <n v="413600"/>
    <s v="Eduardo Mena Piñeyro"/>
    <n v="8"/>
    <n v="4"/>
    <n v="15"/>
    <x v="142"/>
    <x v="246"/>
    <x v="5"/>
  </r>
  <r>
    <n v="25"/>
    <m/>
    <x v="19"/>
    <n v="25428"/>
    <x v="7"/>
    <s v="Activo de Producción Bellota Jujo"/>
    <s v="ADMINISTRACION DE RIESGOS EN PEMEX EXPLORACION Y PRODUCCION"/>
    <s v="PRESENCIAL"/>
    <n v="510687"/>
    <s v="Hugo Alonso Villa Flores"/>
    <n v="8"/>
    <n v="1"/>
    <n v="1"/>
    <x v="168"/>
    <x v="183"/>
    <x v="5"/>
  </r>
  <r>
    <n v="29"/>
    <m/>
    <x v="19"/>
    <n v="21986"/>
    <x v="5"/>
    <s v="Gerencia de Caracterización de Yacimientos y Exploración de Campos"/>
    <s v="DISCIPLINA OPERATIVA"/>
    <s v="PRESENCIAL"/>
    <n v="374778"/>
    <s v="Miguel Beristain Benitez"/>
    <n v="16"/>
    <n v="2"/>
    <n v="4"/>
    <x v="63"/>
    <x v="67"/>
    <x v="6"/>
  </r>
  <r>
    <n v="33"/>
    <m/>
    <x v="19"/>
    <n v="25587"/>
    <x v="7"/>
    <s v="Gerencia de Mantenimiento, Confiabilidad y Construcción"/>
    <s v="PLANEACION SEGURA DE LOS TRABAJOS"/>
    <s v="PRESENCIAL"/>
    <n v="374123"/>
    <s v="Gustavo Adolfo Miranda Rosas"/>
    <n v="16"/>
    <n v="2"/>
    <n v="15"/>
    <x v="149"/>
    <x v="88"/>
    <x v="7"/>
  </r>
  <r>
    <n v="6"/>
    <m/>
    <x v="6"/>
    <n v="25422"/>
    <x v="7"/>
    <s v="Gerencia de Mantenimiento, Confiabilidad y Construcción"/>
    <s v="BASICO DE SEGURIDAD (BS)"/>
    <s v="PRESENCIAL"/>
    <n v="570530"/>
    <s v="Maria Irene Cruz Magaña"/>
    <n v="16"/>
    <n v="4"/>
    <n v="15"/>
    <x v="200"/>
    <x v="195"/>
    <x v="3"/>
  </r>
  <r>
    <n v="7"/>
    <m/>
    <x v="11"/>
    <n v="22089"/>
    <x v="1"/>
    <s v="Gerencia de Seguridad, Salud en el Trabajo y Protección Ambiental Región Sur"/>
    <s v="SISTEMA DE PERMISOS PARA TRABAJOS CON RIESGO (SPTR)"/>
    <s v="PRESENCIAL"/>
    <n v="201275"/>
    <s v="Ronnie Muñoz Potenciano"/>
    <n v="24"/>
    <n v="3"/>
    <n v="10"/>
    <x v="20"/>
    <x v="196"/>
    <x v="3"/>
  </r>
  <r>
    <n v="8"/>
    <m/>
    <x v="6"/>
    <n v="25412"/>
    <x v="7"/>
    <s v="Gerencia de Mantenimiento, Confiabilidad y Construcción"/>
    <s v="BASICO DE SEGURIDAD (BS)"/>
    <s v="PRESENCIAL"/>
    <n v="413600"/>
    <s v="Eduardo Mena Piñeyro"/>
    <n v="16"/>
    <n v="2"/>
    <n v="15"/>
    <x v="132"/>
    <x v="24"/>
    <x v="3"/>
  </r>
  <r>
    <n v="10"/>
    <m/>
    <x v="19"/>
    <n v="28216"/>
    <x v="7"/>
    <s v="Activo de Producción Bellota Jujo"/>
    <s v="ENTRENAMIENTO BASICO EN SISTEMA PEMEX SSPA (EB SSPA)"/>
    <s v="PRESENCIAL"/>
    <n v="395269"/>
    <s v="Maximiliano Jimenez Martinez"/>
    <n v="16"/>
    <n v="2"/>
    <n v="20"/>
    <x v="133"/>
    <x v="26"/>
    <x v="3"/>
  </r>
  <r>
    <n v="11"/>
    <m/>
    <x v="19"/>
    <n v="28209"/>
    <x v="7"/>
    <s v="Activo de Producción Bellota Jujo"/>
    <s v="PROCEDIMIENTOS CRITICOS (PC)"/>
    <s v="PRESENCIAL"/>
    <n v="395269"/>
    <s v="Maximiliano Jimenez Martinez"/>
    <n v="16"/>
    <n v="2"/>
    <n v="20"/>
    <x v="27"/>
    <x v="204"/>
    <x v="3"/>
  </r>
  <r>
    <n v="12"/>
    <m/>
    <x v="11"/>
    <n v="28210"/>
    <x v="7"/>
    <s v="Activo de Producción Bellota Jujo"/>
    <s v="PROCEDIMIENTOS CRITICOS (PC)"/>
    <s v="PRESENCIAL"/>
    <n v="395269"/>
    <s v="Maximiliano Jimenez Martinez"/>
    <n v="16"/>
    <n v="2"/>
    <n v="20"/>
    <x v="30"/>
    <x v="29"/>
    <x v="3"/>
  </r>
  <r>
    <n v="13"/>
    <m/>
    <x v="19"/>
    <n v="25393"/>
    <x v="7"/>
    <s v="Gerencia de Mantenimiento, Confiabilidad y Construcción"/>
    <s v="LIDERAZGO EN SSPA"/>
    <s v="PRESENCIAL"/>
    <n v="501348"/>
    <s v="Homero Sánchez Flores"/>
    <n v="16"/>
    <n v="2"/>
    <n v="15"/>
    <x v="30"/>
    <x v="29"/>
    <x v="3"/>
  </r>
  <r>
    <n v="15"/>
    <m/>
    <x v="19"/>
    <n v="23557"/>
    <x v="7"/>
    <s v="Activo de Producción Bellota Jujo"/>
    <s v="SISTEMA DE PERMISOS PARA TRABAJOS CON RIESGO (SPTR)"/>
    <s v="PRESENCIAL"/>
    <n v="395269"/>
    <s v="Maximiliano Jimenez Martinez"/>
    <n v="24"/>
    <n v="3"/>
    <n v="20"/>
    <x v="31"/>
    <x v="206"/>
    <x v="4"/>
  </r>
  <r>
    <n v="16"/>
    <m/>
    <x v="11"/>
    <n v="22019"/>
    <x v="1"/>
    <s v="Gerencia de Seguridad, Salud en el Trabajo y Protección Ambiental Región Sur"/>
    <s v="VERIFICADOR DE GAS (VG)"/>
    <s v="PRESENCIAL"/>
    <n v="201275"/>
    <s v="Ronnie Muñoz Potenciano"/>
    <n v="8"/>
    <n v="1"/>
    <n v="8"/>
    <x v="136"/>
    <x v="247"/>
    <x v="4"/>
  </r>
  <r>
    <n v="17"/>
    <m/>
    <x v="11"/>
    <n v="23556"/>
    <x v="7"/>
    <s v="Activo de Producción Bellota Jujo"/>
    <s v="SISTEMA DE PERMISOS PARA TRABAJOS CON RIESGO (SPTR)"/>
    <s v="PRESENCIAL"/>
    <n v="395269"/>
    <s v="Maximiliano Jimenez Martinez"/>
    <n v="24"/>
    <n v="3"/>
    <n v="16"/>
    <x v="136"/>
    <x v="33"/>
    <x v="4"/>
  </r>
  <r>
    <n v="18"/>
    <m/>
    <x v="19"/>
    <n v="25392"/>
    <x v="7"/>
    <s v="Gerencia de Mantenimiento, Confiabilidad y Construcción"/>
    <s v="LIDERAZGO EN SSPA"/>
    <s v="PRESENCIAL"/>
    <n v="501348"/>
    <s v="Homero Sánchez Flores"/>
    <n v="16"/>
    <n v="2"/>
    <n v="15"/>
    <x v="35"/>
    <x v="143"/>
    <x v="4"/>
  </r>
  <r>
    <n v="19"/>
    <m/>
    <x v="19"/>
    <n v="23558"/>
    <x v="7"/>
    <s v="Activo de Producción Bellota Jujo"/>
    <s v="SISTEMA DE PERMISOS PARA TRABAJOS CON RIESGO (SPTR)"/>
    <s v="PRESENCIAL"/>
    <n v="395269"/>
    <s v="Maximiliano Jimenez Martinez"/>
    <n v="24"/>
    <n v="3"/>
    <n v="20"/>
    <x v="137"/>
    <x v="145"/>
    <x v="4"/>
  </r>
  <r>
    <n v="20"/>
    <m/>
    <x v="19"/>
    <n v="27736"/>
    <x v="7"/>
    <s v="Activo de Producción Bellota Jujo"/>
    <s v="BASICO DE SEGURIDAD (BS)"/>
    <s v="PRESENCIAL"/>
    <n v="395269"/>
    <s v="Maximiliano Jimenez Martinez"/>
    <n v="16"/>
    <n v="2"/>
    <n v="20"/>
    <x v="36"/>
    <x v="147"/>
    <x v="4"/>
  </r>
  <r>
    <n v="21"/>
    <m/>
    <x v="6"/>
    <n v="22090"/>
    <x v="1"/>
    <s v="Gerencia de Seguridad, Salud en el Trabajo y Protección Ambiental Región Sur"/>
    <s v="SISTEMA DE PERMISOS PARA TRABAJOS CON RIESGO (SPTR)"/>
    <s v="PRESENCIAL"/>
    <n v="395269"/>
    <s v="Maximiliano Jimenez Martinez"/>
    <n v="24"/>
    <n v="3"/>
    <n v="8"/>
    <x v="38"/>
    <x v="248"/>
    <x v="4"/>
  </r>
  <r>
    <n v="26"/>
    <m/>
    <x v="11"/>
    <n v="27738"/>
    <x v="7"/>
    <s v="Activo de Producción Bellota Jujo"/>
    <s v="BRIGADAS CONTRAINCENDIOS (BCII)"/>
    <s v="PRESENCIAL"/>
    <n v="395269"/>
    <s v="Maximiliano Jimenez Martinez"/>
    <n v="24"/>
    <n v="3"/>
    <n v="15"/>
    <x v="50"/>
    <x v="249"/>
    <x v="5"/>
  </r>
  <r>
    <n v="27"/>
    <m/>
    <x v="11"/>
    <n v="28215"/>
    <x v="7"/>
    <s v="Activo de Producción Bellota Jujo"/>
    <s v="ENTRENAMIENTO BASICO EN SISTEMA PEMEX SSPA (EB SSPA)"/>
    <s v="PRESENCIAL"/>
    <n v="395269"/>
    <s v="Maximiliano Jimenez Martinez"/>
    <n v="16"/>
    <n v="2"/>
    <n v="20"/>
    <x v="147"/>
    <x v="250"/>
    <x v="6"/>
  </r>
  <r>
    <n v="28"/>
    <m/>
    <x v="19"/>
    <n v="21984"/>
    <x v="5"/>
    <s v="Gerencia de Caracterización de Yacimientos y Exploración de Campos"/>
    <s v="DISCIPLINA OPERATIVA"/>
    <s v="PRESENCIAL"/>
    <n v="374778"/>
    <s v="Miguel Beristain Benitez"/>
    <n v="16"/>
    <n v="2"/>
    <n v="11"/>
    <x v="148"/>
    <x v="241"/>
    <x v="6"/>
  </r>
  <r>
    <n v="30"/>
    <m/>
    <x v="19"/>
    <n v="25588"/>
    <x v="7"/>
    <s v="Gerencia de Mantenimiento, Confiabilidad y Construcción"/>
    <s v="PLANEACION SEGURA DE LOS TRABAJOS"/>
    <s v="PRESENCIAL"/>
    <n v="501348"/>
    <s v="Homero Sánchez Flores"/>
    <n v="16"/>
    <n v="2"/>
    <n v="15"/>
    <x v="196"/>
    <x v="70"/>
    <x v="6"/>
  </r>
  <r>
    <n v="31"/>
    <m/>
    <x v="19"/>
    <n v="21985"/>
    <x v="5"/>
    <s v="Gerencia de Caracterización de Yacimientos y Exploración de Campos"/>
    <s v="DISCIPLINA OPERATIVA"/>
    <s v="PRESENCIAL"/>
    <n v="305145"/>
    <s v="Hugo Guadalupe Angeles Romero"/>
    <n v="16"/>
    <n v="2"/>
    <n v="12"/>
    <x v="67"/>
    <x v="242"/>
    <x v="6"/>
  </r>
  <r>
    <n v="32"/>
    <m/>
    <x v="19"/>
    <n v="28213"/>
    <x v="7"/>
    <s v="Activo de Producción Bellota Jujo"/>
    <s v="ENTRENAMIENTO BASICO EN SISTEMA PEMEX SSPA (EB SSPA)"/>
    <s v="PRESENCIAL"/>
    <n v="395269"/>
    <s v="Maximiliano Jimenez Martinez"/>
    <n v="16"/>
    <n v="2"/>
    <n v="20"/>
    <x v="69"/>
    <x v="74"/>
    <x v="7"/>
  </r>
  <r>
    <n v="34"/>
    <m/>
    <x v="19"/>
    <n v="21981"/>
    <x v="5"/>
    <s v="Gerencia de Caracterización de Yacimientos y Exploración de Campos"/>
    <s v="SISTEMA DE PERMISOS PARA TRABAJOS CON RIESGO (SPTR)"/>
    <s v="PRESENCIAL"/>
    <n v="971841"/>
    <s v="Tobias Magaña Ruiz"/>
    <n v="24"/>
    <n v="3"/>
    <n v="10"/>
    <x v="150"/>
    <x v="96"/>
    <x v="8"/>
  </r>
  <r>
    <n v="35"/>
    <m/>
    <x v="19"/>
    <n v="27739"/>
    <x v="7"/>
    <s v="Activo de Producción Bellota Jujo"/>
    <s v="BRIGADAS CONTRAINCENDIOS (BCII)"/>
    <s v="PRESENCIAL"/>
    <n v="395269"/>
    <s v="Maximiliano Jimenez Martinez"/>
    <n v="24"/>
    <n v="3"/>
    <n v="20"/>
    <x v="95"/>
    <x v="102"/>
    <x v="8"/>
  </r>
  <r>
    <n v="36"/>
    <m/>
    <x v="6"/>
    <n v="25419"/>
    <x v="7"/>
    <s v="Gerencia de Mantenimiento, Confiabilidad y Construcción"/>
    <s v="BASICO DE SEGURIDAD (BS)"/>
    <s v="PRESENCIAL"/>
    <n v="570530"/>
    <s v="Maria Irene Cruz Magaña"/>
    <n v="16"/>
    <n v="2"/>
    <n v="15"/>
    <x v="210"/>
    <x v="251"/>
    <x v="9"/>
  </r>
  <r>
    <n v="37"/>
    <m/>
    <x v="19"/>
    <n v="23559"/>
    <x v="7"/>
    <s v="Activo de Producción Bellota Jujo"/>
    <s v="SISTEMA DE PERMISOS PARA TRABAJOS CON RIESGO (SPTR)"/>
    <s v="PRESENCIAL"/>
    <n v="395269"/>
    <s v="Maximiliano Jimenez Martinez"/>
    <n v="24"/>
    <n v="3"/>
    <n v="20"/>
    <x v="115"/>
    <x v="119"/>
    <x v="9"/>
  </r>
  <r>
    <n v="38"/>
    <m/>
    <x v="11"/>
    <n v="27737"/>
    <x v="7"/>
    <s v="Activo de Producción Bellota Jujo"/>
    <s v="BASICO DE SEGURIDAD (BS)"/>
    <s v="PRESENCIAL"/>
    <n v="395269"/>
    <s v="Maximiliano Jimenez Martinez"/>
    <n v="16"/>
    <n v="2"/>
    <n v="20"/>
    <x v="155"/>
    <x v="252"/>
    <x v="9"/>
  </r>
  <r>
    <n v="39"/>
    <m/>
    <x v="11"/>
    <n v="23560"/>
    <x v="7"/>
    <s v="Activo de Producción Bellota Jujo"/>
    <s v="SISTEMA DE PERMISOS PARA TRABAJOS CON RIESGO (SPTR)"/>
    <s v="PRESENCIAL"/>
    <n v="395269"/>
    <s v="Maximiliano Jimenez Martinez"/>
    <n v="24"/>
    <n v="3"/>
    <n v="20"/>
    <x v="117"/>
    <x v="253"/>
    <x v="9"/>
  </r>
  <r>
    <n v="40"/>
    <m/>
    <x v="19"/>
    <n v="23561"/>
    <x v="7"/>
    <s v="Activo de Producción Bellota Jujo"/>
    <s v="SISTEMA DE PERMISOS PARA TRABAJOS CON RIESGO (SPTR)"/>
    <s v="PRESENCIAL"/>
    <n v="395269"/>
    <s v="Maximiliano Jimenez Martinez"/>
    <n v="24"/>
    <n v="3"/>
    <n v="15"/>
    <x v="179"/>
    <x v="124"/>
    <x v="9"/>
  </r>
  <r>
    <n v="41"/>
    <m/>
    <x v="19"/>
    <n v="27740"/>
    <x v="7"/>
    <s v="Activo de Producción Bellota Jujo"/>
    <s v="BRIGADAS CONTRAINCENDIOS (BCII)"/>
    <s v="PRESENCIAL"/>
    <n v="395269"/>
    <s v="Maximiliano Jimenez Martinez"/>
    <n v="24"/>
    <n v="3"/>
    <n v="20"/>
    <x v="121"/>
    <x v="127"/>
    <x v="10"/>
  </r>
  <r>
    <n v="1"/>
    <m/>
    <x v="20"/>
    <n v="25424"/>
    <x v="7"/>
    <s v="Gerencia de Mantenimiento, Confiabilidad y Construcción"/>
    <s v="BASICO DE SEGURIDAD (BS)"/>
    <s v="PRESENCIAL"/>
    <n v="197995"/>
    <s v="Oscar Freddy Dominguez Sanchez"/>
    <n v="16"/>
    <n v="2"/>
    <n v="20"/>
    <x v="5"/>
    <x v="5"/>
    <x v="0"/>
  </r>
  <r>
    <n v="2"/>
    <m/>
    <x v="21"/>
    <n v="23745"/>
    <x v="7"/>
    <s v="Activo de Producción Macuspana - Múspac"/>
    <s v="REACREDITACION DE SIGNATARIOS DEL SPPTR (RSPTR)"/>
    <s v="PRESENCIAL"/>
    <n v="675132"/>
    <s v="Juan Arturo Romero Victorino"/>
    <n v="8"/>
    <n v="1"/>
    <n v="11"/>
    <x v="7"/>
    <x v="254"/>
    <x v="1"/>
  </r>
  <r>
    <n v="3"/>
    <m/>
    <x v="21"/>
    <n v="23746"/>
    <x v="7"/>
    <s v="Activo de Producción Macuspana - Múspac"/>
    <s v="REACREDITACION DE SIGNATARIOS DEL SPPTR (RSPTR)"/>
    <s v="PRESENCIAL"/>
    <n v="675132"/>
    <s v="Juan Arturo Romero Victorino"/>
    <n v="8"/>
    <n v="1"/>
    <n v="12"/>
    <x v="211"/>
    <x v="6"/>
    <x v="1"/>
  </r>
  <r>
    <n v="4"/>
    <m/>
    <x v="21"/>
    <n v="23747"/>
    <x v="7"/>
    <s v="Activo de Producción Macuspana - Múspac"/>
    <s v="REACREDITACION DE SIGNATARIOS DEL SPPTR (RSPTR)"/>
    <s v="PRESENCIAL"/>
    <n v="675132"/>
    <s v="Juan Arturo Romero Victorino"/>
    <n v="8"/>
    <n v="1"/>
    <n v="12"/>
    <x v="9"/>
    <x v="8"/>
    <x v="1"/>
  </r>
  <r>
    <n v="5"/>
    <m/>
    <x v="21"/>
    <n v="23748"/>
    <x v="7"/>
    <s v="Activo de Producción Macuspana - Múspac"/>
    <s v="REACREDITACION DE SIGNATARIOS DEL SPPTR (RSPTR)"/>
    <s v="PRESENCIAL"/>
    <n v="675132"/>
    <s v="Juan Arturo Romero Victorino"/>
    <n v="8"/>
    <n v="1"/>
    <n v="12"/>
    <x v="157"/>
    <x v="255"/>
    <x v="1"/>
  </r>
  <r>
    <n v="6"/>
    <m/>
    <x v="21"/>
    <n v="23198"/>
    <x v="7"/>
    <s v="Activo de Producción Macuspana - Múspac"/>
    <s v="ACIDO SULFHIDRICO (H2S)"/>
    <s v="PRESENCIAL"/>
    <n v="342974"/>
    <s v="Jose Ramon Cordova Ovando"/>
    <n v="8"/>
    <n v="1"/>
    <n v="10"/>
    <x v="191"/>
    <x v="174"/>
    <x v="2"/>
  </r>
  <r>
    <n v="7"/>
    <m/>
    <x v="21"/>
    <n v="23208"/>
    <x v="7"/>
    <s v="Activo de Producción Macuspana - Múspac"/>
    <s v="VERIFICADOR DE GAS (VG)"/>
    <s v="PRESENCIAL"/>
    <n v="342974"/>
    <s v="Jose Ramon Cordova Ovando"/>
    <n v="8"/>
    <n v="1"/>
    <n v="7"/>
    <x v="160"/>
    <x v="191"/>
    <x v="2"/>
  </r>
  <r>
    <n v="8"/>
    <m/>
    <x v="21"/>
    <n v="26237"/>
    <x v="7"/>
    <s v="Activo de Producción Macuspana - Múspac"/>
    <s v="BASICO DE SEGURIDAD (BS)"/>
    <s v="PRESENCIAL"/>
    <n v="335177"/>
    <s v="Antonio Estrada Cerino"/>
    <n v="16"/>
    <n v="2"/>
    <n v="11"/>
    <x v="161"/>
    <x v="176"/>
    <x v="2"/>
  </r>
  <r>
    <n v="9"/>
    <m/>
    <x v="21"/>
    <n v="26236"/>
    <x v="7"/>
    <s v="Activo de Producción Macuspana - Múspac"/>
    <s v="BASICO DE SEGURIDAD (BS)"/>
    <s v="PRESENCIAL"/>
    <n v="335177"/>
    <s v="Antonio Estrada Cerino"/>
    <n v="16"/>
    <n v="2"/>
    <n v="11"/>
    <x v="18"/>
    <x v="177"/>
    <x v="2"/>
  </r>
  <r>
    <n v="10"/>
    <m/>
    <x v="21"/>
    <n v="26235"/>
    <x v="7"/>
    <s v="Activo de Producción Macuspana - Múspac"/>
    <s v="BASICO DE SEGURIDAD (BS)"/>
    <s v="PRESENCIAL"/>
    <n v="335177"/>
    <s v="Antonio Estrada Cerino"/>
    <n v="16"/>
    <n v="2"/>
    <n v="12"/>
    <x v="176"/>
    <x v="178"/>
    <x v="2"/>
  </r>
  <r>
    <n v="11"/>
    <m/>
    <x v="22"/>
    <n v="25402"/>
    <x v="7"/>
    <s v="Gerencia de Mantenimiento, Confiabilidad y Construcción"/>
    <s v="BASICO DE SEGURIDAD (BS)"/>
    <s v="PRESENCIAL"/>
    <n v="432309"/>
    <s v="Miguel Herrera Sanchez"/>
    <n v="16"/>
    <n v="2"/>
    <n v="20"/>
    <x v="176"/>
    <x v="178"/>
    <x v="2"/>
  </r>
  <r>
    <n v="12"/>
    <m/>
    <x v="22"/>
    <n v="25279"/>
    <x v="7"/>
    <s v="Activo de Producción Macuspana - Múspac"/>
    <s v="PREVENCION DE RIESGOS LABORALES"/>
    <s v="PRESENCIAL"/>
    <n v="338174"/>
    <s v="Gabriel Ángel Alonzo Díaz"/>
    <n v="16"/>
    <n v="8"/>
    <n v="4"/>
    <x v="18"/>
    <x v="135"/>
    <x v="2"/>
  </r>
  <r>
    <n v="13"/>
    <m/>
    <x v="21"/>
    <n v="23754"/>
    <x v="7"/>
    <s v="Activo de Producción Macuspana - Múspac"/>
    <s v="SISTEMA DE PERMISOS PARA TRABAJOS CON RIESGO (SPTR)"/>
    <s v="PRESENCIAL"/>
    <n v="675132"/>
    <s v="Juan Arturo Romero Victorino"/>
    <n v="24"/>
    <n v="3"/>
    <n v="11"/>
    <x v="21"/>
    <x v="195"/>
    <x v="3"/>
  </r>
  <r>
    <n v="14"/>
    <m/>
    <x v="21"/>
    <n v="23755"/>
    <x v="7"/>
    <s v="Activo de Producción Macuspana - Múspac"/>
    <s v="SISTEMA DE PERMISOS PARA TRABAJOS CON RIESGO (SPTR)"/>
    <s v="PRESENCIAL"/>
    <n v="675132"/>
    <s v="Juan Arturo Romero Victorino"/>
    <n v="24"/>
    <n v="3"/>
    <n v="10"/>
    <x v="24"/>
    <x v="197"/>
    <x v="3"/>
  </r>
  <r>
    <n v="16"/>
    <m/>
    <x v="23"/>
    <n v="26755"/>
    <x v="0"/>
    <s v="Gerencia de Servicios de Soporte y Logística Terrestre"/>
    <s v="BRIGADAS DE PRIMEROS AUXILIOS(BPA)"/>
    <s v="PRESENCIAL"/>
    <n v="308159"/>
    <s v="Fidel Alberto Estrada Pineda"/>
    <n v="16"/>
    <n v="2"/>
    <n v="2"/>
    <x v="30"/>
    <x v="29"/>
    <x v="3"/>
  </r>
  <r>
    <n v="17"/>
    <m/>
    <x v="21"/>
    <n v="27893"/>
    <x v="7"/>
    <s v="Activo de Producción Macuspana - Múspac"/>
    <s v="INVESTIGACION DE INCIDENTES Y ANALISIS DE CAUSA RAIZ (IIACR)"/>
    <s v="PRESENCIAL"/>
    <n v="390730"/>
    <s v="David Hernández Ortiz"/>
    <n v="16"/>
    <n v="2"/>
    <n v="9"/>
    <x v="163"/>
    <x v="31"/>
    <x v="3"/>
  </r>
  <r>
    <n v="18"/>
    <m/>
    <x v="21"/>
    <n v="24793"/>
    <x v="7"/>
    <s v="Activo de Producción Macuspana - Múspac"/>
    <s v="PROCEDIMIENTOS CRITICOS (PC)"/>
    <s v="PRESENCIAL"/>
    <n v="523589"/>
    <s v="Joel Caballero Acosta"/>
    <n v="16"/>
    <n v="2"/>
    <n v="11"/>
    <x v="134"/>
    <x v="138"/>
    <x v="4"/>
  </r>
  <r>
    <n v="19"/>
    <m/>
    <x v="21"/>
    <n v="24792"/>
    <x v="7"/>
    <s v="Activo de Producción Macuspana - Múspac"/>
    <s v="PROCEDIMIENTOS CRITICOS (PC)"/>
    <s v="PRESENCIAL"/>
    <n v="523589"/>
    <s v="Joel Caballero Acosta"/>
    <n v="16"/>
    <n v="2"/>
    <n v="11"/>
    <x v="136"/>
    <x v="141"/>
    <x v="4"/>
  </r>
  <r>
    <n v="20"/>
    <m/>
    <x v="21"/>
    <n v="23749"/>
    <x v="7"/>
    <s v="Activo de Producción Macuspana - Múspac"/>
    <s v="RESPUESTA A EMERGENCIAS CON MATERIALES PELIGROSOS (REMP)"/>
    <s v="PRESENCIAL"/>
    <n v="523589"/>
    <s v="Joel Caballero Acosta"/>
    <n v="16"/>
    <n v="2"/>
    <n v="11"/>
    <x v="35"/>
    <x v="143"/>
    <x v="4"/>
  </r>
  <r>
    <n v="22"/>
    <m/>
    <x v="21"/>
    <n v="23750"/>
    <x v="7"/>
    <s v="Activo de Producción Macuspana - Múspac"/>
    <s v="RESPUESTA A EMERGENCIAS CON MATERIALES PELIGROSOS (REMP)"/>
    <s v="PRESENCIAL"/>
    <n v="523589"/>
    <s v="Joel Caballero Acosta"/>
    <n v="16"/>
    <n v="2"/>
    <n v="11"/>
    <x v="137"/>
    <x v="144"/>
    <x v="4"/>
  </r>
  <r>
    <n v="25"/>
    <m/>
    <x v="22"/>
    <n v="25607"/>
    <x v="7"/>
    <s v="Gerencia de Mantenimiento, Confiabilidad y Construcción"/>
    <s v="PREVENCION DE RIESGOS LABORALES"/>
    <s v="PRESENCIAL"/>
    <n v="432309"/>
    <s v="Miguel Herrera Sanchez"/>
    <n v="16"/>
    <n v="2"/>
    <n v="5"/>
    <x v="139"/>
    <x v="148"/>
    <x v="4"/>
  </r>
  <r>
    <n v="26"/>
    <m/>
    <x v="21"/>
    <n v="23231"/>
    <x v="7"/>
    <s v="Activo de Producción Macuspana - Múspac"/>
    <s v="MANEJO A LA DEFENSIVA (MD)"/>
    <s v="PRESENCIAL"/>
    <n v="335177"/>
    <s v="Antonio Estrada Cerino"/>
    <n v="8"/>
    <n v="4"/>
    <n v="11"/>
    <x v="139"/>
    <x v="149"/>
    <x v="4"/>
  </r>
  <r>
    <n v="29"/>
    <m/>
    <x v="21"/>
    <n v="23741"/>
    <x v="7"/>
    <s v="Activo de Producción Macuspana - Múspac"/>
    <s v="ENTRENAMIENTO BASICO EN SISTEMA PEMEX SSPA (EB SSPA)"/>
    <s v="PRESENCIAL"/>
    <n v="335177"/>
    <s v="Antonio Estrada Cerino"/>
    <n v="16"/>
    <n v="2"/>
    <n v="11"/>
    <x v="142"/>
    <x v="153"/>
    <x v="5"/>
  </r>
  <r>
    <n v="31"/>
    <m/>
    <x v="21"/>
    <n v="23742"/>
    <x v="7"/>
    <s v="Activo de Producción Macuspana - Múspac"/>
    <s v="ENTRENAMIENTO BASICO EN SISTEMA PEMEX SSPA (EB SSPA)"/>
    <s v="PRESENCIAL"/>
    <n v="335177"/>
    <s v="Antonio Estrada Cerino"/>
    <n v="16"/>
    <n v="2"/>
    <n v="11"/>
    <x v="44"/>
    <x v="44"/>
    <x v="5"/>
  </r>
  <r>
    <n v="36"/>
    <m/>
    <x v="21"/>
    <n v="26322"/>
    <x v="7"/>
    <s v="Activo de Producción Macuspana - Múspac"/>
    <s v="BRIGADAS DE PRIMEROS AUXILIOS(BPA)"/>
    <s v="PRESENCIAL"/>
    <n v="570530"/>
    <s v="Maria Irene Cruz Magaña"/>
    <n v="16"/>
    <n v="2"/>
    <n v="10"/>
    <x v="78"/>
    <x v="83"/>
    <x v="7"/>
  </r>
  <r>
    <n v="42"/>
    <m/>
    <x v="21"/>
    <n v="23476"/>
    <x v="7"/>
    <s v="Activo de Producción Macuspana - Múspac"/>
    <s v="BRIGADAS CONTRAINCENDIOS (BCII)"/>
    <s v="PRESENCIAL"/>
    <n v="570530"/>
    <s v="Maria Irene Cruz Magaña"/>
    <n v="24"/>
    <n v="3"/>
    <n v="10"/>
    <x v="91"/>
    <x v="97"/>
    <x v="8"/>
  </r>
  <r>
    <n v="43"/>
    <m/>
    <x v="21"/>
    <n v="23757"/>
    <x v="7"/>
    <s v="Activo de Producción Macuspana - Múspac"/>
    <s v="SISTEMA DE PERMISOS PARA TRABAJOS CON RIESGO (SPTR)"/>
    <s v="PRESENCIAL"/>
    <n v="675132"/>
    <s v="Juan Arturo Romero Victorino"/>
    <n v="24"/>
    <n v="3"/>
    <n v="10"/>
    <x v="92"/>
    <x v="98"/>
    <x v="8"/>
  </r>
  <r>
    <n v="44"/>
    <m/>
    <x v="21"/>
    <n v="28117"/>
    <x v="7"/>
    <s v="Activo de Producción Macuspana - Múspac"/>
    <s v="AUDITORIAS EFECTIVAS"/>
    <s v="PRESENCIAL"/>
    <n v="331066"/>
    <s v="Raymundo Flores Marquez"/>
    <n v="8"/>
    <n v="1"/>
    <n v="10"/>
    <x v="94"/>
    <x v="100"/>
    <x v="8"/>
  </r>
  <r>
    <n v="45"/>
    <m/>
    <x v="21"/>
    <n v="28116"/>
    <x v="7"/>
    <s v="Activo de Producción Macuspana - Múspac"/>
    <s v="AUDITORIAS EFECTIVAS"/>
    <s v="PRESENCIAL"/>
    <n v="331066"/>
    <s v="Raymundo Flores Marquez"/>
    <n v="8"/>
    <n v="1"/>
    <n v="10"/>
    <x v="152"/>
    <x v="164"/>
    <x v="8"/>
  </r>
  <r>
    <n v="46"/>
    <m/>
    <x v="21"/>
    <n v="28115"/>
    <x v="7"/>
    <s v="Activo de Producción Macuspana - Múspac"/>
    <s v="AUDITORIAS EFECTIVAS"/>
    <s v="PRESENCIAL"/>
    <n v="331066"/>
    <s v="Raymundo Flores Marquez"/>
    <n v="8"/>
    <n v="1"/>
    <n v="9"/>
    <x v="95"/>
    <x v="165"/>
    <x v="8"/>
  </r>
  <r>
    <n v="47"/>
    <m/>
    <x v="21"/>
    <n v="28114"/>
    <x v="7"/>
    <s v="Activo de Producción Macuspana - Múspac"/>
    <s v="AUDITORIAS EFECTIVAS"/>
    <s v="PRESENCIAL"/>
    <n v="331066"/>
    <s v="Raymundo Flores Marquez"/>
    <n v="8"/>
    <n v="1"/>
    <n v="10"/>
    <x v="96"/>
    <x v="101"/>
    <x v="8"/>
  </r>
  <r>
    <n v="48"/>
    <m/>
    <x v="21"/>
    <n v="28113"/>
    <x v="7"/>
    <s v="Activo de Producción Macuspana - Múspac"/>
    <s v="AUDITORIAS EFECTIVAS"/>
    <s v="PRESENCIAL"/>
    <n v="331066"/>
    <s v="Raymundo Flores Marquez"/>
    <n v="8"/>
    <n v="1"/>
    <n v="10"/>
    <x v="97"/>
    <x v="102"/>
    <x v="8"/>
  </r>
  <r>
    <n v="49"/>
    <m/>
    <x v="21"/>
    <n v="26238"/>
    <x v="7"/>
    <s v="Activo de Producción Macuspana - Múspac"/>
    <s v="BASICO DE SEGURIDAD (BS)"/>
    <s v="PRESENCIAL"/>
    <n v="331066"/>
    <s v="Raymundo Flores Marquez"/>
    <n v="16"/>
    <n v="2"/>
    <n v="11"/>
    <x v="153"/>
    <x v="199"/>
    <x v="8"/>
  </r>
  <r>
    <n v="50"/>
    <m/>
    <x v="21"/>
    <n v="26239"/>
    <x v="7"/>
    <s v="Activo de Producción Macuspana - Múspac"/>
    <s v="BASICO DE SEGURIDAD (BS)"/>
    <s v="PRESENCIAL"/>
    <n v="331066"/>
    <s v="Raymundo Flores Marquez"/>
    <n v="16"/>
    <n v="2"/>
    <n v="11"/>
    <x v="98"/>
    <x v="105"/>
    <x v="8"/>
  </r>
  <r>
    <n v="51"/>
    <m/>
    <x v="21"/>
    <n v="26240"/>
    <x v="7"/>
    <s v="Activo de Producción Macuspana - Múspac"/>
    <s v="BASICO DE SEGURIDAD (BS)"/>
    <s v="PRESENCIAL"/>
    <n v="331066"/>
    <s v="Raymundo Flores Marquez"/>
    <n v="16"/>
    <n v="2"/>
    <n v="11"/>
    <x v="105"/>
    <x v="166"/>
    <x v="8"/>
  </r>
  <r>
    <n v="52"/>
    <m/>
    <x v="21"/>
    <n v="26241"/>
    <x v="7"/>
    <s v="Activo de Producción Macuspana - Múspac"/>
    <s v="BASICO DE SEGURIDAD (BS)"/>
    <s v="PRESENCIAL"/>
    <n v="331066"/>
    <s v="Raymundo Flores Marquez"/>
    <n v="16"/>
    <n v="2"/>
    <n v="11"/>
    <x v="106"/>
    <x v="188"/>
    <x v="9"/>
  </r>
  <r>
    <n v="53"/>
    <m/>
    <x v="21"/>
    <n v="26242"/>
    <x v="7"/>
    <s v="Activo de Producción Macuspana - Múspac"/>
    <s v="BASICO DE SEGURIDAD (BS)"/>
    <s v="PRESENCIAL"/>
    <n v="331066"/>
    <s v="Raymundo Flores Marquez"/>
    <n v="16"/>
    <n v="2"/>
    <n v="10"/>
    <x v="212"/>
    <x v="256"/>
    <x v="9"/>
  </r>
  <r>
    <n v="54"/>
    <m/>
    <x v="21"/>
    <n v="23756"/>
    <x v="7"/>
    <s v="Activo de Producción Macuspana - Múspac"/>
    <s v="SISTEMA DE PERMISOS PARA TRABAJOS CON RIESGO (SPTR)"/>
    <s v="PRESENCIAL"/>
    <n v="675132"/>
    <s v="Juan Arturo Romero Victorino"/>
    <n v="24"/>
    <n v="3"/>
    <n v="12"/>
    <x v="212"/>
    <x v="114"/>
    <x v="9"/>
  </r>
  <r>
    <n v="55"/>
    <m/>
    <x v="21"/>
    <n v="26243"/>
    <x v="7"/>
    <s v="Activo de Producción Macuspana - Múspac"/>
    <s v="BASICO DE SEGURIDAD (BS)"/>
    <s v="PRESENCIAL"/>
    <n v="331066"/>
    <s v="Raymundo Flores Marquez"/>
    <n v="16"/>
    <n v="2"/>
    <n v="10"/>
    <x v="115"/>
    <x v="118"/>
    <x v="9"/>
  </r>
  <r>
    <n v="15"/>
    <m/>
    <x v="22"/>
    <n v="25404"/>
    <x v="7"/>
    <s v="Gerencia de Mantenimiento, Confiabilidad y Construcción"/>
    <s v="BASICO DE SEGURIDAD (BS)"/>
    <s v="PRESENCIAL"/>
    <n v="432309"/>
    <s v="Miguel Herrera Sanchez"/>
    <n v="16"/>
    <n v="2"/>
    <n v="15"/>
    <x v="27"/>
    <x v="204"/>
    <x v="3"/>
  </r>
  <r>
    <n v="21"/>
    <m/>
    <x v="23"/>
    <n v="26244"/>
    <x v="7"/>
    <s v="Activo de Producción Macuspana - Múspac"/>
    <s v="BASICO DE SEGURIDAD (BS)"/>
    <s v="PRESENCIAL"/>
    <n v="352466"/>
    <s v="Santiago Alberto Mendoza Hernandez"/>
    <n v="16"/>
    <n v="2"/>
    <n v="14"/>
    <x v="137"/>
    <x v="144"/>
    <x v="4"/>
  </r>
  <r>
    <n v="23"/>
    <m/>
    <x v="23"/>
    <n v="24348"/>
    <x v="7"/>
    <s v="Activo de Producción Macuspana - Múspac"/>
    <s v="BRIGADAS DE BUSQUEDA Y RESCATE (BBR)"/>
    <s v="PRESENCIAL"/>
    <n v="352466"/>
    <s v="Santiago Alberto Mendoza Hernandez"/>
    <n v="24"/>
    <n v="3"/>
    <n v="13"/>
    <x v="37"/>
    <x v="147"/>
    <x v="4"/>
  </r>
  <r>
    <n v="24"/>
    <m/>
    <x v="23"/>
    <n v="26320"/>
    <x v="7"/>
    <s v="Activo de Producción Macuspana - Múspac"/>
    <s v="BRIGADAS DE PRIMEROS AUXILIOS(BPA)"/>
    <s v="PRESENCIAL"/>
    <n v="352466"/>
    <s v="Santiago Alberto Mendoza Hernandez"/>
    <n v="16"/>
    <n v="2"/>
    <n v="13"/>
    <x v="38"/>
    <x v="212"/>
    <x v="4"/>
  </r>
  <r>
    <n v="27"/>
    <m/>
    <x v="22"/>
    <n v="25413"/>
    <x v="7"/>
    <s v="Gerencia de Mantenimiento, Confiabilidad y Construcción"/>
    <s v="BASICO DE SEGURIDAD (BS)"/>
    <s v="PRESENCIAL"/>
    <n v="432309"/>
    <s v="Miguel Herrera Sanchez"/>
    <n v="16"/>
    <n v="2"/>
    <n v="15"/>
    <x v="140"/>
    <x v="150"/>
    <x v="4"/>
  </r>
  <r>
    <n v="28"/>
    <m/>
    <x v="23"/>
    <n v="26751"/>
    <x v="0"/>
    <s v="Gerencia de Servicios de Soporte y Logística Terrestre"/>
    <s v="BASICO DE SEGURIDAD (BS)"/>
    <s v="PRESENCIAL"/>
    <n v="365499"/>
    <s v="Victor Gabriel Kayser Espinosa"/>
    <n v="16"/>
    <n v="2"/>
    <n v="10"/>
    <x v="142"/>
    <x v="153"/>
    <x v="5"/>
  </r>
  <r>
    <n v="30"/>
    <m/>
    <x v="23"/>
    <n v="26750"/>
    <x v="0"/>
    <s v="Gerencia de Servicios de Soporte y Logística Terrestre"/>
    <s v="BASICO DE SEGURIDAD (BS)"/>
    <s v="PRESENCIAL"/>
    <n v="365499"/>
    <s v="Victor Gabriel Kayser Espinosa"/>
    <n v="16"/>
    <n v="2"/>
    <n v="11"/>
    <x v="45"/>
    <x v="214"/>
    <x v="5"/>
  </r>
  <r>
    <n v="32"/>
    <m/>
    <x v="22"/>
    <n v="25414"/>
    <x v="7"/>
    <s v="Gerencia de Mantenimiento, Confiabilidad y Construcción"/>
    <s v="BASICO DE SEGURIDAD (BS)"/>
    <s v="PRESENCIAL"/>
    <n v="432309"/>
    <s v="Miguel Herrera Sanchez"/>
    <n v="16"/>
    <n v="2"/>
    <n v="15"/>
    <x v="144"/>
    <x v="156"/>
    <x v="5"/>
  </r>
  <r>
    <n v="33"/>
    <m/>
    <x v="22"/>
    <n v="25420"/>
    <x v="7"/>
    <s v="Gerencia de Mantenimiento, Confiabilidad y Construcción"/>
    <s v="BASICO DE SEGURIDAD (BS)"/>
    <s v="PRESENCIAL"/>
    <n v="432309"/>
    <s v="Miguel Herrera Sanchez"/>
    <n v="16"/>
    <n v="2"/>
    <n v="15"/>
    <x v="67"/>
    <x v="242"/>
    <x v="6"/>
  </r>
  <r>
    <n v="34"/>
    <m/>
    <x v="20"/>
    <n v="24347"/>
    <x v="7"/>
    <s v="Activo de Producción Macuspana - Múspac"/>
    <s v="BRIGADAS DE BUSQUEDA Y RESCATE (BBR)"/>
    <s v="PRESENCIAL"/>
    <n v="570530"/>
    <s v="Maria Irene Cruz Magaña"/>
    <n v="24"/>
    <n v="3"/>
    <n v="10"/>
    <x v="75"/>
    <x v="79"/>
    <x v="7"/>
  </r>
  <r>
    <n v="35"/>
    <m/>
    <x v="23"/>
    <n v="26245"/>
    <x v="7"/>
    <s v="Activo de Producción Macuspana - Múspac"/>
    <s v="BASICO DE SEGURIDAD (BS)"/>
    <s v="PRESENCIAL"/>
    <n v="352466"/>
    <s v="Santiago Alberto Mendoza Hernandez"/>
    <n v="16"/>
    <n v="2"/>
    <n v="15"/>
    <x v="78"/>
    <x v="83"/>
    <x v="7"/>
  </r>
  <r>
    <n v="37"/>
    <m/>
    <x v="23"/>
    <n v="24349"/>
    <x v="7"/>
    <s v="Activo de Producción Macuspana - Múspac"/>
    <s v="BRIGADAS DE BUSQUEDA Y RESCATE (BBR)"/>
    <s v="PRESENCIAL"/>
    <n v="352466"/>
    <s v="Santiago Alberto Mendoza Hernandez"/>
    <n v="24"/>
    <n v="3"/>
    <n v="14"/>
    <x v="170"/>
    <x v="86"/>
    <x v="7"/>
  </r>
  <r>
    <n v="38"/>
    <m/>
    <x v="20"/>
    <n v="24346"/>
    <x v="7"/>
    <s v="Activo de Producción Macuspana - Múspac"/>
    <s v="BRIGADAS DE BUSQUEDA Y RESCATE (BBR)"/>
    <s v="PRESENCIAL"/>
    <n v="570530"/>
    <s v="Maria Irene Cruz Magaña"/>
    <n v="24"/>
    <n v="3"/>
    <n v="10"/>
    <x v="82"/>
    <x v="87"/>
    <x v="7"/>
  </r>
  <r>
    <n v="39"/>
    <m/>
    <x v="23"/>
    <n v="26321"/>
    <x v="7"/>
    <s v="Activo de Producción Macuspana - Múspac"/>
    <s v="BRIGADAS DE PRIMEROS AUXILIOS(BPA)"/>
    <s v="PRESENCIAL"/>
    <n v="352466"/>
    <s v="Santiago Alberto Mendoza Hernandez"/>
    <n v="16"/>
    <n v="2"/>
    <n v="14"/>
    <x v="149"/>
    <x v="88"/>
    <x v="7"/>
  </r>
  <r>
    <n v="40"/>
    <m/>
    <x v="22"/>
    <n v="25426"/>
    <x v="7"/>
    <s v="Gerencia de Mantenimiento, Confiabilidad y Construcción"/>
    <s v="BASICO DE SEGURIDAD (BS)"/>
    <s v="PRESENCIAL"/>
    <n v="432309"/>
    <s v="Miguel Herrera Sanchez"/>
    <n v="16"/>
    <n v="2"/>
    <n v="15"/>
    <x v="86"/>
    <x v="91"/>
    <x v="7"/>
  </r>
  <r>
    <n v="41"/>
    <m/>
    <x v="20"/>
    <n v="23475"/>
    <x v="7"/>
    <s v="Activo de Producción Macuspana - Múspac"/>
    <s v="BRIGADAS CONTRAINCENDIOS (BCII)"/>
    <s v="PRESENCIAL"/>
    <n v="570530"/>
    <s v="Maria Irene Cruz Magaña"/>
    <n v="24"/>
    <n v="3"/>
    <n v="12"/>
    <x v="88"/>
    <x v="93"/>
    <x v="7"/>
  </r>
  <r>
    <n v="1"/>
    <m/>
    <x v="24"/>
    <n v="27747"/>
    <x v="7"/>
    <s v="Activo de Producción Samaria Luna"/>
    <s v="BASICO DE SEGURIDAD (BS)"/>
    <s v="PRESENCIAL"/>
    <n v="432309"/>
    <s v="Miguel Herrera Sanchez"/>
    <n v="16"/>
    <n v="2"/>
    <n v="10"/>
    <x v="8"/>
    <x v="8"/>
    <x v="1"/>
  </r>
  <r>
    <n v="2"/>
    <m/>
    <x v="24"/>
    <n v="27597"/>
    <x v="7"/>
    <s v="Activo de Producción Samaria Luna"/>
    <s v="ACIDO SULFHIDRICO (H2S)"/>
    <s v="PRESENCIAL"/>
    <n v="570530"/>
    <s v="Maria Irene Cruz Magaña"/>
    <n v="8"/>
    <n v="1"/>
    <n v="11"/>
    <x v="157"/>
    <x v="255"/>
    <x v="1"/>
  </r>
  <r>
    <n v="3"/>
    <m/>
    <x v="24"/>
    <n v="24088"/>
    <x v="7"/>
    <s v="Activo de Producción Samaria Luna"/>
    <s v="REACREDITACION DE SIGNATARIOS DEL SPPTR (RSPTR)"/>
    <s v="PRESENCIAL"/>
    <n v="514091"/>
    <s v="MARCOS QUEVEDO MAGAÑA"/>
    <n v="8"/>
    <n v="1"/>
    <n v="11"/>
    <x v="10"/>
    <x v="9"/>
    <x v="1"/>
  </r>
  <r>
    <n v="4"/>
    <m/>
    <x v="24"/>
    <n v="27746"/>
    <x v="7"/>
    <s v="Activo de Producción Samaria Luna"/>
    <s v="BASICO DE SEGURIDAD (BS)"/>
    <s v="PRESENCIAL"/>
    <n v="432309"/>
    <s v="Miguel Herrera Sanchez"/>
    <n v="16"/>
    <n v="2"/>
    <n v="10"/>
    <x v="213"/>
    <x v="257"/>
    <x v="1"/>
  </r>
  <r>
    <n v="5"/>
    <m/>
    <x v="24"/>
    <n v="27596"/>
    <x v="7"/>
    <s v="Activo de Producción Samaria Luna"/>
    <s v="ACIDO SULFHIDRICO (H2S)"/>
    <s v="PRESENCIAL"/>
    <n v="570530"/>
    <s v="Maria Irene Cruz Magaña"/>
    <n v="8"/>
    <n v="1"/>
    <n v="12"/>
    <x v="159"/>
    <x v="172"/>
    <x v="1"/>
  </r>
  <r>
    <n v="6"/>
    <m/>
    <x v="24"/>
    <n v="27595"/>
    <x v="7"/>
    <s v="Activo de Producción Samaria Luna"/>
    <s v="ACIDO SULFHIDRICO (H2S)"/>
    <s v="PRESENCIAL"/>
    <n v="570530"/>
    <s v="Maria Irene Cruz Magaña"/>
    <n v="8"/>
    <n v="1"/>
    <n v="12"/>
    <x v="127"/>
    <x v="134"/>
    <x v="2"/>
  </r>
  <r>
    <n v="7"/>
    <m/>
    <x v="24"/>
    <n v="27745"/>
    <x v="7"/>
    <s v="Activo de Producción Samaria Luna"/>
    <s v="BASICO DE SEGURIDAD (BS)"/>
    <s v="PRESENCIAL"/>
    <n v="432309"/>
    <s v="Miguel Herrera Sanchez"/>
    <n v="16"/>
    <n v="2"/>
    <n v="10"/>
    <x v="160"/>
    <x v="175"/>
    <x v="2"/>
  </r>
  <r>
    <n v="16"/>
    <m/>
    <x v="24"/>
    <n v="29327"/>
    <x v="7"/>
    <s v="Activo de Producción Samaria Luna"/>
    <s v="DISCIPLINA OPERATIVA"/>
    <s v="PRESENCIAL"/>
    <n v="338549"/>
    <s v="Joel Cruz Sigala"/>
    <n v="16"/>
    <n v="2"/>
    <n v="4"/>
    <x v="141"/>
    <x v="152"/>
    <x v="5"/>
  </r>
  <r>
    <n v="17"/>
    <m/>
    <x v="24"/>
    <n v="29326"/>
    <x v="7"/>
    <s v="Activo de Producción Samaria Luna"/>
    <s v="DISCIPLINA OPERATIVA"/>
    <s v="PRESENCIAL"/>
    <n v="338549"/>
    <s v="Joel Cruz Sigala"/>
    <n v="16"/>
    <n v="2"/>
    <n v="5"/>
    <x v="142"/>
    <x v="153"/>
    <x v="5"/>
  </r>
  <r>
    <n v="8"/>
    <m/>
    <x v="24"/>
    <n v="27594"/>
    <x v="7"/>
    <s v="Activo de Producción Samaria Luna"/>
    <s v="ACIDO SULFHIDRICO (H2S)"/>
    <s v="PRESENCIAL"/>
    <n v="570530"/>
    <s v="Maria Irene Cruz Magaña"/>
    <n v="8"/>
    <n v="1"/>
    <n v="12"/>
    <x v="18"/>
    <x v="18"/>
    <x v="2"/>
  </r>
  <r>
    <n v="9"/>
    <m/>
    <x v="24"/>
    <n v="27744"/>
    <x v="7"/>
    <s v="Activo de Producción Samaria Luna"/>
    <s v="BASICO DE SEGURIDAD (BS)"/>
    <s v="PRESENCIAL"/>
    <n v="432309"/>
    <s v="Miguel Herrera Sanchez"/>
    <n v="16"/>
    <n v="2"/>
    <n v="11"/>
    <x v="198"/>
    <x v="211"/>
    <x v="2"/>
  </r>
  <r>
    <n v="10"/>
    <m/>
    <x v="24"/>
    <n v="27743"/>
    <x v="7"/>
    <s v="Activo de Producción Samaria Luna"/>
    <s v="BASICO DE SEGURIDAD (BS)"/>
    <s v="PRESENCIAL"/>
    <n v="432309"/>
    <s v="Miguel Herrera Sanchez"/>
    <n v="16"/>
    <n v="2"/>
    <n v="11"/>
    <x v="131"/>
    <x v="135"/>
    <x v="3"/>
  </r>
  <r>
    <n v="11"/>
    <m/>
    <x v="24"/>
    <n v="24068"/>
    <x v="7"/>
    <s v="Activo de Producción Samaria Luna"/>
    <s v="BRIGADAS CONTRAINCENDIOS (BCII)"/>
    <s v="PRESENCIAL"/>
    <n v="514091"/>
    <s v="MARCOS QUEVEDO MAGAÑA"/>
    <n v="24"/>
    <n v="3"/>
    <n v="7"/>
    <x v="20"/>
    <x v="196"/>
    <x v="3"/>
  </r>
  <r>
    <n v="12"/>
    <m/>
    <x v="24"/>
    <n v="27742"/>
    <x v="7"/>
    <s v="Activo de Producción Samaria Luna"/>
    <s v="BASICO DE SEGURIDAD (BS)"/>
    <s v="PRESENCIAL"/>
    <n v="432309"/>
    <s v="Miguel Herrera Sanchez"/>
    <n v="16"/>
    <n v="2"/>
    <n v="11"/>
    <x v="133"/>
    <x v="26"/>
    <x v="3"/>
  </r>
  <r>
    <n v="13"/>
    <m/>
    <x v="24"/>
    <n v="28192"/>
    <x v="7"/>
    <s v="Activo de Producción Samaria Luna"/>
    <s v="ENTRENAMIENTO BASICO EN SISTEMA PEMEX SSPA (EB SSPA)"/>
    <s v="PRESENCIAL"/>
    <n v="432309"/>
    <s v="Miguel Herrera Sanchez"/>
    <n v="16"/>
    <n v="2"/>
    <n v="9"/>
    <x v="134"/>
    <x v="138"/>
    <x v="4"/>
  </r>
  <r>
    <n v="14"/>
    <m/>
    <x v="24"/>
    <n v="24079"/>
    <x v="7"/>
    <s v="Activo de Producción Samaria Luna"/>
    <s v="BRIGADAS DE PRIMEROS AUXILIOS(BPA)"/>
    <s v="PRESENCIAL"/>
    <n v="570530"/>
    <s v="Maria Irene Cruz Magaña"/>
    <n v="16"/>
    <n v="2"/>
    <n v="9"/>
    <x v="136"/>
    <x v="141"/>
    <x v="4"/>
  </r>
  <r>
    <n v="15"/>
    <m/>
    <x v="24"/>
    <n v="24067"/>
    <x v="7"/>
    <s v="Activo de Producción Samaria Luna"/>
    <s v="BRIGADAS CONTRAINCENDIOS (BCII)"/>
    <s v="PRESENCIAL"/>
    <n v="514091"/>
    <s v="MARCOS QUEVEDO MAGAÑA"/>
    <n v="24"/>
    <n v="3"/>
    <n v="8"/>
    <x v="140"/>
    <x v="42"/>
    <x v="4"/>
  </r>
  <r>
    <n v="18"/>
    <m/>
    <x v="24"/>
    <n v="24066"/>
    <x v="7"/>
    <s v="Activo de Producción Samaria Luna"/>
    <s v="BRIGADAS CONTRAINCENDIOS (BCII)"/>
    <s v="PRESENCIAL"/>
    <n v="514091"/>
    <s v="MARCOS QUEVEDO MAGAÑA"/>
    <n v="24"/>
    <n v="3"/>
    <n v="8"/>
    <x v="142"/>
    <x v="154"/>
    <x v="5"/>
  </r>
  <r>
    <n v="19"/>
    <m/>
    <x v="24"/>
    <n v="27562"/>
    <x v="7"/>
    <s v="Activo de Producción Samaria Luna"/>
    <s v="VERIFICADOR DE GAS (VG)"/>
    <s v="PRESENCIAL"/>
    <n v="570441"/>
    <s v="Alejandro Padilla Roldan"/>
    <n v="8"/>
    <n v="1"/>
    <n v="10"/>
    <x v="49"/>
    <x v="48"/>
    <x v="5"/>
  </r>
  <r>
    <n v="20"/>
    <m/>
    <x v="24"/>
    <n v="29328"/>
    <x v="7"/>
    <s v="Activo de Producción Samaria Luna"/>
    <s v="AUDITORIAS EFECTIVAS"/>
    <s v="PRESENCIAL"/>
    <n v="338549"/>
    <s v="Joel Cruz Sigala"/>
    <n v="8"/>
    <n v="1"/>
    <n v="9"/>
    <x v="168"/>
    <x v="183"/>
    <x v="5"/>
  </r>
  <r>
    <n v="21"/>
    <m/>
    <x v="24"/>
    <n v="24087"/>
    <x v="7"/>
    <s v="Activo de Producción Samaria Luna"/>
    <s v="REACREDITACION DE SIGNATARIOS DEL SPPTR (RSPTR)"/>
    <s v="PRESENCIAL"/>
    <n v="514091"/>
    <s v="MARCOS QUEVEDO MAGAÑA"/>
    <n v="8"/>
    <n v="1"/>
    <n v="10"/>
    <x v="214"/>
    <x v="240"/>
    <x v="5"/>
  </r>
  <r>
    <n v="22"/>
    <m/>
    <x v="24"/>
    <n v="27561"/>
    <x v="7"/>
    <s v="Activo de Producción Samaria Luna"/>
    <s v="VERIFICADOR DE GAS (VG)"/>
    <s v="PRESENCIAL"/>
    <n v="570441"/>
    <s v="Alejandro Padilla Roldan"/>
    <n v="8"/>
    <n v="1"/>
    <n v="11"/>
    <x v="201"/>
    <x v="241"/>
    <x v="6"/>
  </r>
  <r>
    <n v="23"/>
    <m/>
    <x v="24"/>
    <n v="28190"/>
    <x v="7"/>
    <s v="Activo de Producción Samaria Luna"/>
    <s v="SISTEMA DE PERMISOS PARA TRABAJOS CON RIESGO (SPTR)"/>
    <s v="PRESENCIAL"/>
    <n v="514091"/>
    <s v="MARCOS QUEVEDO MAGAÑA"/>
    <n v="24"/>
    <n v="3"/>
    <n v="12"/>
    <x v="59"/>
    <x v="159"/>
    <x v="6"/>
  </r>
  <r>
    <n v="24"/>
    <m/>
    <x v="24"/>
    <n v="24078"/>
    <x v="7"/>
    <s v="Activo de Producción Samaria Luna"/>
    <s v="BRIGADAS DE PRIMEROS AUXILIOS(BPA)"/>
    <s v="PRESENCIAL"/>
    <n v="570530"/>
    <s v="Maria Irene Cruz Magaña"/>
    <n v="16"/>
    <n v="2"/>
    <n v="9"/>
    <x v="69"/>
    <x v="74"/>
    <x v="7"/>
  </r>
  <r>
    <n v="25"/>
    <m/>
    <x v="24"/>
    <n v="24086"/>
    <x v="7"/>
    <s v="Activo de Producción Samaria Luna"/>
    <s v="REACREDITACION DE SIGNATARIOS DEL SPPTR (RSPTR)"/>
    <s v="PRESENCIAL"/>
    <n v="514091"/>
    <s v="MARCOS QUEVEDO MAGAÑA"/>
    <n v="8"/>
    <n v="1"/>
    <n v="10"/>
    <x v="72"/>
    <x v="77"/>
    <x v="7"/>
  </r>
  <r>
    <n v="26"/>
    <m/>
    <x v="24"/>
    <n v="27560"/>
    <x v="7"/>
    <s v="Activo de Producción Samaria Luna"/>
    <s v="VERIFICADOR DE GAS (VG)"/>
    <s v="PRESENCIAL"/>
    <n v="570441"/>
    <s v="Alejandro Padilla Roldan"/>
    <n v="8"/>
    <n v="1"/>
    <n v="11"/>
    <x v="76"/>
    <x v="80"/>
    <x v="7"/>
  </r>
  <r>
    <n v="27"/>
    <m/>
    <x v="24"/>
    <n v="27593"/>
    <x v="7"/>
    <s v="Activo de Producción Samaria Luna"/>
    <s v="ACIDO SULFHIDRICO (H2S)"/>
    <s v="PRESENCIAL"/>
    <n v="570530"/>
    <s v="Maria Irene Cruz Magaña"/>
    <n v="8"/>
    <n v="1"/>
    <n v="12"/>
    <x v="86"/>
    <x v="90"/>
    <x v="7"/>
  </r>
  <r>
    <n v="28"/>
    <m/>
    <x v="24"/>
    <n v="24077"/>
    <x v="7"/>
    <s v="Activo de Producción Samaria Luna"/>
    <s v="BRIGADAS DE PRIMEROS AUXILIOS(BPA)"/>
    <s v="PRESENCIAL"/>
    <n v="570530"/>
    <s v="Maria Irene Cruz Magaña"/>
    <n v="16"/>
    <n v="2"/>
    <n v="9"/>
    <x v="171"/>
    <x v="111"/>
    <x v="9"/>
  </r>
  <r>
    <n v="29"/>
    <m/>
    <x v="24"/>
    <n v="27559"/>
    <x v="7"/>
    <s v="Activo de Producción Samaria Luna"/>
    <s v="VERIFICADOR DE GAS (VG)"/>
    <s v="PRESENCIAL"/>
    <n v="570441"/>
    <s v="Alejandro Padilla Roldan"/>
    <n v="8"/>
    <n v="1"/>
    <n v="11"/>
    <x v="108"/>
    <x v="258"/>
    <x v="9"/>
  </r>
  <r>
    <n v="30"/>
    <m/>
    <x v="24"/>
    <n v="27558"/>
    <x v="7"/>
    <s v="Activo de Producción Samaria Luna"/>
    <s v="VERIFICADOR DE GAS (VG)"/>
    <s v="PRESENCIAL"/>
    <n v="570441"/>
    <s v="Alejandro Padilla Roldan"/>
    <n v="8"/>
    <n v="1"/>
    <n v="11"/>
    <x v="180"/>
    <x v="124"/>
    <x v="10"/>
  </r>
  <r>
    <n v="1"/>
    <m/>
    <x v="25"/>
    <n v="23165"/>
    <x v="7"/>
    <s v="Gerencia de Mantenimiento, Confiabilidad y Construcción"/>
    <s v="VERIFICADOR DE GAS (VG)"/>
    <s v="PRESENCIAL"/>
    <n v="342974"/>
    <s v="Jose Ramon Cordova Ovando"/>
    <n v="8"/>
    <n v="1"/>
    <n v="4"/>
    <x v="211"/>
    <x v="6"/>
    <x v="1"/>
  </r>
  <r>
    <n v="2"/>
    <m/>
    <x v="25"/>
    <n v="25646"/>
    <x v="7"/>
    <s v="Gerencia de Mantenimiento, Confiabilidad y Construcción"/>
    <s v="REACREDITACION DE SIGNATARIOS DEL SPPTR (RSPTR)"/>
    <s v="PRESENCIAL"/>
    <n v="501348"/>
    <s v="Homero Sánchez Flores"/>
    <n v="8"/>
    <n v="1"/>
    <n v="2"/>
    <x v="189"/>
    <x v="210"/>
    <x v="2"/>
  </r>
  <r>
    <n v="3"/>
    <m/>
    <x v="25"/>
    <n v="22580"/>
    <x v="7"/>
    <s v="Subdirección de Producción Región Sur"/>
    <s v="MANEJO A LA DEFENSIVA (MD)"/>
    <s v="PRESENCIAL"/>
    <n v="386534"/>
    <s v="Benjamin Nicolas Hernandez Hernandez"/>
    <n v="8"/>
    <n v="1"/>
    <n v="3"/>
    <x v="17"/>
    <x v="218"/>
    <x v="2"/>
  </r>
  <r>
    <n v="4"/>
    <m/>
    <x v="25"/>
    <n v="21421"/>
    <x v="5"/>
    <s v="Subdirección de Exploración"/>
    <s v="MANEJO A LA DEFENSIVA (MD)"/>
    <s v="PRESENCIAL"/>
    <n v="374049"/>
    <s v="Elias Cordova Perez"/>
    <n v="8"/>
    <n v="2"/>
    <n v="1"/>
    <x v="192"/>
    <x v="218"/>
    <x v="2"/>
  </r>
  <r>
    <n v="5"/>
    <m/>
    <x v="25"/>
    <n v="21034"/>
    <x v="1"/>
    <s v="Gerencia de Seguridad, Salud en el Trabajo y Protección Ambiental Región Sur"/>
    <s v="AUDITORIAS EFECTIVAS"/>
    <s v="PRESENCIAL"/>
    <n v="204199"/>
    <s v="Homero Gomez Guzman"/>
    <n v="8"/>
    <n v="1"/>
    <n v="6"/>
    <x v="17"/>
    <x v="218"/>
    <x v="2"/>
  </r>
  <r>
    <n v="6"/>
    <m/>
    <x v="25"/>
    <n v="21035"/>
    <x v="1"/>
    <s v="Gerencia de Seguridad, Salud en el Trabajo y Protección Ambiental Región Sur"/>
    <s v="INVESTIGACION DE INCIDENTES Y ANALISIS DE CAUSA RAIZ (IIACR)"/>
    <s v="A DISTANCIA"/>
    <n v="201741"/>
    <s v="José del Carmen Contreras Cruz"/>
    <n v="16"/>
    <n v="2"/>
    <n v="12"/>
    <x v="198"/>
    <x v="211"/>
    <x v="2"/>
  </r>
  <r>
    <n v="7"/>
    <m/>
    <x v="25"/>
    <n v="25449"/>
    <x v="7"/>
    <s v="Gerencia de Mantenimiento, Confiabilidad y Construcción"/>
    <s v="AUDITORIAS EFECTIVAS"/>
    <s v="PRESENCIAL"/>
    <n v="374049"/>
    <s v="Elias Cordova Perez"/>
    <n v="8"/>
    <n v="1"/>
    <n v="13"/>
    <x v="130"/>
    <x v="21"/>
    <x v="3"/>
  </r>
  <r>
    <n v="9"/>
    <m/>
    <x v="25"/>
    <n v="25403"/>
    <x v="7"/>
    <s v="Gerencia de Mantenimiento, Confiabilidad y Construcción"/>
    <s v="BASICO DE SEGURIDAD (BS)"/>
    <s v="PRESENCIAL"/>
    <n v="359204"/>
    <s v="Roger Cancino Maldonado"/>
    <n v="16"/>
    <n v="2"/>
    <n v="20"/>
    <x v="20"/>
    <x v="195"/>
    <x v="3"/>
  </r>
  <r>
    <n v="18"/>
    <m/>
    <x v="25"/>
    <n v="26424"/>
    <x v="0"/>
    <s v="Gerencia de Servicios de Soporte y Logística Terrestre"/>
    <s v="AUDITORIAS EFECTIVAS"/>
    <s v="PRESENCIAL"/>
    <n v="374049"/>
    <s v="Elias Cordova Perez"/>
    <n v="8"/>
    <n v="1"/>
    <n v="2"/>
    <x v="140"/>
    <x v="259"/>
    <x v="4"/>
  </r>
  <r>
    <n v="20"/>
    <m/>
    <x v="24"/>
    <n v="26752"/>
    <x v="0"/>
    <s v="Gerencia de Servicios de Soporte y Logística Terrestre"/>
    <s v="BASICO DE SEGURIDAD (BS)"/>
    <s v="PRESENCIAL"/>
    <n v="428350"/>
    <s v="Ubaldo Martinez Ocampo"/>
    <n v="16"/>
    <n v="2"/>
    <n v="1"/>
    <x v="45"/>
    <x v="214"/>
    <x v="5"/>
  </r>
  <r>
    <n v="10"/>
    <m/>
    <x v="25"/>
    <n v="26122"/>
    <x v="5"/>
    <s v="Gerencia de Caracterización de Yacimientos y Exploración de Campos"/>
    <s v="SOBREVIVENCIA EN EL MAR (SM)"/>
    <s v="PRESENCIAL"/>
    <n v="245435"/>
    <s v="Cesar Valencia Viveros"/>
    <n v="16"/>
    <n v="2"/>
    <n v="1"/>
    <x v="132"/>
    <x v="24"/>
    <x v="3"/>
  </r>
  <r>
    <n v="15"/>
    <m/>
    <x v="25"/>
    <n v="25270"/>
    <x v="7"/>
    <s v="Gerencia de Mantenimiento, Confiabilidad y Construcción"/>
    <s v="ADMINISTRACION DE RIESGOS EN PEMEX EXPLORACION Y PRODUCCION"/>
    <s v="PRESENCIAL"/>
    <n v="309218"/>
    <s v="Patricia Vizcarra Zamudio"/>
    <n v="8"/>
    <n v="1"/>
    <n v="10"/>
    <x v="38"/>
    <x v="39"/>
    <x v="4"/>
  </r>
  <r>
    <n v="17"/>
    <m/>
    <x v="24"/>
    <n v="26476"/>
    <x v="0"/>
    <s v="Gerencia de Servicios de Soporte y Logística Terrestre"/>
    <s v="MANEJO A LA DEFENSIVA"/>
    <s v="PRESENCIAL"/>
    <n v="441106"/>
    <s v="Javier Becerril Morales"/>
    <n v="8"/>
    <n v="1"/>
    <n v="18"/>
    <x v="41"/>
    <x v="149"/>
    <x v="4"/>
  </r>
  <r>
    <n v="22"/>
    <m/>
    <x v="25"/>
    <n v="29558"/>
    <x v="8"/>
    <s v="Gerencia de Operación de Contratos y Asociaciones de Producción Sur"/>
    <s v="AUDITORIAS EFECTIVAS"/>
    <s v="PRESENCIAL"/>
    <n v="328467"/>
    <s v="Alberto Ruiz Barbosa"/>
    <n v="8"/>
    <n v="2"/>
    <n v="1"/>
    <x v="144"/>
    <x v="156"/>
    <x v="5"/>
  </r>
  <r>
    <n v="8"/>
    <m/>
    <x v="25"/>
    <n v="20999"/>
    <x v="1"/>
    <s v="Gerencia de Seguridad, Salud en el Trabajo y Protección Ambiental Región Sur"/>
    <s v="ADMINISTRACION DE RIESGOS EN PEMEX EXPLORACION Y PRODUCCION"/>
    <s v="A DISTANCIA"/>
    <n v="201741"/>
    <s v="José del Carmen Contreras Cruz"/>
    <n v="8"/>
    <n v="1"/>
    <n v="15"/>
    <x v="20"/>
    <x v="22"/>
    <x v="3"/>
  </r>
  <r>
    <n v="11"/>
    <m/>
    <x v="25"/>
    <n v="20998"/>
    <x v="1"/>
    <s v="Gerencia de Seguridad, Salud en el Trabajo y Protección Ambiental Región Sur"/>
    <s v="ADMINISTRACION DE RIESGOS EN PEMEX EXPLORACION Y PRODUCCION"/>
    <s v="A DISTANCIA"/>
    <n v="201741"/>
    <s v="José del Carmen Contreras Cruz"/>
    <n v="8"/>
    <n v="1"/>
    <n v="9"/>
    <x v="25"/>
    <x v="25"/>
    <x v="3"/>
  </r>
  <r>
    <n v="12"/>
    <m/>
    <x v="25"/>
    <n v="21033"/>
    <x v="1"/>
    <s v="Gerencia de Seguridad, Salud en el Trabajo y Protección Ambiental Región Sur"/>
    <s v="LIDERAZGO OPERATIVO PARA LA ADMINISTRACION DE RIESGOS"/>
    <s v="PRESENCIAL"/>
    <n v="374123"/>
    <s v="Gustavo Adolfo Miranda Rosas"/>
    <n v="32"/>
    <n v="4"/>
    <n v="13"/>
    <x v="136"/>
    <x v="237"/>
    <x v="4"/>
  </r>
  <r>
    <n v="13"/>
    <m/>
    <x v="25"/>
    <n v="25264"/>
    <x v="7"/>
    <s v="Gerencia de Mantenimiento, Confiabilidad y Construcción"/>
    <s v="ADMINISTRACION AMBIENTAL"/>
    <s v="A DISTANCIA"/>
    <n v="315738"/>
    <s v="María de los Angeles Alday Alvarez"/>
    <n v="16"/>
    <n v="2"/>
    <n v="8"/>
    <x v="137"/>
    <x v="144"/>
    <x v="4"/>
  </r>
  <r>
    <n v="14"/>
    <m/>
    <x v="25"/>
    <n v="20996"/>
    <x v="1"/>
    <s v="Gerencia de Seguridad, Salud en el Trabajo y Protección Ambiental Región Sur"/>
    <s v="ADMINISTRACION AMBIENTAL"/>
    <s v="PRESENCIAL"/>
    <n v="315738"/>
    <s v="María de los Angeles Alday Alvarez"/>
    <n v="16"/>
    <n v="2"/>
    <n v="7"/>
    <x v="137"/>
    <x v="144"/>
    <x v="4"/>
  </r>
  <r>
    <n v="16"/>
    <m/>
    <x v="25"/>
    <n v="23904"/>
    <x v="0"/>
    <s v="Gerencia de Servicios de Mantenimiento, Confiabilidad y Construcción de Infraestructura Terrestre"/>
    <s v="LIDERAZGO EN SSPA"/>
    <s v="PRESENCIAL"/>
    <n v="324620"/>
    <s v="Gustavo Alberto Romero Manzano"/>
    <n v="16"/>
    <n v="2"/>
    <n v="2"/>
    <x v="38"/>
    <x v="212"/>
    <x v="4"/>
  </r>
  <r>
    <n v="19"/>
    <m/>
    <x v="25"/>
    <n v="22300"/>
    <x v="1"/>
    <s v="Gerencia de Seguridad, Salud en el Trabajo y Protección Ambiental Región Sur"/>
    <s v="PREVENCION DE RIESGOS LABORALES"/>
    <s v="A DISTANCIA"/>
    <n v="201741"/>
    <s v="José del Carmen Contreras Cruz"/>
    <n v="16"/>
    <n v="2"/>
    <n v="12"/>
    <x v="142"/>
    <x v="153"/>
    <x v="5"/>
  </r>
  <r>
    <n v="21"/>
    <m/>
    <x v="25"/>
    <n v="21004"/>
    <x v="1"/>
    <s v="Gerencia de Seguridad, Salud en el Trabajo y Protección Ambiental Región Sur"/>
    <s v="LIDERAZGO EN SSPA"/>
    <s v="A DISTANCIA"/>
    <n v="374123"/>
    <s v="Gustavo Adolfo Miranda Rosas"/>
    <n v="16"/>
    <n v="2"/>
    <n v="9"/>
    <x v="46"/>
    <x v="155"/>
    <x v="5"/>
  </r>
  <r>
    <n v="1"/>
    <m/>
    <x v="26"/>
    <n v="21954"/>
    <x v="3"/>
    <s v="Gerencia de Medición y Balances"/>
    <s v="SALUD EN EL TRABAJO"/>
    <s v="PRESENCIAL"/>
    <n v="336327"/>
    <s v="Omar Hernandez Carrera"/>
    <n v="24"/>
    <n v="3"/>
    <n v="1"/>
    <x v="46"/>
    <x v="47"/>
    <x v="5"/>
  </r>
  <r>
    <n v="2"/>
    <m/>
    <x v="26"/>
    <n v="21750"/>
    <x v="3"/>
    <s v="Subdirección de Coordinación Operativa y Comercial"/>
    <s v="MANEJO A LA DEFENSIVA (MD)"/>
    <s v="PRESENCIAL"/>
    <n v="374049"/>
    <s v="Elias Cordova Perez"/>
    <n v="8"/>
    <n v="1"/>
    <n v="1"/>
    <x v="215"/>
    <x v="50"/>
    <x v="5"/>
  </r>
  <r>
    <n v="3"/>
    <m/>
    <x v="26"/>
    <n v="27720"/>
    <x v="8"/>
    <s v="Subdirección de Exploración y Producción por Contratos y Asociaciones"/>
    <s v="ADMINISTRACION DE RIESGOS EN PEMEX EXPLORACION Y PRODUCCION"/>
    <s v="PRESENCIAL"/>
    <n v="107392"/>
    <s v="Francisco Arcos Garcia"/>
    <n v="8"/>
    <n v="1"/>
    <n v="1"/>
    <x v="67"/>
    <x v="71"/>
    <x v="6"/>
  </r>
  <r>
    <n v="4"/>
    <m/>
    <x v="27"/>
    <n v="21982"/>
    <x v="5"/>
    <s v="Gerencia de Caracterización de Yacimientos y Exploración de Campos"/>
    <s v="SISTEMA DE PERMISOS PARA TRABAJOS CON RIESGO (SPTR)"/>
    <s v="PRESENCIAL"/>
    <n v="214350"/>
    <s v="Ivan Raudell Carballo Cardoza"/>
    <n v="24"/>
    <n v="3"/>
    <n v="5"/>
    <x v="170"/>
    <x v="86"/>
    <x v="7"/>
  </r>
  <r>
    <n v="1"/>
    <m/>
    <x v="25"/>
    <n v="21743"/>
    <x v="1"/>
    <s v="Gerencia del Sistema Pemex Seguridad, Salud y Protección Ambiental e Integración de Proyectos"/>
    <s v="ADMINISTRACION AMBIENTAL"/>
    <s v="A DISTANCIA"/>
    <n v="315738"/>
    <s v="María de los Angeles Alday Alvarez"/>
    <n v="16"/>
    <n v="2"/>
    <n v="10"/>
    <x v="31"/>
    <x v="138"/>
    <x v="4"/>
  </r>
  <r>
    <n v="2"/>
    <m/>
    <x v="11"/>
    <n v="21063"/>
    <x v="1"/>
    <s v="Gerencia del Sistema Pemex Seguridad, Salud y Protección Ambiental e Integración de Proyectos"/>
    <s v="SEGURIDAD EN CENTROS ADMINISTRACIONS (SCA)"/>
    <s v="PRESENCIAL"/>
    <n v="598519"/>
    <s v="Dayana Huerta Reza"/>
    <n v="8"/>
    <n v="1"/>
    <n v="4"/>
    <x v="149"/>
    <x v="260"/>
    <x v="7"/>
  </r>
  <r>
    <n v="3"/>
    <m/>
    <x v="11"/>
    <n v="21064"/>
    <x v="1"/>
    <s v="Gerencia del Sistema Pemex Seguridad, Salud y Protección Ambiental e Integración de Proyectos"/>
    <s v="SEGURIDAD EN CENTROS ADMINISTRACIONS (SCA)"/>
    <s v="PRESENCIAL"/>
    <n v="598519"/>
    <s v="Dayana Huerta Reza"/>
    <n v="8"/>
    <n v="1"/>
    <n v="3"/>
    <x v="151"/>
    <x v="261"/>
    <x v="8"/>
  </r>
  <r>
    <n v="4"/>
    <m/>
    <x v="25"/>
    <n v="21938"/>
    <x v="1"/>
    <s v="Gerencia de Evaluación, Auditoría y Normatividad"/>
    <s v="ADMINISTRACION DE EMERGENCIAS MAYORES (AEM)"/>
    <s v="PRESENCIAL"/>
    <n v="361756"/>
    <s v="Elio Mendez Damasco"/>
    <n v="16"/>
    <n v="4"/>
    <n v="4"/>
    <x v="152"/>
    <x v="102"/>
    <x v="8"/>
  </r>
  <r>
    <m/>
    <m/>
    <x v="28"/>
    <n v="29370"/>
    <x v="9"/>
    <s v="Gerencia de Mantenimiento, Confiabilidad y Construcción"/>
    <s v="SEGURIDAD Y SOBREVIVENCIA COSTA AFUERA (SSCA)"/>
    <s v="PRESENCIAL"/>
    <n v="245435"/>
    <s v="Cesar Valencia Viveros"/>
    <n v="24"/>
    <n v="3"/>
    <n v="10"/>
    <x v="191"/>
    <x v="191"/>
    <x v="12"/>
  </r>
  <r>
    <m/>
    <m/>
    <x v="28"/>
    <n v="31050"/>
    <x v="9"/>
    <s v="Activo de Producción Litoral de Tabasco"/>
    <s v="PROCEDIMIENTOS CRITICOS (PC)"/>
    <s v="PRESENCIAL"/>
    <n v="370733"/>
    <s v="José Guadalupe Resendíz Robles"/>
    <n v="16"/>
    <n v="2"/>
    <n v="9"/>
    <x v="18"/>
    <x v="177"/>
    <x v="12"/>
  </r>
  <r>
    <m/>
    <m/>
    <x v="28"/>
    <n v="29598"/>
    <x v="1"/>
    <s v="Gerencia de Seguridad, Salud en el Trabajo y Protección Ambiental Región Marina"/>
    <s v="SEGURIDAD EN CENTROS ADMINISTRACIONS (SCA)"/>
    <s v="PRESENCIAL"/>
    <n v="245435"/>
    <s v="Cesar Valencia Viveros"/>
    <n v="8"/>
    <n v="1"/>
    <n v="9"/>
    <x v="193"/>
    <x v="178"/>
    <x v="12"/>
  </r>
  <r>
    <m/>
    <m/>
    <x v="28"/>
    <n v="24511"/>
    <x v="3"/>
    <s v="Gerencia de Coordinación de Operaciones"/>
    <s v="BASICO DE SEGURIDAD (BS)"/>
    <s v="PRESENCIAL"/>
    <n v="245435"/>
    <s v="Cesar Valencia Viveros"/>
    <n v="16"/>
    <n v="2"/>
    <n v="5"/>
    <x v="129"/>
    <x v="21"/>
    <x v="13"/>
  </r>
  <r>
    <m/>
    <m/>
    <x v="28"/>
    <n v="30261"/>
    <x v="1"/>
    <s v="Gerencia de Seguridad, Salud en el Trabajo y Protección Ambiental Región Marina"/>
    <s v="VERIFICADOR DE GAS (VG)"/>
    <s v="PRESENCIAL"/>
    <n v="971841"/>
    <s v="Tobias Magaña Ruiz"/>
    <n v="8"/>
    <n v="1"/>
    <n v="6"/>
    <x v="177"/>
    <x v="135"/>
    <x v="13"/>
  </r>
  <r>
    <m/>
    <m/>
    <x v="28"/>
    <n v="25315"/>
    <x v="3"/>
    <s v="Gerencia de Coordinación de Operaciones"/>
    <s v="VERIFICADOR DE GAS (VG)"/>
    <s v="PRESENCIAL"/>
    <n v="245434"/>
    <s v="Joel Licona Mar"/>
    <n v="8"/>
    <n v="1"/>
    <n v="3"/>
    <x v="200"/>
    <x v="239"/>
    <x v="13"/>
  </r>
  <r>
    <m/>
    <m/>
    <x v="28"/>
    <n v="24512"/>
    <x v="3"/>
    <s v="Gerencia de Coordinación de Operaciones"/>
    <s v="BASICO DE SEGURIDAD (BS)"/>
    <s v="PRESENCIAL"/>
    <n v="245435"/>
    <s v="Cesar Valencia Viveros"/>
    <n v="16"/>
    <n v="2"/>
    <n v="3"/>
    <x v="21"/>
    <x v="22"/>
    <x v="13"/>
  </r>
  <r>
    <m/>
    <m/>
    <x v="28"/>
    <n v="24732"/>
    <x v="3"/>
    <s v="Gerencia de Coordinación de Operaciones"/>
    <s v="SISTEMA DE PERMISOS PARA TRABAJOS CON RIESGO (SPTR)"/>
    <s v="PRESENCIAL"/>
    <n v="971841"/>
    <s v="Tobias Magaña Ruiz"/>
    <n v="24"/>
    <n v="3"/>
    <n v="3"/>
    <x v="200"/>
    <x v="262"/>
    <x v="13"/>
  </r>
  <r>
    <m/>
    <m/>
    <x v="28"/>
    <n v="24734"/>
    <x v="3"/>
    <s v="Gerencia de Coordinación de Operaciones"/>
    <s v="SISTEMA DE PERMISOS PARA TRABAJOS CON RIESGO (SPTR)"/>
    <s v="PRESENCIAL"/>
    <n v="322115"/>
    <s v="Eduardo Moheno Torres"/>
    <n v="24"/>
    <n v="3"/>
    <n v="3"/>
    <x v="20"/>
    <x v="263"/>
    <x v="13"/>
  </r>
  <r>
    <m/>
    <m/>
    <x v="28"/>
    <n v="24733"/>
    <x v="3"/>
    <s v="Gerencia de Coordinación de Operaciones"/>
    <s v="SISTEMA DE PERMISOS PARA TRABAJOS CON RIESGO (SPTR)"/>
    <s v="PRESENCIAL"/>
    <n v="971841"/>
    <s v="Tobias Magaña Ruiz"/>
    <n v="24"/>
    <n v="3"/>
    <n v="3"/>
    <x v="132"/>
    <x v="264"/>
    <x v="13"/>
  </r>
  <r>
    <m/>
    <m/>
    <x v="28"/>
    <n v="24513"/>
    <x v="3"/>
    <s v="Gerencia de Coordinación de Operaciones"/>
    <s v="BASICO DE SEGURIDAD (BS)"/>
    <s v="PRESENCIAL"/>
    <n v="245435"/>
    <s v="Cesar Valencia Viveros"/>
    <n v="16"/>
    <n v="2"/>
    <n v="3"/>
    <x v="25"/>
    <x v="265"/>
    <x v="13"/>
  </r>
  <r>
    <m/>
    <m/>
    <x v="28"/>
    <n v="25316"/>
    <x v="3"/>
    <s v="Gerencia de Coordinación de Operaciones"/>
    <s v="VERIFICADOR DE GAS (VG)"/>
    <s v="PRESENCIAL"/>
    <n v="245434"/>
    <s v="Joel Licona Mar"/>
    <n v="8"/>
    <n v="1"/>
    <n v="3"/>
    <x v="26"/>
    <x v="224"/>
    <x v="13"/>
  </r>
  <r>
    <m/>
    <m/>
    <x v="28"/>
    <n v="25317"/>
    <x v="3"/>
    <s v="Gerencia de Coordinación de Operaciones"/>
    <s v="VERIFICADOR DE GAS (VG)"/>
    <s v="PRESENCIAL"/>
    <n v="245434"/>
    <s v="Joel Licona Mar"/>
    <n v="8"/>
    <n v="1"/>
    <n v="3"/>
    <x v="29"/>
    <x v="226"/>
    <x v="13"/>
  </r>
  <r>
    <m/>
    <m/>
    <x v="28"/>
    <n v="24515"/>
    <x v="3"/>
    <s v="Gerencia de Coordinación de Operaciones"/>
    <s v="BASICO DE SEGURIDAD (BS)"/>
    <s v="PRESENCIAL"/>
    <n v="245435"/>
    <s v="Cesar Valencia Viveros"/>
    <n v="16"/>
    <n v="2"/>
    <n v="3"/>
    <x v="31"/>
    <x v="137"/>
    <x v="14"/>
  </r>
  <r>
    <m/>
    <m/>
    <x v="28"/>
    <n v="24737"/>
    <x v="3"/>
    <s v="Gerencia de Coordinación de Operaciones"/>
    <s v="SISTEMA DE PERMISOS PARA TRABAJOS CON RIESGO (SPTR)"/>
    <s v="PRESENCIAL"/>
    <n v="971841"/>
    <s v="Tobias Magaña Ruiz"/>
    <n v="24"/>
    <n v="3"/>
    <n v="3"/>
    <x v="32"/>
    <x v="138"/>
    <x v="14"/>
  </r>
  <r>
    <m/>
    <m/>
    <x v="28"/>
    <n v="24636"/>
    <x v="3"/>
    <s v="Gerencia de Coordinación de Operaciones"/>
    <s v="BRIGADAS CONTRAINCENDIOS (BCII)"/>
    <s v="PRESENCIAL"/>
    <n v="245435"/>
    <s v="Cesar Valencia Viveros"/>
    <n v="24"/>
    <n v="3"/>
    <n v="3"/>
    <x v="136"/>
    <x v="142"/>
    <x v="14"/>
  </r>
  <r>
    <m/>
    <m/>
    <x v="28"/>
    <n v="24736"/>
    <x v="3"/>
    <s v="Gerencia de Coordinación de Operaciones"/>
    <s v="SISTEMA DE PERMISOS PARA TRABAJOS CON RIESGO (SPTR)"/>
    <s v="PRESENCIAL"/>
    <n v="971841"/>
    <s v="Tobias Magaña Ruiz"/>
    <n v="24"/>
    <n v="3"/>
    <n v="3"/>
    <x v="136"/>
    <x v="142"/>
    <x v="14"/>
  </r>
  <r>
    <m/>
    <m/>
    <x v="28"/>
    <n v="24738"/>
    <x v="3"/>
    <s v="Gerencia de Coordinación de Operaciones"/>
    <s v="SISTEMA DE PERMISOS PARA TRABAJOS CON RIESGO (SPTR)"/>
    <s v="PRESENCIAL"/>
    <n v="971841"/>
    <s v="Tobias Magaña Ruiz"/>
    <n v="24"/>
    <n v="3"/>
    <n v="3"/>
    <x v="37"/>
    <x v="147"/>
    <x v="14"/>
  </r>
  <r>
    <m/>
    <m/>
    <x v="28"/>
    <n v="25321"/>
    <x v="3"/>
    <s v="Gerencia de Coordinación de Operaciones"/>
    <s v="VERIFICADOR DE GAS (VG)"/>
    <s v="PRESENCIAL"/>
    <n v="245434"/>
    <s v="Joel Licona Mar"/>
    <n v="8"/>
    <n v="1"/>
    <n v="3"/>
    <x v="194"/>
    <x v="148"/>
    <x v="14"/>
  </r>
  <r>
    <m/>
    <m/>
    <x v="28"/>
    <n v="24638"/>
    <x v="3"/>
    <s v="Gerencia de Coordinación de Operaciones"/>
    <s v="BRIGADAS CONTRAINCENDIOS (BCII)"/>
    <s v="PRESENCIAL"/>
    <n v="245435"/>
    <s v="Cesar Valencia Viveros"/>
    <n v="24"/>
    <n v="3"/>
    <n v="3"/>
    <x v="38"/>
    <x v="148"/>
    <x v="14"/>
  </r>
  <r>
    <m/>
    <m/>
    <x v="28"/>
    <n v="24518"/>
    <x v="3"/>
    <s v="Gerencia de Coordinación de Operaciones"/>
    <s v="BASICO DE SEGURIDAD (BS)"/>
    <s v="PRESENCIAL"/>
    <n v="245435"/>
    <s v="Cesar Valencia Viveros"/>
    <n v="16"/>
    <n v="2"/>
    <n v="3"/>
    <x v="40"/>
    <x v="149"/>
    <x v="14"/>
  </r>
  <r>
    <m/>
    <m/>
    <x v="28"/>
    <n v="24519"/>
    <x v="3"/>
    <s v="Gerencia de Coordinación de Operaciones"/>
    <s v="BASICO DE SEGURIDAD (BS)"/>
    <s v="PRESENCIAL"/>
    <n v="245435"/>
    <s v="Cesar Valencia Viveros"/>
    <n v="16"/>
    <n v="2"/>
    <n v="3"/>
    <x v="140"/>
    <x v="150"/>
    <x v="14"/>
  </r>
  <r>
    <m/>
    <m/>
    <x v="28"/>
    <n v="25322"/>
    <x v="3"/>
    <s v="Gerencia de Coordinación de Operaciones"/>
    <s v="VERIFICADOR DE GAS (VG)"/>
    <s v="PRESENCIAL"/>
    <n v="245434"/>
    <s v="Joel Licona Mar"/>
    <n v="8"/>
    <n v="1"/>
    <n v="3"/>
    <x v="216"/>
    <x v="42"/>
    <x v="14"/>
  </r>
  <r>
    <m/>
    <m/>
    <x v="28"/>
    <n v="24609"/>
    <x v="3"/>
    <s v="Gerencia de Coordinación de Operaciones"/>
    <s v="RESPUESTA A EMERGENCIAS CON MATERIALES PELIGROSOS (REMP)"/>
    <s v="PRESENCIAL"/>
    <n v="322115"/>
    <s v="Eduardo Moheno Torres"/>
    <n v="16"/>
    <n v="2"/>
    <n v="3"/>
    <x v="141"/>
    <x v="152"/>
    <x v="15"/>
  </r>
  <r>
    <m/>
    <m/>
    <x v="28"/>
    <n v="24610"/>
    <x v="3"/>
    <s v="Gerencia de Coordinación de Operaciones"/>
    <s v="RESPUESTA A EMERGENCIAS CON MATERIALES PELIGROSOS (REMP)"/>
    <s v="PRESENCIAL"/>
    <n v="245435"/>
    <s v="Cesar Valencia Viveros"/>
    <n v="16"/>
    <n v="2"/>
    <n v="3"/>
    <x v="142"/>
    <x v="153"/>
    <x v="15"/>
  </r>
  <r>
    <m/>
    <m/>
    <x v="28"/>
    <n v="24412"/>
    <x v="3"/>
    <s v="Gerencia de Coordinación de Operaciones"/>
    <s v="AUDITORIAS EFECTIVAS"/>
    <s v="PRESENCIAL"/>
    <n v="499974"/>
    <s v="Ivonne del Carmen Calderon Cruz"/>
    <n v="8"/>
    <n v="1"/>
    <n v="8"/>
    <x v="166"/>
    <x v="153"/>
    <x v="15"/>
  </r>
  <r>
    <m/>
    <m/>
    <x v="28"/>
    <n v="25323"/>
    <x v="3"/>
    <s v="Gerencia de Coordinación de Operaciones"/>
    <s v="VERIFICADOR DE GAS (VG)"/>
    <s v="PRESENCIAL"/>
    <n v="245434"/>
    <s v="Joel Licona Mar"/>
    <n v="8"/>
    <n v="1"/>
    <n v="3"/>
    <x v="45"/>
    <x v="154"/>
    <x v="15"/>
  </r>
  <r>
    <m/>
    <m/>
    <x v="28"/>
    <n v="24520"/>
    <x v="3"/>
    <s v="Gerencia de Coordinación de Operaciones"/>
    <s v="BASICO DE SEGURIDAD (BS)"/>
    <s v="PRESENCIAL"/>
    <n v="245435"/>
    <s v="Cesar Valencia Viveros"/>
    <n v="16"/>
    <n v="2"/>
    <n v="3"/>
    <x v="44"/>
    <x v="44"/>
    <x v="15"/>
  </r>
  <r>
    <m/>
    <m/>
    <x v="28"/>
    <n v="24724"/>
    <x v="3"/>
    <s v="Gerencia de Coordinación de Operaciones"/>
    <s v="SISTEMA DE PERMISOS PARA TRABAJOS CON RIESGO (SPTR)"/>
    <s v="PRESENCIAL"/>
    <n v="971841"/>
    <s v="Tobias Magaña Ruiz"/>
    <n v="24"/>
    <n v="3"/>
    <n v="7"/>
    <x v="45"/>
    <x v="44"/>
    <x v="15"/>
  </r>
  <r>
    <m/>
    <m/>
    <x v="28"/>
    <n v="24611"/>
    <x v="3"/>
    <s v="Gerencia de Coordinación de Operaciones"/>
    <s v="RESPUESTA A EMERGENCIAS CON MATERIALES PELIGROSOS (REMP)"/>
    <s v="PRESENCIAL"/>
    <n v="322115"/>
    <s v="Eduardo Moheno Torres"/>
    <n v="16"/>
    <n v="2"/>
    <n v="3"/>
    <x v="46"/>
    <x v="155"/>
    <x v="15"/>
  </r>
  <r>
    <m/>
    <m/>
    <x v="28"/>
    <n v="24725"/>
    <x v="3"/>
    <s v="Gerencia de Coordinación de Operaciones"/>
    <s v="SISTEMA DE PERMISOS PARA TRABAJOS CON RIESGO (SPTR)"/>
    <s v="PRESENCIAL"/>
    <n v="971841"/>
    <s v="Tobias Magaña Ruiz"/>
    <n v="24"/>
    <n v="3"/>
    <n v="7"/>
    <x v="46"/>
    <x v="47"/>
    <x v="15"/>
  </r>
  <r>
    <m/>
    <m/>
    <x v="28"/>
    <n v="24521"/>
    <x v="3"/>
    <s v="Gerencia de Coordinación de Operaciones"/>
    <s v="BASICO DE SEGURIDAD (BS)"/>
    <s v="PRESENCIAL"/>
    <n v="322115"/>
    <s v="Eduardo Moheno Torres"/>
    <n v="16"/>
    <n v="2"/>
    <n v="3"/>
    <x v="48"/>
    <x v="215"/>
    <x v="15"/>
  </r>
  <r>
    <m/>
    <m/>
    <x v="28"/>
    <n v="24641"/>
    <x v="3"/>
    <s v="Gerencia de Coordinación de Operaciones"/>
    <s v="BRIGADAS CONTRAINCENDIOS (BCII)"/>
    <s v="PRESENCIAL"/>
    <n v="373645"/>
    <s v="Nicky Aguilera Pavon"/>
    <n v="24"/>
    <n v="3"/>
    <n v="3"/>
    <x v="48"/>
    <x v="48"/>
    <x v="15"/>
  </r>
  <r>
    <m/>
    <m/>
    <x v="28"/>
    <n v="25325"/>
    <x v="3"/>
    <s v="Gerencia de Coordinación de Operaciones"/>
    <s v="VERIFICADOR DE GAS (VG)"/>
    <s v="PRESENCIAL"/>
    <n v="245434"/>
    <s v="Joel Licona Mar"/>
    <n v="8"/>
    <n v="1"/>
    <n v="3"/>
    <x v="168"/>
    <x v="183"/>
    <x v="15"/>
  </r>
  <r>
    <m/>
    <m/>
    <x v="28"/>
    <n v="24850"/>
    <x v="3"/>
    <s v="Gerencia de Coordinación de Operaciones"/>
    <s v="PREVENCION DE RIESGOS LABORALES"/>
    <s v="PRESENCIAL"/>
    <n v="322115"/>
    <s v="Eduardo Moheno Torres"/>
    <n v="16"/>
    <n v="2"/>
    <n v="6"/>
    <x v="168"/>
    <x v="266"/>
    <x v="15"/>
  </r>
  <r>
    <m/>
    <m/>
    <x v="28"/>
    <n v="24726"/>
    <x v="3"/>
    <s v="Gerencia de Coordinación de Operaciones"/>
    <s v="SISTEMA DE PERMISOS PARA TRABAJOS CON RIESGO (SPTR)"/>
    <s v="PRESENCIAL"/>
    <n v="389297"/>
    <s v="Felipe Coronel Solis"/>
    <n v="24"/>
    <n v="3"/>
    <n v="7"/>
    <x v="168"/>
    <x v="267"/>
    <x v="15"/>
  </r>
  <r>
    <m/>
    <m/>
    <x v="28"/>
    <n v="24612"/>
    <x v="3"/>
    <s v="Gerencia de Coordinación de Operaciones"/>
    <s v="RESPUESTA A EMERGENCIAS CON MATERIALES PELIGROSOS (REMP)"/>
    <s v="PRESENCIAL"/>
    <n v="245434"/>
    <s v="Joel Licona Mar"/>
    <n v="16"/>
    <n v="2"/>
    <n v="3"/>
    <x v="215"/>
    <x v="240"/>
    <x v="15"/>
  </r>
  <r>
    <m/>
    <m/>
    <x v="28"/>
    <n v="24658"/>
    <x v="3"/>
    <s v="Gerencia de Coordinación de Operaciones"/>
    <s v="BRIGADAS CONTRAINCENDIOS (BCII)"/>
    <s v="PRESENCIAL"/>
    <n v="245435"/>
    <s v="Cesar Valencia Viveros"/>
    <n v="24"/>
    <n v="3"/>
    <n v="3"/>
    <x v="50"/>
    <x v="240"/>
    <x v="15"/>
  </r>
  <r>
    <m/>
    <m/>
    <x v="28"/>
    <n v="24642"/>
    <x v="3"/>
    <s v="Gerencia de Coordinación de Operaciones"/>
    <s v="BRIGADAS CONTRAINCENDIOS (BCII)"/>
    <s v="PRESENCIAL"/>
    <n v="322115"/>
    <s v="Eduardo Moheno Torres"/>
    <n v="24"/>
    <n v="3"/>
    <n v="3"/>
    <x v="50"/>
    <x v="240"/>
    <x v="15"/>
  </r>
  <r>
    <m/>
    <m/>
    <x v="28"/>
    <n v="25326"/>
    <x v="3"/>
    <s v="Gerencia de Coordinación de Operaciones"/>
    <s v="VERIFICADOR DE GAS (VG)"/>
    <s v="PRESENCIAL"/>
    <n v="245434"/>
    <s v="Joel Licona Mar"/>
    <n v="8"/>
    <n v="1"/>
    <n v="2"/>
    <x v="53"/>
    <x v="52"/>
    <x v="15"/>
  </r>
  <r>
    <m/>
    <m/>
    <x v="28"/>
    <n v="24876"/>
    <x v="3"/>
    <s v="Gerencia de Coordinación de Operaciones"/>
    <s v="REVALIDACION BASICO DE SEGURIDAD (BS)"/>
    <s v="PRESENCIAL"/>
    <n v="245435"/>
    <s v="Cesar Valencia Viveros"/>
    <n v="8"/>
    <n v="1"/>
    <n v="11"/>
    <x v="145"/>
    <x v="53"/>
    <x v="15"/>
  </r>
  <r>
    <m/>
    <m/>
    <x v="28"/>
    <n v="24523"/>
    <x v="3"/>
    <s v="Gerencia de Coordinación de Operaciones"/>
    <s v="BASICO DE SEGURIDAD (BS)"/>
    <s v="PRESENCIAL"/>
    <n v="322115"/>
    <s v="Eduardo Moheno Torres"/>
    <n v="16"/>
    <n v="2"/>
    <n v="3"/>
    <x v="145"/>
    <x v="184"/>
    <x v="15"/>
  </r>
  <r>
    <m/>
    <m/>
    <x v="28"/>
    <n v="24643"/>
    <x v="3"/>
    <s v="Gerencia de Coordinación de Operaciones"/>
    <s v="BRIGADAS CONTRAINCENDIOS (BCII)"/>
    <s v="PRESENCIAL"/>
    <n v="373645"/>
    <s v="Nicky Aguilera Pavon"/>
    <n v="24"/>
    <n v="3"/>
    <n v="3"/>
    <x v="53"/>
    <x v="184"/>
    <x v="15"/>
  </r>
  <r>
    <m/>
    <m/>
    <x v="28"/>
    <n v="24614"/>
    <x v="3"/>
    <s v="Gerencia de Coordinación de Operaciones"/>
    <s v="RESPUESTA A EMERGENCIAS CON MATERIALES PELIGROSOS (REMP)"/>
    <s v="PRESENCIAL"/>
    <n v="245434"/>
    <s v="Joel Licona Mar"/>
    <n v="16"/>
    <n v="2"/>
    <n v="3"/>
    <x v="54"/>
    <x v="54"/>
    <x v="16"/>
  </r>
  <r>
    <m/>
    <m/>
    <x v="28"/>
    <n v="25305"/>
    <x v="3"/>
    <s v="Gerencia de Coordinación de Operaciones"/>
    <s v="VERIFICADOR DE GAS (VG)"/>
    <s v="PRESENCIAL"/>
    <n v="373645"/>
    <s v="Nicky Aguilera Pavon"/>
    <n v="8"/>
    <n v="1"/>
    <n v="6"/>
    <x v="55"/>
    <x v="54"/>
    <x v="16"/>
  </r>
  <r>
    <m/>
    <m/>
    <x v="28"/>
    <n v="24728"/>
    <x v="3"/>
    <s v="Gerencia de Coordinación de Operaciones"/>
    <s v="SISTEMA DE PERMISOS PARA TRABAJOS CON RIESGO (SPTR)"/>
    <s v="PRESENCIAL"/>
    <n v="322115"/>
    <s v="Eduardo Moheno Torres"/>
    <n v="24"/>
    <n v="3"/>
    <n v="3"/>
    <x v="54"/>
    <x v="55"/>
    <x v="16"/>
  </r>
  <r>
    <m/>
    <m/>
    <x v="28"/>
    <n v="25303"/>
    <x v="3"/>
    <s v="Gerencia de Coordinación de Operaciones"/>
    <s v="VERIFICADOR DE GAS (VG)"/>
    <s v="PRESENCIAL"/>
    <n v="329860"/>
    <s v="Orlando Ignacio Castellanos Chi"/>
    <n v="8"/>
    <n v="1"/>
    <n v="6"/>
    <x v="147"/>
    <x v="56"/>
    <x v="16"/>
  </r>
  <r>
    <m/>
    <m/>
    <x v="28"/>
    <n v="24637"/>
    <x v="3"/>
    <s v="Gerencia de Coordinación de Operaciones"/>
    <s v="BRIGADAS CONTRAINCENDIOS (BCII)"/>
    <s v="PRESENCIAL"/>
    <n v="245434"/>
    <s v="Joel Licona Mar"/>
    <n v="24"/>
    <n v="3"/>
    <n v="3"/>
    <x v="146"/>
    <x v="57"/>
    <x v="16"/>
  </r>
  <r>
    <m/>
    <m/>
    <x v="28"/>
    <n v="24644"/>
    <x v="3"/>
    <s v="Gerencia de Coordinación de Operaciones"/>
    <s v="BRIGADAS CONTRAINCENDIOS (BCII)"/>
    <s v="PRESENCIAL"/>
    <n v="373645"/>
    <s v="Nicky Aguilera Pavon"/>
    <n v="24"/>
    <n v="3"/>
    <n v="3"/>
    <x v="146"/>
    <x v="57"/>
    <x v="16"/>
  </r>
  <r>
    <m/>
    <m/>
    <x v="28"/>
    <n v="24525"/>
    <x v="3"/>
    <s v="Gerencia de Coordinación de Operaciones"/>
    <s v="BASICO DE SEGURIDAD (BS)"/>
    <s v="PRESENCIAL"/>
    <n v="322115"/>
    <s v="Eduardo Moheno Torres"/>
    <n v="16"/>
    <n v="2"/>
    <n v="3"/>
    <x v="169"/>
    <x v="231"/>
    <x v="16"/>
  </r>
  <r>
    <m/>
    <m/>
    <x v="28"/>
    <n v="24645"/>
    <x v="3"/>
    <s v="Gerencia de Coordinación de Operaciones"/>
    <s v="BRIGADAS CONTRAINCENDIOS (BCII)"/>
    <s v="PRESENCIAL"/>
    <n v="373645"/>
    <s v="Nicky Aguilera Pavon"/>
    <n v="24"/>
    <n v="3"/>
    <n v="3"/>
    <x v="57"/>
    <x v="231"/>
    <x v="16"/>
  </r>
  <r>
    <m/>
    <m/>
    <x v="28"/>
    <n v="24615"/>
    <x v="3"/>
    <s v="Gerencia de Coordinación de Operaciones"/>
    <s v="RESPUESTA A EMERGENCIAS CON MATERIALES PELIGROSOS (REMP)"/>
    <s v="PRESENCIAL"/>
    <n v="245434"/>
    <s v="Joel Licona Mar"/>
    <n v="16"/>
    <n v="2"/>
    <n v="3"/>
    <x v="148"/>
    <x v="241"/>
    <x v="16"/>
  </r>
  <r>
    <m/>
    <m/>
    <x v="28"/>
    <n v="24526"/>
    <x v="3"/>
    <s v="Gerencia de Coordinación de Operaciones"/>
    <s v="BASICO DE SEGURIDAD (BS)"/>
    <s v="PRESENCIAL"/>
    <n v="245435"/>
    <s v="Cesar Valencia Viveros"/>
    <n v="16"/>
    <n v="2"/>
    <n v="3"/>
    <x v="59"/>
    <x v="62"/>
    <x v="16"/>
  </r>
  <r>
    <m/>
    <m/>
    <x v="28"/>
    <n v="24729"/>
    <x v="3"/>
    <s v="Gerencia de Coordinación de Operaciones"/>
    <s v="SISTEMA DE PERMISOS PARA TRABAJOS CON RIESGO (SPTR)"/>
    <s v="PRESENCIAL"/>
    <n v="389297"/>
    <s v="Felipe Coronel Solis"/>
    <n v="24"/>
    <n v="3"/>
    <n v="3"/>
    <x v="59"/>
    <x v="159"/>
    <x v="16"/>
  </r>
  <r>
    <m/>
    <m/>
    <x v="28"/>
    <n v="24616"/>
    <x v="3"/>
    <s v="Gerencia de Coordinación de Operaciones"/>
    <s v="RESPUESTA A EMERGENCIAS CON MATERIALES PELIGROSOS (REMP)"/>
    <s v="PRESENCIAL"/>
    <n v="245434"/>
    <s v="Joel Licona Mar"/>
    <n v="16"/>
    <n v="2"/>
    <n v="3"/>
    <x v="61"/>
    <x v="64"/>
    <x v="16"/>
  </r>
  <r>
    <m/>
    <m/>
    <x v="28"/>
    <n v="25306"/>
    <x v="3"/>
    <s v="Gerencia de Coordinación de Operaciones"/>
    <s v="VERIFICADOR DE GAS (VG)"/>
    <s v="PRESENCIAL"/>
    <n v="245434"/>
    <s v="Joel Licona Mar"/>
    <n v="8"/>
    <n v="1"/>
    <n v="6"/>
    <x v="63"/>
    <x v="66"/>
    <x v="16"/>
  </r>
  <r>
    <m/>
    <m/>
    <x v="28"/>
    <n v="24617"/>
    <x v="3"/>
    <s v="Gerencia de Coordinación de Operaciones"/>
    <s v="RESPUESTA A EMERGENCIAS CON MATERIALES PELIGROSOS (REMP)"/>
    <s v="PRESENCIAL"/>
    <n v="245434"/>
    <s v="Joel Licona Mar"/>
    <n v="16"/>
    <n v="2"/>
    <n v="3"/>
    <x v="64"/>
    <x v="68"/>
    <x v="16"/>
  </r>
  <r>
    <m/>
    <m/>
    <x v="28"/>
    <n v="24647"/>
    <x v="3"/>
    <s v="Gerencia de Coordinación de Operaciones"/>
    <s v="BRIGADAS CONTRAINCENDIOS (BCII)"/>
    <s v="PRESENCIAL"/>
    <n v="245435"/>
    <s v="Cesar Valencia Viveros"/>
    <n v="24"/>
    <n v="3"/>
    <n v="3"/>
    <x v="63"/>
    <x v="68"/>
    <x v="16"/>
  </r>
  <r>
    <m/>
    <m/>
    <x v="28"/>
    <n v="24527"/>
    <x v="3"/>
    <s v="Gerencia de Coordinación de Operaciones"/>
    <s v="BASICO DE SEGURIDAD (BS)"/>
    <s v="PRESENCIAL"/>
    <n v="245435"/>
    <s v="Cesar Valencia Viveros"/>
    <n v="16"/>
    <n v="2"/>
    <n v="3"/>
    <x v="196"/>
    <x v="70"/>
    <x v="16"/>
  </r>
  <r>
    <m/>
    <m/>
    <x v="28"/>
    <n v="24727"/>
    <x v="3"/>
    <s v="Gerencia de Coordinación de Operaciones"/>
    <s v="SISTEMA DE PERMISOS PARA TRABAJOS CON RIESGO (SPTR)"/>
    <s v="PRESENCIAL"/>
    <n v="971841"/>
    <s v="Tobias Magaña Ruiz"/>
    <n v="24"/>
    <n v="3"/>
    <n v="3"/>
    <x v="196"/>
    <x v="160"/>
    <x v="16"/>
  </r>
  <r>
    <m/>
    <m/>
    <x v="28"/>
    <n v="25307"/>
    <x v="3"/>
    <s v="Gerencia de Coordinación de Operaciones"/>
    <s v="VERIFICADOR DE GAS (VG)"/>
    <s v="PRESENCIAL"/>
    <n v="245434"/>
    <s v="Joel Licona Mar"/>
    <n v="8"/>
    <n v="1"/>
    <n v="6"/>
    <x v="67"/>
    <x v="71"/>
    <x v="16"/>
  </r>
  <r>
    <m/>
    <m/>
    <x v="28"/>
    <n v="24528"/>
    <x v="3"/>
    <s v="Gerencia de Coordinación de Operaciones"/>
    <s v="BASICO DE SEGURIDAD (BS)"/>
    <s v="PRESENCIAL"/>
    <n v="245435"/>
    <s v="Cesar Valencia Viveros"/>
    <n v="16"/>
    <n v="2"/>
    <n v="3"/>
    <x v="67"/>
    <x v="242"/>
    <x v="16"/>
  </r>
  <r>
    <m/>
    <m/>
    <x v="28"/>
    <n v="24741"/>
    <x v="3"/>
    <s v="Gerencia de Coordinación de Operaciones"/>
    <s v="SISTEMA DE PERMISOS PARA TRABAJOS CON RIESGO (SPTR)"/>
    <s v="PRESENCIAL"/>
    <n v="971841"/>
    <s v="Tobias Magaña Ruiz"/>
    <n v="24"/>
    <n v="3"/>
    <n v="3"/>
    <x v="67"/>
    <x v="72"/>
    <x v="17"/>
  </r>
  <r>
    <m/>
    <m/>
    <x v="28"/>
    <n v="24648"/>
    <x v="3"/>
    <s v="Gerencia de Coordinación de Operaciones"/>
    <s v="BRIGADAS CONTRAINCENDIOS (BCII)"/>
    <s v="PRESENCIAL"/>
    <n v="245435"/>
    <s v="Cesar Valencia Viveros"/>
    <n v="24"/>
    <n v="3"/>
    <n v="3"/>
    <x v="70"/>
    <x v="74"/>
    <x v="17"/>
  </r>
  <r>
    <m/>
    <m/>
    <x v="28"/>
    <n v="24649"/>
    <x v="3"/>
    <s v="Gerencia de Coordinación de Operaciones"/>
    <s v="BRIGADAS CONTRAINCENDIOS (BCII)"/>
    <s v="PRESENCIAL"/>
    <n v="245435"/>
    <s v="Cesar Valencia Viveros"/>
    <n v="24"/>
    <n v="3"/>
    <n v="3"/>
    <x v="72"/>
    <x v="78"/>
    <x v="17"/>
  </r>
  <r>
    <m/>
    <m/>
    <x v="28"/>
    <n v="26985"/>
    <x v="3"/>
    <s v="Gerencia de Coordinación de Operaciones"/>
    <s v="INVESTIGACION DE INCIDENTES Y ANALISIS DE CAUSA RAIZ (IIACR)"/>
    <s v="PRESENCIAL"/>
    <n v="445938"/>
    <s v="Eduardo Martinez Gonzalez"/>
    <n v="16"/>
    <n v="2"/>
    <n v="3"/>
    <x v="75"/>
    <x v="78"/>
    <x v="17"/>
  </r>
  <r>
    <m/>
    <m/>
    <x v="28"/>
    <n v="24742"/>
    <x v="3"/>
    <s v="Gerencia de Coordinación de Operaciones"/>
    <s v="SISTEMA DE PERMISOS PARA TRABAJOS CON RIESGO (SPTR)"/>
    <s v="PRESENCIAL"/>
    <n v="971841"/>
    <s v="Tobias Magaña Ruiz"/>
    <n v="24"/>
    <n v="3"/>
    <n v="3"/>
    <x v="72"/>
    <x v="78"/>
    <x v="17"/>
  </r>
  <r>
    <m/>
    <m/>
    <x v="28"/>
    <n v="24619"/>
    <x v="3"/>
    <s v="Gerencia de Coordinación de Operaciones"/>
    <s v="RESPUESTA A EMERGENCIAS CON MATERIALES PELIGROSOS (REMP)"/>
    <s v="PRESENCIAL"/>
    <n v="971841"/>
    <s v="Tobias Magaña Ruiz"/>
    <n v="16"/>
    <n v="2"/>
    <n v="3"/>
    <x v="77"/>
    <x v="80"/>
    <x v="17"/>
  </r>
  <r>
    <m/>
    <m/>
    <x v="28"/>
    <n v="24620"/>
    <x v="3"/>
    <s v="Gerencia de Coordinación de Operaciones"/>
    <s v="RESPUESTA A EMERGENCIAS CON MATERIALES PELIGROSOS (REMP)"/>
    <s v="PRESENCIAL"/>
    <n v="245434"/>
    <s v="Joel Licona Mar"/>
    <n v="16"/>
    <n v="2"/>
    <n v="3"/>
    <x v="78"/>
    <x v="83"/>
    <x v="17"/>
  </r>
  <r>
    <m/>
    <m/>
    <x v="28"/>
    <n v="24530"/>
    <x v="3"/>
    <s v="Gerencia de Coordinación de Operaciones"/>
    <s v="BASICO DE SEGURIDAD (BS)"/>
    <s v="PRESENCIAL"/>
    <n v="245435"/>
    <s v="Cesar Valencia Viveros"/>
    <n v="16"/>
    <n v="2"/>
    <n v="3"/>
    <x v="78"/>
    <x v="83"/>
    <x v="17"/>
  </r>
  <r>
    <m/>
    <m/>
    <x v="28"/>
    <n v="25308"/>
    <x v="3"/>
    <s v="Gerencia de Coordinación de Operaciones"/>
    <s v="VERIFICADOR DE GAS (VG)"/>
    <s v="PRESENCIAL"/>
    <n v="306572"/>
    <s v="Alma Delia Garcia Olan"/>
    <n v="8"/>
    <n v="1"/>
    <n v="6"/>
    <x v="217"/>
    <x v="85"/>
    <x v="17"/>
  </r>
  <r>
    <m/>
    <m/>
    <x v="28"/>
    <n v="24744"/>
    <x v="3"/>
    <s v="Gerencia de Coordinación de Operaciones"/>
    <s v="SISTEMA DE PERMISOS PARA TRABAJOS CON RIESGO (SPTR)"/>
    <s v="PRESENCIAL"/>
    <n v="971841"/>
    <s v="Tobias Magaña Ruiz"/>
    <n v="24"/>
    <n v="3"/>
    <n v="3"/>
    <x v="170"/>
    <x v="86"/>
    <x v="17"/>
  </r>
  <r>
    <m/>
    <m/>
    <x v="28"/>
    <n v="24621"/>
    <x v="3"/>
    <s v="Gerencia de Coordinación de Operaciones"/>
    <s v="RESPUESTA A EMERGENCIAS CON MATERIALES PELIGROSOS (REMP)"/>
    <s v="PRESENCIAL"/>
    <n v="245434"/>
    <s v="Joel Licona Mar"/>
    <n v="16"/>
    <n v="2"/>
    <n v="3"/>
    <x v="149"/>
    <x v="88"/>
    <x v="17"/>
  </r>
  <r>
    <m/>
    <m/>
    <x v="28"/>
    <n v="24531"/>
    <x v="3"/>
    <s v="Gerencia de Coordinación de Operaciones"/>
    <s v="BASICO DE SEGURIDAD (BS)"/>
    <s v="PRESENCIAL"/>
    <n v="245435"/>
    <s v="Cesar Valencia Viveros"/>
    <n v="16"/>
    <n v="2"/>
    <n v="3"/>
    <x v="149"/>
    <x v="88"/>
    <x v="17"/>
  </r>
  <r>
    <m/>
    <m/>
    <x v="28"/>
    <n v="24622"/>
    <x v="3"/>
    <s v="Gerencia de Coordinación de Operaciones"/>
    <s v="RESPUESTA A EMERGENCIAS CON MATERIALES PELIGROSOS (REMP)"/>
    <s v="PRESENCIAL"/>
    <n v="245434"/>
    <s v="Joel Licona Mar"/>
    <n v="16"/>
    <n v="2"/>
    <n v="3"/>
    <x v="86"/>
    <x v="91"/>
    <x v="17"/>
  </r>
  <r>
    <m/>
    <m/>
    <x v="28"/>
    <n v="24651"/>
    <x v="3"/>
    <s v="Gerencia de Coordinación de Operaciones"/>
    <s v="BRIGADAS CONTRAINCENDIOS (BCII)"/>
    <s v="PRESENCIAL"/>
    <n v="322115"/>
    <s v="Eduardo Moheno Torres"/>
    <n v="24"/>
    <n v="3"/>
    <n v="3"/>
    <x v="86"/>
    <x v="92"/>
    <x v="17"/>
  </r>
  <r>
    <m/>
    <m/>
    <x v="28"/>
    <n v="26147"/>
    <x v="3"/>
    <s v="Gerencia de Coordinación de Operaciones"/>
    <s v="ENTRENAMIENTO BASICO EN SISTEMA PEMEX SSPA (EB SSPA)"/>
    <s v="PRESENCIAL"/>
    <n v="445938"/>
    <s v="Eduardo Martinez Gonzalez"/>
    <n v="16"/>
    <n v="2"/>
    <n v="1"/>
    <x v="88"/>
    <x v="92"/>
    <x v="17"/>
  </r>
  <r>
    <m/>
    <m/>
    <x v="28"/>
    <n v="24532"/>
    <x v="3"/>
    <s v="Gerencia de Coordinación de Operaciones"/>
    <s v="BASICO DE SEGURIDAD (BS)"/>
    <s v="PRESENCIAL"/>
    <n v="245435"/>
    <s v="Cesar Valencia Viveros"/>
    <n v="16"/>
    <n v="2"/>
    <n v="3"/>
    <x v="87"/>
    <x v="93"/>
    <x v="17"/>
  </r>
  <r>
    <m/>
    <m/>
    <x v="28"/>
    <n v="25310"/>
    <x v="3"/>
    <s v="Gerencia de Coordinación de Operaciones"/>
    <s v="VERIFICADOR DE GAS (VG)"/>
    <s v="PRESENCIAL"/>
    <n v="245434"/>
    <s v="Joel Licona Mar"/>
    <n v="8"/>
    <n v="1"/>
    <n v="6"/>
    <x v="90"/>
    <x v="94"/>
    <x v="18"/>
  </r>
  <r>
    <m/>
    <m/>
    <x v="28"/>
    <n v="24623"/>
    <x v="3"/>
    <s v="Gerencia de Coordinación de Operaciones"/>
    <s v="RESPUESTA A EMERGENCIAS CON MATERIALES PELIGROSOS (REMP)"/>
    <s v="PRESENCIAL"/>
    <n v="245434"/>
    <s v="Joel Licona Mar"/>
    <n v="16"/>
    <n v="2"/>
    <n v="3"/>
    <x v="150"/>
    <x v="216"/>
    <x v="18"/>
  </r>
  <r>
    <m/>
    <m/>
    <x v="28"/>
    <n v="25311"/>
    <x v="3"/>
    <s v="Gerencia de Coordinación de Operaciones"/>
    <s v="VERIFICADOR DE GAS (VG)"/>
    <s v="PRESENCIAL"/>
    <n v="322115"/>
    <s v="Eduardo Moheno Torres"/>
    <n v="8"/>
    <n v="1"/>
    <n v="6"/>
    <x v="91"/>
    <x v="216"/>
    <x v="18"/>
  </r>
  <r>
    <m/>
    <m/>
    <x v="28"/>
    <n v="24879"/>
    <x v="3"/>
    <s v="Gerencia de Coordinación de Operaciones"/>
    <s v="REACREDITACION DE SIGNATARIOS DEL SPPTR (RSPTR)"/>
    <s v="PRESENCIAL"/>
    <n v="325029"/>
    <s v="Carlos Alberto Martinez Aguillen"/>
    <n v="8"/>
    <n v="1"/>
    <n v="10"/>
    <x v="91"/>
    <x v="216"/>
    <x v="18"/>
  </r>
  <r>
    <m/>
    <m/>
    <x v="28"/>
    <n v="24745"/>
    <x v="3"/>
    <s v="Gerencia de Coordinación de Operaciones"/>
    <s v="SISTEMA DE PERMISOS PARA TRABAJOS CON RIESGO (SPTR)"/>
    <s v="PRESENCIAL"/>
    <n v="322115"/>
    <s v="Eduardo Moheno Torres"/>
    <n v="24"/>
    <n v="3"/>
    <n v="3"/>
    <x v="92"/>
    <x v="98"/>
    <x v="18"/>
  </r>
  <r>
    <m/>
    <m/>
    <x v="28"/>
    <n v="25312"/>
    <x v="3"/>
    <s v="Gerencia de Coordinación de Operaciones"/>
    <s v="VERIFICADOR DE GAS (VG)"/>
    <s v="PRESENCIAL"/>
    <n v="245434"/>
    <s v="Joel Licona Mar"/>
    <n v="8"/>
    <n v="1"/>
    <n v="5"/>
    <x v="94"/>
    <x v="100"/>
    <x v="18"/>
  </r>
  <r>
    <m/>
    <m/>
    <x v="28"/>
    <n v="24534"/>
    <x v="3"/>
    <s v="Gerencia de Coordinación de Operaciones"/>
    <s v="BASICO DE SEGURIDAD (BS)"/>
    <s v="PRESENCIAL"/>
    <n v="245435"/>
    <s v="Cesar Valencia Viveros"/>
    <n v="16"/>
    <n v="2"/>
    <n v="3"/>
    <x v="96"/>
    <x v="102"/>
    <x v="18"/>
  </r>
  <r>
    <m/>
    <m/>
    <x v="28"/>
    <n v="24653"/>
    <x v="3"/>
    <s v="Gerencia de Coordinación de Operaciones"/>
    <s v="BRIGADAS CONTRAINCENDIOS (BCII)"/>
    <s v="PRESENCIAL"/>
    <n v="322115"/>
    <s v="Eduardo Moheno Torres"/>
    <n v="24"/>
    <n v="3"/>
    <n v="3"/>
    <x v="95"/>
    <x v="102"/>
    <x v="18"/>
  </r>
  <r>
    <m/>
    <m/>
    <x v="28"/>
    <n v="29390"/>
    <x v="9"/>
    <s v="Gerencia de Mantenimiento, Confiabilidad y Construcción"/>
    <s v="SEGURIDAD Y SOBREVIVENCIA COSTA AFUERA (SSCA)"/>
    <s v="PRESENCIAL"/>
    <n v="370733"/>
    <s v="José Guadalupe Resendíz Robles"/>
    <n v="24"/>
    <n v="3"/>
    <n v="4"/>
    <x v="96"/>
    <x v="103"/>
    <x v="18"/>
  </r>
  <r>
    <m/>
    <m/>
    <x v="28"/>
    <n v="24654"/>
    <x v="3"/>
    <s v="Gerencia de Coordinación de Operaciones"/>
    <s v="BRIGADAS CONTRAINCENDIOS (BCII)"/>
    <s v="PRESENCIAL"/>
    <n v="245435"/>
    <s v="Cesar Valencia Viveros"/>
    <n v="24"/>
    <n v="3"/>
    <n v="3"/>
    <x v="153"/>
    <x v="187"/>
    <x v="18"/>
  </r>
  <r>
    <m/>
    <m/>
    <x v="28"/>
    <n v="24746"/>
    <x v="3"/>
    <s v="Gerencia de Coordinación de Operaciones"/>
    <s v="SISTEMA DE PERMISOS PARA TRABAJOS CON RIESGO (SPTR)"/>
    <s v="PRESENCIAL"/>
    <n v="971841"/>
    <s v="Tobias Magaña Ruiz"/>
    <n v="24"/>
    <n v="3"/>
    <n v="3"/>
    <x v="153"/>
    <x v="187"/>
    <x v="18"/>
  </r>
  <r>
    <m/>
    <m/>
    <x v="28"/>
    <n v="24624"/>
    <x v="3"/>
    <s v="Gerencia de Coordinación de Operaciones"/>
    <s v="RESPUESTA A EMERGENCIAS CON MATERIALES PELIGROSOS (REMP)"/>
    <s v="PRESENCIAL"/>
    <n v="245434"/>
    <s v="Joel Licona Mar"/>
    <n v="16"/>
    <n v="2"/>
    <n v="3"/>
    <x v="218"/>
    <x v="268"/>
    <x v="18"/>
  </r>
  <r>
    <m/>
    <m/>
    <x v="28"/>
    <n v="24888"/>
    <x v="3"/>
    <s v="Gerencia de Coordinación de Operaciones"/>
    <s v="SEGURIDAD EN CENTROS ADMINISTRACIONS (SCA)"/>
    <s v="PRESENCIAL"/>
    <n v="245435"/>
    <s v="Cesar Valencia Viveros"/>
    <n v="8"/>
    <n v="1"/>
    <n v="4"/>
    <x v="100"/>
    <x v="268"/>
    <x v="18"/>
  </r>
  <r>
    <m/>
    <m/>
    <x v="28"/>
    <n v="24655"/>
    <x v="3"/>
    <s v="Gerencia de Coordinación de Operaciones"/>
    <s v="BRIGADAS CONTRAINCENDIOS (BCII)"/>
    <s v="PRESENCIAL"/>
    <n v="245435"/>
    <s v="Cesar Valencia Viveros"/>
    <n v="24"/>
    <n v="3"/>
    <n v="3"/>
    <x v="103"/>
    <x v="166"/>
    <x v="18"/>
  </r>
  <r>
    <m/>
    <m/>
    <x v="28"/>
    <n v="24851"/>
    <x v="3"/>
    <s v="Gerencia de Coordinación de Operaciones"/>
    <s v="PREVENCION DE RIESGOS LABORALES"/>
    <s v="PRESENCIAL"/>
    <n v="322115"/>
    <s v="Eduardo Moheno Torres"/>
    <n v="16"/>
    <n v="2"/>
    <n v="6"/>
    <x v="105"/>
    <x v="166"/>
    <x v="18"/>
  </r>
  <r>
    <m/>
    <m/>
    <x v="28"/>
    <n v="24626"/>
    <x v="3"/>
    <s v="Gerencia de Coordinación de Operaciones"/>
    <s v="RESPUESTA A EMERGENCIAS CON MATERIALES PELIGROSOS (REMP)"/>
    <s v="PRESENCIAL"/>
    <n v="245434"/>
    <s v="Joel Licona Mar"/>
    <n v="16"/>
    <n v="2"/>
    <n v="3"/>
    <x v="171"/>
    <x v="111"/>
    <x v="19"/>
  </r>
  <r>
    <m/>
    <m/>
    <x v="28"/>
    <n v="24627"/>
    <x v="3"/>
    <s v="Gerencia de Coordinación de Operaciones"/>
    <s v="RESPUESTA A EMERGENCIAS CON MATERIALES PELIGROSOS (REMP)"/>
    <s v="PRESENCIAL"/>
    <n v="373645"/>
    <s v="Nicky Aguilera Pavon"/>
    <n v="16"/>
    <n v="2"/>
    <n v="3"/>
    <x v="109"/>
    <x v="114"/>
    <x v="19"/>
  </r>
  <r>
    <m/>
    <m/>
    <x v="28"/>
    <n v="24747"/>
    <x v="3"/>
    <s v="Gerencia de Coordinación de Operaciones"/>
    <s v="SISTEMA DE PERMISOS PARA TRABAJOS CON RIESGO (SPTR)"/>
    <s v="PRESENCIAL"/>
    <n v="971841"/>
    <s v="Tobias Magaña Ruiz"/>
    <n v="24"/>
    <n v="3"/>
    <n v="3"/>
    <x v="212"/>
    <x v="114"/>
    <x v="19"/>
  </r>
  <r>
    <m/>
    <m/>
    <x v="28"/>
    <n v="24657"/>
    <x v="3"/>
    <s v="Gerencia de Coordinación de Operaciones"/>
    <s v="BRIGADAS CONTRAINCENDIOS (BCII)"/>
    <s v="PRESENCIAL"/>
    <n v="245435"/>
    <s v="Cesar Valencia Viveros"/>
    <n v="24"/>
    <n v="3"/>
    <n v="4"/>
    <x v="115"/>
    <x v="119"/>
    <x v="19"/>
  </r>
  <r>
    <m/>
    <m/>
    <x v="28"/>
    <n v="24629"/>
    <x v="3"/>
    <s v="Gerencia de Coordinación de Operaciones"/>
    <s v="RESPUESTA A EMERGENCIAS CON MATERIALES PELIGROSOS (REMP)"/>
    <s v="PRESENCIAL"/>
    <n v="245434"/>
    <s v="Joel Licona Mar"/>
    <n v="16"/>
    <n v="2"/>
    <n v="3"/>
    <x v="116"/>
    <x v="122"/>
    <x v="19"/>
  </r>
  <r>
    <m/>
    <m/>
    <x v="28"/>
    <n v="24630"/>
    <x v="3"/>
    <s v="Gerencia de Coordinación de Operaciones"/>
    <s v="RESPUESTA A EMERGENCIAS CON MATERIALES PELIGROSOS (REMP)"/>
    <s v="PRESENCIAL"/>
    <n v="245434"/>
    <s v="Joel Licona Mar"/>
    <n v="16"/>
    <n v="2"/>
    <n v="3"/>
    <x v="179"/>
    <x v="201"/>
    <x v="19"/>
  </r>
  <r>
    <m/>
    <m/>
    <x v="28"/>
    <n v="24632"/>
    <x v="3"/>
    <s v="Gerencia de Coordinación de Operaciones"/>
    <s v="RESPUESTA A EMERGENCIAS CON MATERIALES PELIGROSOS (REMP)"/>
    <s v="PRESENCIAL"/>
    <n v="245434"/>
    <s v="Joel Licona Mar"/>
    <n v="16"/>
    <n v="2"/>
    <n v="2"/>
    <x v="208"/>
    <x v="269"/>
    <x v="20"/>
  </r>
  <r>
    <m/>
    <m/>
    <x v="28"/>
    <n v="30518"/>
    <x v="9"/>
    <s v="Activo de Producción Abkatun Pol Chuc"/>
    <s v="SEGURIDAD Y SOBREVIVENCIA COSTA AFUERA (SSCA)"/>
    <s v="PRESENCIAL"/>
    <n v="245435"/>
    <s v="Cesar Valencia Viveros"/>
    <n v="24"/>
    <n v="3"/>
    <n v="12"/>
    <x v="16"/>
    <x v="17"/>
    <x v="12"/>
  </r>
  <r>
    <m/>
    <m/>
    <x v="28"/>
    <n v="24884"/>
    <x v="3"/>
    <s v="Gerencia de Coordinación de Operaciones"/>
    <s v="REACREDITACION DE SIGNATARIOS DEL SPPTR (RSPTR)"/>
    <s v="PRESENCIAL"/>
    <n v="245434"/>
    <s v="Joel Licona Mar"/>
    <n v="8"/>
    <n v="1"/>
    <n v="10"/>
    <x v="131"/>
    <x v="238"/>
    <x v="13"/>
  </r>
  <r>
    <m/>
    <m/>
    <x v="28"/>
    <n v="24886"/>
    <x v="3"/>
    <s v="Gerencia de Coordinación de Operaciones"/>
    <s v="REACREDITACION DE SIGNATARIOS DEL SPPTR (RSPTR)"/>
    <s v="PRESENCIAL"/>
    <n v="245434"/>
    <s v="Joel Licona Mar"/>
    <n v="8"/>
    <n v="1"/>
    <n v="8"/>
    <x v="178"/>
    <x v="263"/>
    <x v="13"/>
  </r>
  <r>
    <m/>
    <m/>
    <x v="28"/>
    <n v="31049"/>
    <x v="9"/>
    <s v="Activo de Producción Litoral de Tabasco"/>
    <s v="PROCEDIMIENTOS CRITICOS (PC)"/>
    <s v="PRESENCIAL"/>
    <n v="370733"/>
    <s v="José Guadalupe Resendíz Robles"/>
    <n v="16"/>
    <n v="2"/>
    <n v="10"/>
    <x v="133"/>
    <x v="224"/>
    <x v="13"/>
  </r>
  <r>
    <m/>
    <m/>
    <x v="28"/>
    <n v="31205"/>
    <x v="9"/>
    <s v="Activo de Producción Litoral de Tabasco"/>
    <s v="SEGURIDAD Y SOBREVIVENCIA COSTA AFUERA (SSCA)"/>
    <s v="PRESENCIAL"/>
    <n v="245435"/>
    <s v="Cesar Valencia Viveros"/>
    <n v="24"/>
    <n v="3"/>
    <n v="10"/>
    <x v="26"/>
    <x v="270"/>
    <x v="13"/>
  </r>
  <r>
    <m/>
    <m/>
    <x v="28"/>
    <n v="24874"/>
    <x v="3"/>
    <s v="Gerencia de Coordinación de Operaciones"/>
    <s v="REVALIDACION BASICO DE SEGURIDAD (BS)"/>
    <s v="PRESENCIAL"/>
    <n v="245435"/>
    <s v="Cesar Valencia Viveros"/>
    <n v="8"/>
    <n v="1"/>
    <n v="11"/>
    <x v="204"/>
    <x v="225"/>
    <x v="13"/>
  </r>
  <r>
    <m/>
    <m/>
    <x v="28"/>
    <n v="24514"/>
    <x v="3"/>
    <s v="Gerencia de Coordinación de Operaciones"/>
    <s v="BASICO DE SEGURIDAD (BS)"/>
    <s v="PRESENCIAL"/>
    <n v="322115"/>
    <s v="Eduardo Moheno Torres"/>
    <n v="16"/>
    <n v="2"/>
    <n v="3"/>
    <x v="27"/>
    <x v="225"/>
    <x v="13"/>
  </r>
  <r>
    <m/>
    <m/>
    <x v="28"/>
    <n v="24811"/>
    <x v="3"/>
    <s v="Gerencia de Coordinación de Operaciones"/>
    <s v="MANEJO A LA DEFENSIVA (MD)"/>
    <s v="PRESENCIAL"/>
    <n v="971841"/>
    <s v="Tobias Magaña Ruiz"/>
    <n v="8"/>
    <n v="1"/>
    <n v="6"/>
    <x v="204"/>
    <x v="225"/>
    <x v="13"/>
  </r>
  <r>
    <m/>
    <m/>
    <x v="28"/>
    <n v="24735"/>
    <x v="3"/>
    <s v="Gerencia de Coordinación de Operaciones"/>
    <s v="SISTEMA DE PERMISOS PARA TRABAJOS CON RIESGO (SPTR)"/>
    <s v="PRESENCIAL"/>
    <n v="971841"/>
    <s v="Tobias Magaña Ruiz"/>
    <n v="24"/>
    <n v="3"/>
    <n v="3"/>
    <x v="29"/>
    <x v="227"/>
    <x v="13"/>
  </r>
  <r>
    <m/>
    <m/>
    <x v="28"/>
    <n v="25318"/>
    <x v="3"/>
    <s v="Gerencia de Coordinación de Operaciones"/>
    <s v="VERIFICADOR DE GAS (VG)"/>
    <s v="PRESENCIAL"/>
    <n v="245434"/>
    <s v="Joel Licona Mar"/>
    <n v="8"/>
    <n v="1"/>
    <n v="3"/>
    <x v="163"/>
    <x v="228"/>
    <x v="13"/>
  </r>
  <r>
    <m/>
    <m/>
    <x v="28"/>
    <n v="24635"/>
    <x v="3"/>
    <s v="Gerencia de Coordinación de Operaciones"/>
    <s v="BRIGADAS CONTRAINCENDIOS (BCII)"/>
    <s v="PRESENCIAL"/>
    <n v="322115"/>
    <s v="Eduardo Moheno Torres"/>
    <n v="24"/>
    <n v="3"/>
    <n v="4"/>
    <x v="163"/>
    <x v="137"/>
    <x v="14"/>
  </r>
  <r>
    <m/>
    <m/>
    <x v="28"/>
    <n v="24882"/>
    <x v="3"/>
    <s v="Gerencia de Coordinación de Operaciones"/>
    <s v="REACREDITACION DE SIGNATARIOS DEL SPPTR (RSPTR)"/>
    <s v="PRESENCIAL"/>
    <n v="245434"/>
    <s v="Joel Licona Mar"/>
    <n v="8"/>
    <n v="1"/>
    <n v="10"/>
    <x v="134"/>
    <x v="206"/>
    <x v="14"/>
  </r>
  <r>
    <m/>
    <m/>
    <x v="28"/>
    <n v="24516"/>
    <x v="3"/>
    <s v="Gerencia de Coordinación de Operaciones"/>
    <s v="BASICO DE SEGURIDAD (BS)"/>
    <s v="PRESENCIAL"/>
    <n v="245435"/>
    <s v="Cesar Valencia Viveros"/>
    <n v="16"/>
    <n v="2"/>
    <n v="3"/>
    <x v="35"/>
    <x v="143"/>
    <x v="14"/>
  </r>
  <r>
    <m/>
    <m/>
    <x v="28"/>
    <n v="29376"/>
    <x v="9"/>
    <s v="Gerencia de Mantenimiento, Confiabilidad y Construcción"/>
    <s v="SEGURIDAD Y SOBREVIVENCIA COSTA AFUERA (SSCA)"/>
    <s v="PRESENCIAL"/>
    <n v="322115"/>
    <s v="Eduardo Moheno Torres"/>
    <n v="24"/>
    <n v="3"/>
    <n v="13"/>
    <x v="34"/>
    <x v="143"/>
    <x v="14"/>
  </r>
  <r>
    <m/>
    <m/>
    <x v="28"/>
    <n v="25320"/>
    <x v="3"/>
    <s v="Gerencia de Coordinación de Operaciones"/>
    <s v="VERIFICADOR DE GAS (VG)"/>
    <s v="PRESENCIAL"/>
    <n v="245434"/>
    <s v="Joel Licona Mar"/>
    <n v="8"/>
    <n v="1"/>
    <n v="3"/>
    <x v="207"/>
    <x v="144"/>
    <x v="14"/>
  </r>
  <r>
    <m/>
    <m/>
    <x v="28"/>
    <n v="24517"/>
    <x v="3"/>
    <s v="Gerencia de Coordinación de Operaciones"/>
    <s v="BASICO DE SEGURIDAD (BS)"/>
    <s v="PRESENCIAL"/>
    <n v="245435"/>
    <s v="Cesar Valencia Viveros"/>
    <n v="16"/>
    <n v="2"/>
    <n v="3"/>
    <x v="137"/>
    <x v="144"/>
    <x v="14"/>
  </r>
  <r>
    <m/>
    <m/>
    <x v="28"/>
    <n v="31048"/>
    <x v="9"/>
    <s v="Activo de Producción Litoral de Tabasco"/>
    <s v="PROCEDIMIENTOS CRITICOS (PC)"/>
    <s v="PRESENCIAL"/>
    <n v="370733"/>
    <s v="José Guadalupe Resendíz Robles"/>
    <n v="16"/>
    <n v="2"/>
    <n v="10"/>
    <x v="137"/>
    <x v="144"/>
    <x v="14"/>
  </r>
  <r>
    <m/>
    <m/>
    <x v="28"/>
    <n v="24861"/>
    <x v="3"/>
    <s v="Gerencia de Coordinación de Operaciones"/>
    <s v="SALUD EN EL TRABAJO"/>
    <s v="PRESENCIAL"/>
    <n v="445938"/>
    <s v="Eduardo Martinez Gonzalez"/>
    <n v="24"/>
    <n v="3"/>
    <n v="3"/>
    <x v="137"/>
    <x v="145"/>
    <x v="14"/>
  </r>
  <r>
    <m/>
    <m/>
    <x v="28"/>
    <n v="24739"/>
    <x v="3"/>
    <s v="Gerencia de Coordinación de Operaciones"/>
    <s v="SISTEMA DE PERMISOS PARA TRABAJOS CON RIESGO (SPTR)"/>
    <s v="PRESENCIAL"/>
    <n v="971841"/>
    <s v="Tobias Magaña Ruiz"/>
    <n v="24"/>
    <n v="3"/>
    <n v="3"/>
    <x v="38"/>
    <x v="148"/>
    <x v="14"/>
  </r>
  <r>
    <m/>
    <m/>
    <x v="28"/>
    <n v="24608"/>
    <x v="3"/>
    <s v="Gerencia de Coordinación de Operaciones"/>
    <s v="RESPUESTA A EMERGENCIAS CON MATERIALES PELIGROSOS (REMP)"/>
    <s v="PRESENCIAL"/>
    <n v="373645"/>
    <s v="Nicky Aguilera Pavon"/>
    <n v="16"/>
    <n v="2"/>
    <n v="16"/>
    <x v="40"/>
    <x v="149"/>
    <x v="14"/>
  </r>
  <r>
    <m/>
    <m/>
    <x v="28"/>
    <n v="24740"/>
    <x v="3"/>
    <s v="Gerencia de Coordinación de Operaciones"/>
    <s v="SISTEMA DE PERMISOS PARA TRABAJOS CON RIESGO (SPTR)"/>
    <s v="PRESENCIAL"/>
    <n v="971841"/>
    <s v="Tobias Magaña Ruiz"/>
    <n v="24"/>
    <n v="3"/>
    <n v="3"/>
    <x v="140"/>
    <x v="42"/>
    <x v="14"/>
  </r>
  <r>
    <m/>
    <m/>
    <x v="28"/>
    <n v="24639"/>
    <x v="3"/>
    <s v="Gerencia de Coordinación de Operaciones"/>
    <s v="BRIGADAS CONTRAINCENDIOS (BCII)"/>
    <s v="PRESENCIAL"/>
    <n v="245435"/>
    <s v="Cesar Valencia Viveros"/>
    <n v="24"/>
    <n v="3"/>
    <n v="3"/>
    <x v="216"/>
    <x v="152"/>
    <x v="15"/>
  </r>
  <r>
    <m/>
    <m/>
    <x v="28"/>
    <n v="24640"/>
    <x v="3"/>
    <s v="Gerencia de Coordinación de Operaciones"/>
    <s v="BRIGADAS CONTRAINCENDIOS (BCII)"/>
    <s v="PRESENCIAL"/>
    <n v="322115"/>
    <s v="Eduardo Moheno Torres"/>
    <n v="24"/>
    <n v="3"/>
    <n v="3"/>
    <x v="166"/>
    <x v="214"/>
    <x v="15"/>
  </r>
  <r>
    <m/>
    <m/>
    <x v="28"/>
    <n v="25324"/>
    <x v="3"/>
    <s v="Gerencia de Coordinación de Operaciones"/>
    <s v="VERIFICADOR DE GAS (VG)"/>
    <s v="PRESENCIAL"/>
    <n v="245434"/>
    <s v="Joel Licona Mar"/>
    <n v="8"/>
    <n v="1"/>
    <n v="3"/>
    <x v="46"/>
    <x v="46"/>
    <x v="15"/>
  </r>
  <r>
    <m/>
    <m/>
    <x v="28"/>
    <n v="24885"/>
    <x v="3"/>
    <s v="Gerencia de Coordinación de Operaciones"/>
    <s v="REACREDITACION DE SIGNATARIOS DEL SPPTR (RSPTR)"/>
    <s v="PRESENCIAL"/>
    <n v="245434"/>
    <s v="Joel Licona Mar"/>
    <n v="8"/>
    <n v="1"/>
    <n v="10"/>
    <x v="48"/>
    <x v="47"/>
    <x v="15"/>
  </r>
  <r>
    <m/>
    <m/>
    <x v="28"/>
    <n v="22165"/>
    <x v="0"/>
    <s v="Coordinación de Servicios Marinos y de Mantenimiento, Confiabilidad y Construcción de Infraestructura"/>
    <s v="BASICO DE SEGURIDAD (BS)"/>
    <s v="PRESENCIAL"/>
    <n v="245435"/>
    <s v="Cesar Valencia Viveros"/>
    <n v="16"/>
    <n v="2"/>
    <n v="14"/>
    <x v="183"/>
    <x v="47"/>
    <x v="15"/>
  </r>
  <r>
    <m/>
    <m/>
    <x v="28"/>
    <n v="29380"/>
    <x v="9"/>
    <s v="Gerencia de Mantenimiento, Confiabilidad y Construcción"/>
    <s v="SEGURIDAD Y SOBREVIVENCIA COSTA AFUERA (SSCA)"/>
    <s v="PRESENCIAL"/>
    <n v="971841"/>
    <s v="Tobias Magaña Ruiz"/>
    <n v="24"/>
    <n v="3"/>
    <n v="11"/>
    <x v="143"/>
    <x v="49"/>
    <x v="15"/>
  </r>
  <r>
    <m/>
    <m/>
    <x v="28"/>
    <n v="24522"/>
    <x v="3"/>
    <s v="Gerencia de Coordinación de Operaciones"/>
    <s v="BASICO DE SEGURIDAD (BS)"/>
    <s v="PRESENCIAL"/>
    <n v="245435"/>
    <s v="Cesar Valencia Viveros"/>
    <n v="16"/>
    <n v="2"/>
    <n v="3"/>
    <x v="168"/>
    <x v="266"/>
    <x v="15"/>
  </r>
  <r>
    <m/>
    <m/>
    <x v="28"/>
    <n v="24883"/>
    <x v="3"/>
    <s v="Gerencia de Coordinación de Operaciones"/>
    <s v="REACREDITACION DE SIGNATARIOS DEL SPPTR (RSPTR)"/>
    <s v="PRESENCIAL"/>
    <n v="245434"/>
    <s v="Joel Licona Mar"/>
    <n v="8"/>
    <n v="1"/>
    <n v="10"/>
    <x v="50"/>
    <x v="267"/>
    <x v="15"/>
  </r>
  <r>
    <m/>
    <m/>
    <x v="28"/>
    <n v="23278"/>
    <x v="0"/>
    <s v="Coordinación de Servicios Marinos y de Mantenimiento, Confiabilidad y Construcción de Infraestructura"/>
    <s v="SISTEMA DE PERMISOS PARA TRABAJOS CON RIESGO (SPTR)"/>
    <s v="PRESENCIAL"/>
    <n v="971841"/>
    <s v="Tobias Magaña Ruiz"/>
    <n v="24"/>
    <n v="3"/>
    <n v="8"/>
    <x v="219"/>
    <x v="50"/>
    <x v="15"/>
  </r>
  <r>
    <m/>
    <m/>
    <x v="28"/>
    <n v="23314"/>
    <x v="0"/>
    <s v="Coordinación de Servicios Marinos y de Mantenimiento, Confiabilidad y Construcción de Infraestructura"/>
    <s v="REACREDITACION DE SIGNATARIOS DEL SPPTR (RSPTR)"/>
    <s v="PRESENCIAL"/>
    <n v="971841"/>
    <s v="Tobias Magaña Ruiz"/>
    <n v="8"/>
    <n v="1"/>
    <n v="10"/>
    <x v="214"/>
    <x v="240"/>
    <x v="15"/>
  </r>
  <r>
    <m/>
    <m/>
    <x v="28"/>
    <n v="24613"/>
    <x v="3"/>
    <s v="Gerencia de Coordinación de Operaciones"/>
    <s v="RESPUESTA A EMERGENCIAS CON MATERIALES PELIGROSOS (REMP)"/>
    <s v="PRESENCIAL"/>
    <n v="245434"/>
    <s v="Joel Licona Mar"/>
    <n v="16"/>
    <n v="2"/>
    <n v="3"/>
    <x v="144"/>
    <x v="156"/>
    <x v="15"/>
  </r>
  <r>
    <m/>
    <m/>
    <x v="28"/>
    <n v="23279"/>
    <x v="0"/>
    <s v="Coordinación de Servicios Marinos y de Mantenimiento, Confiabilidad y Construcción de Infraestructura"/>
    <s v="SISTEMA DE PERMISOS PARA TRABAJOS CON RIESGO (SPTR)"/>
    <s v="PRESENCIAL"/>
    <n v="971841"/>
    <s v="Tobias Magaña Ruiz"/>
    <n v="24"/>
    <n v="3"/>
    <n v="8"/>
    <x v="52"/>
    <x v="53"/>
    <x v="15"/>
  </r>
  <r>
    <m/>
    <m/>
    <x v="28"/>
    <n v="23315"/>
    <x v="0"/>
    <s v="Coordinación de Servicios Marinos y de Mantenimiento, Confiabilidad y Construcción de Infraestructura"/>
    <s v="REACREDITACION DE SIGNATARIOS DEL SPPTR (RSPTR)"/>
    <s v="PRESENCIAL"/>
    <n v="971841"/>
    <s v="Tobias Magaña Ruiz"/>
    <n v="8"/>
    <n v="1"/>
    <n v="9"/>
    <x v="209"/>
    <x v="184"/>
    <x v="15"/>
  </r>
  <r>
    <m/>
    <m/>
    <x v="28"/>
    <n v="23316"/>
    <x v="0"/>
    <s v="Coordinación de Servicios Marinos y de Mantenimiento, Confiabilidad y Construcción de Infraestructura"/>
    <s v="REACREDITACION DE SIGNATARIOS DEL SPPTR (RSPTR)"/>
    <s v="PRESENCIAL"/>
    <n v="971841"/>
    <s v="Tobias Magaña Ruiz"/>
    <n v="8"/>
    <n v="1"/>
    <n v="10"/>
    <x v="55"/>
    <x v="54"/>
    <x v="16"/>
  </r>
  <r>
    <m/>
    <m/>
    <x v="28"/>
    <n v="24841"/>
    <x v="3"/>
    <s v="Gerencia de Coordinación de Operaciones"/>
    <s v="SEGURIDAD Y SOBREVIVENCIA COSTA AFUERA (SSCA)"/>
    <s v="PRESENCIAL"/>
    <n v="245435"/>
    <s v="Cesar Valencia Viveros"/>
    <n v="24"/>
    <n v="3"/>
    <n v="8"/>
    <x v="54"/>
    <x v="55"/>
    <x v="16"/>
  </r>
  <r>
    <m/>
    <m/>
    <x v="28"/>
    <n v="23313"/>
    <x v="0"/>
    <s v="Coordinación de Servicios Marinos y de Mantenimiento, Confiabilidad y Construcción de Infraestructura"/>
    <s v="REACREDITACION DE SIGNATARIOS DEL SPPTR (RSPTR)"/>
    <s v="PRESENCIAL"/>
    <n v="971841"/>
    <s v="Tobias Magaña Ruiz"/>
    <n v="8"/>
    <n v="1"/>
    <n v="9"/>
    <x v="146"/>
    <x v="55"/>
    <x v="16"/>
  </r>
  <r>
    <m/>
    <m/>
    <x v="28"/>
    <n v="23317"/>
    <x v="0"/>
    <s v="Coordinación de Servicios Marinos y de Mantenimiento, Confiabilidad y Construcción de Infraestructura"/>
    <s v="REACREDITACION DE SIGNATARIOS DEL SPPTR (RSPTR)"/>
    <s v="PRESENCIAL"/>
    <n v="971841"/>
    <s v="Tobias Magaña Ruiz"/>
    <n v="8"/>
    <n v="1"/>
    <n v="9"/>
    <x v="147"/>
    <x v="56"/>
    <x v="16"/>
  </r>
  <r>
    <m/>
    <m/>
    <x v="28"/>
    <n v="22186"/>
    <x v="0"/>
    <s v="Coordinación de Servicios Marinos y de Mantenimiento, Confiabilidad y Construcción de Infraestructura"/>
    <s v="REVALIDACION BASICO DE SEGURIDAD (BS)"/>
    <s v="PRESENCIAL"/>
    <n v="245435"/>
    <s v="Cesar Valencia Viveros"/>
    <n v="8"/>
    <n v="1"/>
    <n v="11"/>
    <x v="56"/>
    <x v="57"/>
    <x v="16"/>
  </r>
  <r>
    <m/>
    <m/>
    <x v="28"/>
    <n v="24524"/>
    <x v="3"/>
    <s v="Gerencia de Coordinación de Operaciones"/>
    <s v="BASICO DE SEGURIDAD (BS)"/>
    <s v="PRESENCIAL"/>
    <n v="322115"/>
    <s v="Eduardo Moheno Torres"/>
    <n v="16"/>
    <n v="2"/>
    <n v="3"/>
    <x v="147"/>
    <x v="57"/>
    <x v="16"/>
  </r>
  <r>
    <m/>
    <m/>
    <x v="28"/>
    <n v="31047"/>
    <x v="9"/>
    <s v="Activo de Producción Litoral de Tabasco"/>
    <s v="PROCEDIMIENTOS CRITICOS (PC)"/>
    <s v="PRESENCIAL"/>
    <n v="370733"/>
    <s v="José Guadalupe Resendíz Robles"/>
    <n v="16"/>
    <n v="2"/>
    <n v="10"/>
    <x v="147"/>
    <x v="57"/>
    <x v="16"/>
  </r>
  <r>
    <m/>
    <m/>
    <x v="28"/>
    <n v="22187"/>
    <x v="0"/>
    <s v="Coordinación de Servicios Marinos y de Mantenimiento, Confiabilidad y Construcción de Infraestructura"/>
    <s v="REVALIDACION BASICO DE SEGURIDAD (BS)"/>
    <s v="PRESENCIAL"/>
    <n v="245435"/>
    <s v="Cesar Valencia Viveros"/>
    <n v="8"/>
    <n v="1"/>
    <n v="12"/>
    <x v="169"/>
    <x v="60"/>
    <x v="16"/>
  </r>
  <r>
    <m/>
    <m/>
    <x v="28"/>
    <n v="25304"/>
    <x v="3"/>
    <s v="Gerencia de Coordinación de Operaciones"/>
    <s v="VERIFICADOR DE GAS (VG)"/>
    <s v="PRESENCIAL"/>
    <n v="322115"/>
    <s v="Eduardo Moheno Torres"/>
    <n v="8"/>
    <n v="1"/>
    <n v="6"/>
    <x v="148"/>
    <x v="61"/>
    <x v="16"/>
  </r>
  <r>
    <m/>
    <m/>
    <x v="28"/>
    <n v="22188"/>
    <x v="0"/>
    <s v="Coordinación de Servicios Marinos y de Mantenimiento, Confiabilidad y Construcción de Infraestructura"/>
    <s v="REVALIDACION BASICO DE SEGURIDAD (BS)"/>
    <s v="PRESENCIAL"/>
    <n v="245435"/>
    <s v="Cesar Valencia Viveros"/>
    <n v="8"/>
    <n v="1"/>
    <n v="12"/>
    <x v="60"/>
    <x v="159"/>
    <x v="16"/>
  </r>
  <r>
    <m/>
    <m/>
    <x v="28"/>
    <n v="24646"/>
    <x v="3"/>
    <s v="Gerencia de Coordinación de Operaciones"/>
    <s v="BRIGADAS CONTRAINCENDIOS (BCII)"/>
    <s v="PRESENCIAL"/>
    <n v="322115"/>
    <s v="Eduardo Moheno Torres"/>
    <n v="24"/>
    <n v="3"/>
    <n v="3"/>
    <x v="59"/>
    <x v="159"/>
    <x v="16"/>
  </r>
  <r>
    <m/>
    <m/>
    <x v="28"/>
    <n v="24586"/>
    <x v="3"/>
    <s v="Gerencia de Coordinación de Operaciones"/>
    <s v="PROCEDIMIENTOS CRITICOS (PC)"/>
    <s v="PRESENCIAL"/>
    <n v="370733"/>
    <s v="José Guadalupe Resendíz Robles"/>
    <n v="16"/>
    <n v="2"/>
    <n v="15"/>
    <x v="195"/>
    <x v="159"/>
    <x v="16"/>
  </r>
  <r>
    <m/>
    <m/>
    <x v="28"/>
    <n v="22189"/>
    <x v="0"/>
    <s v="Coordinación de Servicios Marinos y de Mantenimiento, Confiabilidad y Construcción de Infraestructura"/>
    <s v="REVALIDACION BASICO DE SEGURIDAD (BS)"/>
    <s v="PRESENCIAL"/>
    <n v="245435"/>
    <s v="Cesar Valencia Viveros"/>
    <n v="8"/>
    <n v="1"/>
    <n v="13"/>
    <x v="61"/>
    <x v="63"/>
    <x v="16"/>
  </r>
  <r>
    <m/>
    <m/>
    <x v="28"/>
    <n v="22190"/>
    <x v="0"/>
    <s v="Coordinación de Servicios Marinos y de Mantenimiento, Confiabilidad y Construcción de Infraestructura"/>
    <s v="REVALIDACION BASICO DE SEGURIDAD (BS)"/>
    <s v="PRESENCIAL"/>
    <n v="245435"/>
    <s v="Cesar Valencia Viveros"/>
    <n v="8"/>
    <n v="1"/>
    <n v="13"/>
    <x v="62"/>
    <x v="64"/>
    <x v="16"/>
  </r>
  <r>
    <m/>
    <m/>
    <x v="28"/>
    <n v="24730"/>
    <x v="3"/>
    <s v="Gerencia de Coordinación de Operaciones"/>
    <s v="SISTEMA DE PERMISOS PARA TRABAJOS CON RIESGO (SPTR)"/>
    <s v="PRESENCIAL"/>
    <n v="971841"/>
    <s v="Tobias Magaña Ruiz"/>
    <n v="24"/>
    <n v="3"/>
    <n v="3"/>
    <x v="60"/>
    <x v="64"/>
    <x v="16"/>
  </r>
  <r>
    <m/>
    <m/>
    <x v="28"/>
    <n v="29383"/>
    <x v="9"/>
    <s v="Gerencia de Mantenimiento, Confiabilidad y Construcción"/>
    <s v="SEGURIDAD Y SOBREVIVENCIA COSTA AFUERA (SSCA)"/>
    <s v="PRESENCIAL"/>
    <n v="370733"/>
    <s v="José Guadalupe Resendíz Robles"/>
    <n v="24"/>
    <n v="3"/>
    <n v="11"/>
    <x v="64"/>
    <x v="69"/>
    <x v="16"/>
  </r>
  <r>
    <m/>
    <m/>
    <x v="28"/>
    <n v="24731"/>
    <x v="3"/>
    <s v="Gerencia de Coordinación de Operaciones"/>
    <s v="SISTEMA DE PERMISOS PARA TRABAJOS CON RIESGO (SPTR)"/>
    <s v="PRESENCIAL"/>
    <n v="322115"/>
    <s v="Eduardo Moheno Torres"/>
    <n v="24"/>
    <n v="3"/>
    <n v="3"/>
    <x v="65"/>
    <x v="70"/>
    <x v="16"/>
  </r>
  <r>
    <m/>
    <m/>
    <x v="28"/>
    <n v="25215"/>
    <x v="3"/>
    <s v="Gerencia de Coordinación de Operaciones"/>
    <s v="ADMINISTRACION AMBIENTAL"/>
    <s v="PRESENCIAL"/>
    <n v="445938"/>
    <s v="Eduardo Martinez Gonzalez"/>
    <n v="16"/>
    <n v="2"/>
    <n v="8"/>
    <x v="66"/>
    <x v="160"/>
    <x v="16"/>
  </r>
  <r>
    <m/>
    <m/>
    <x v="28"/>
    <n v="24618"/>
    <x v="3"/>
    <s v="Gerencia de Coordinación de Operaciones"/>
    <s v="RESPUESTA A EMERGENCIAS CON MATERIALES PELIGROSOS (REMP)"/>
    <s v="PRESENCIAL"/>
    <n v="245434"/>
    <s v="Joel Licona Mar"/>
    <n v="16"/>
    <n v="2"/>
    <n v="3"/>
    <x v="69"/>
    <x v="74"/>
    <x v="17"/>
  </r>
  <r>
    <m/>
    <m/>
    <x v="28"/>
    <n v="24880"/>
    <x v="3"/>
    <s v="Gerencia de Coordinación de Operaciones"/>
    <s v="REACREDITACION DE SIGNATARIOS DEL SPPTR (RSPTR)"/>
    <s v="PRESENCIAL"/>
    <n v="245434"/>
    <s v="Joel Licona Mar"/>
    <n v="8"/>
    <n v="1"/>
    <n v="10"/>
    <x v="77"/>
    <x v="79"/>
    <x v="17"/>
  </r>
  <r>
    <m/>
    <m/>
    <x v="28"/>
    <n v="24493"/>
    <x v="3"/>
    <s v="Gerencia de Coordinación de Operaciones"/>
    <s v="ACIDO SULFHIDRICO (H2S)"/>
    <s v="PRESENCIAL"/>
    <n v="245435"/>
    <s v="Cesar Valencia Viveros"/>
    <n v="8"/>
    <n v="1"/>
    <n v="16"/>
    <x v="77"/>
    <x v="79"/>
    <x v="17"/>
  </r>
  <r>
    <m/>
    <m/>
    <x v="28"/>
    <n v="24804"/>
    <x v="3"/>
    <s v="Gerencia de Coordinación de Operaciones"/>
    <s v="BRIGADAS DE PRIMEROS AUXILIOS(BPA)"/>
    <s v="PRESENCIAL"/>
    <n v="373645"/>
    <s v="Nicky Aguilera Pavon"/>
    <n v="16"/>
    <n v="2"/>
    <n v="12"/>
    <x v="74"/>
    <x v="79"/>
    <x v="17"/>
  </r>
  <r>
    <m/>
    <m/>
    <x v="28"/>
    <n v="24529"/>
    <x v="3"/>
    <s v="Gerencia de Coordinación de Operaciones"/>
    <s v="BASICO DE SEGURIDAD (BS)"/>
    <s v="PRESENCIAL"/>
    <n v="322115"/>
    <s v="Eduardo Moheno Torres"/>
    <n v="16"/>
    <n v="2"/>
    <n v="3"/>
    <x v="77"/>
    <x v="80"/>
    <x v="17"/>
  </r>
  <r>
    <m/>
    <m/>
    <x v="28"/>
    <n v="24172"/>
    <x v="1"/>
    <s v="Gerencia de Seguridad, Salud en el Trabajo y Protección Ambiental Región Marina"/>
    <s v="INVESTIGACION DE INCIDENTES Y ANALISIS DE CAUSA RAIZ (IIACR)"/>
    <s v="PRESENCIAL"/>
    <n v="322115"/>
    <s v="Eduardo Moheno Torres"/>
    <n v="16"/>
    <n v="2"/>
    <n v="11"/>
    <x v="81"/>
    <x v="85"/>
    <x v="17"/>
  </r>
  <r>
    <m/>
    <m/>
    <x v="28"/>
    <n v="29386"/>
    <x v="9"/>
    <s v="Gerencia de Mantenimiento, Confiabilidad y Construcción"/>
    <s v="SEGURIDAD Y SOBREVIVENCIA COSTA AFUERA (SSCA)"/>
    <s v="PRESENCIAL"/>
    <n v="245435"/>
    <s v="Cesar Valencia Viveros"/>
    <n v="24"/>
    <n v="3"/>
    <n v="14"/>
    <x v="81"/>
    <x v="162"/>
    <x v="17"/>
  </r>
  <r>
    <m/>
    <m/>
    <x v="28"/>
    <n v="31046"/>
    <x v="9"/>
    <s v="Activo de Producción Litoral de Tabasco"/>
    <s v="PROCEDIMIENTOS CRITICOS (PC)"/>
    <s v="PRESENCIAL"/>
    <n v="370733"/>
    <s v="José Guadalupe Resendíz Robles"/>
    <n v="16"/>
    <n v="2"/>
    <n v="10"/>
    <x v="170"/>
    <x v="271"/>
    <x v="17"/>
  </r>
  <r>
    <m/>
    <m/>
    <x v="28"/>
    <n v="25309"/>
    <x v="3"/>
    <s v="Gerencia de Coordinación de Operaciones"/>
    <s v="VERIFICADOR DE GAS (VG)"/>
    <s v="PRESENCIAL"/>
    <n v="245434"/>
    <s v="Joel Licona Mar"/>
    <n v="8"/>
    <n v="1"/>
    <n v="6"/>
    <x v="83"/>
    <x v="86"/>
    <x v="17"/>
  </r>
  <r>
    <m/>
    <m/>
    <x v="28"/>
    <n v="24843"/>
    <x v="3"/>
    <s v="Gerencia de Coordinación de Operaciones"/>
    <s v="SEGURIDAD Y SOBREVIVENCIA COSTA AFUERA (SSCA)"/>
    <s v="PRESENCIAL"/>
    <n v="245435"/>
    <s v="Cesar Valencia Viveros"/>
    <n v="24"/>
    <n v="3"/>
    <n v="9"/>
    <x v="170"/>
    <x v="86"/>
    <x v="17"/>
  </r>
  <r>
    <m/>
    <m/>
    <x v="28"/>
    <n v="24650"/>
    <x v="3"/>
    <s v="Gerencia de Coordinación de Operaciones"/>
    <s v="BRIGADAS CONTRAINCENDIOS (BCII)"/>
    <s v="PRESENCIAL"/>
    <n v="322115"/>
    <s v="Eduardo Moheno Torres"/>
    <n v="24"/>
    <n v="3"/>
    <n v="3"/>
    <x v="170"/>
    <x v="86"/>
    <x v="17"/>
  </r>
  <r>
    <m/>
    <m/>
    <x v="28"/>
    <n v="24743"/>
    <x v="3"/>
    <s v="Gerencia de Coordinación de Operaciones"/>
    <s v="SISTEMA DE PERMISOS PARA TRABAJOS CON RIESGO (SPTR)"/>
    <s v="PRESENCIAL"/>
    <n v="971841"/>
    <s v="Tobias Magaña Ruiz"/>
    <n v="24"/>
    <n v="3"/>
    <n v="3"/>
    <x v="87"/>
    <x v="94"/>
    <x v="18"/>
  </r>
  <r>
    <m/>
    <m/>
    <x v="28"/>
    <n v="24533"/>
    <x v="3"/>
    <s v="Gerencia de Coordinación de Operaciones"/>
    <s v="BASICO DE SEGURIDAD (BS)"/>
    <s v="PRESENCIAL"/>
    <n v="245435"/>
    <s v="Cesar Valencia Viveros"/>
    <n v="16"/>
    <n v="2"/>
    <n v="3"/>
    <x v="150"/>
    <x v="216"/>
    <x v="18"/>
  </r>
  <r>
    <m/>
    <m/>
    <x v="28"/>
    <n v="24805"/>
    <x v="3"/>
    <s v="Gerencia de Coordinación de Operaciones"/>
    <s v="BRIGADAS DE PRIMEROS AUXILIOS(BPA)"/>
    <s v="PRESENCIAL"/>
    <n v="373645"/>
    <s v="Nicky Aguilera Pavon"/>
    <n v="16"/>
    <n v="2"/>
    <n v="12"/>
    <x v="91"/>
    <x v="96"/>
    <x v="18"/>
  </r>
  <r>
    <m/>
    <m/>
    <x v="28"/>
    <n v="24652"/>
    <x v="3"/>
    <s v="Gerencia de Coordinación de Operaciones"/>
    <s v="BRIGADAS CONTRAINCENDIOS (BCII)"/>
    <s v="PRESENCIAL"/>
    <n v="245435"/>
    <s v="Cesar Valencia Viveros"/>
    <n v="24"/>
    <n v="3"/>
    <n v="3"/>
    <x v="92"/>
    <x v="98"/>
    <x v="18"/>
  </r>
  <r>
    <m/>
    <m/>
    <x v="28"/>
    <n v="24842"/>
    <x v="3"/>
    <s v="Gerencia de Coordinación de Operaciones"/>
    <s v="SEGURIDAD Y SOBREVIVENCIA COSTA AFUERA (SSCA)"/>
    <s v="PRESENCIAL"/>
    <n v="245435"/>
    <s v="Cesar Valencia Viveros"/>
    <n v="24"/>
    <n v="3"/>
    <n v="8"/>
    <x v="94"/>
    <x v="165"/>
    <x v="18"/>
  </r>
  <r>
    <m/>
    <m/>
    <x v="28"/>
    <n v="25313"/>
    <x v="3"/>
    <s v="Gerencia de Coordinación de Operaciones"/>
    <s v="VERIFICADOR DE GAS (VG)"/>
    <s v="PRESENCIAL"/>
    <n v="245434"/>
    <s v="Joel Licona Mar"/>
    <n v="8"/>
    <n v="1"/>
    <n v="3"/>
    <x v="98"/>
    <x v="187"/>
    <x v="18"/>
  </r>
  <r>
    <m/>
    <m/>
    <x v="28"/>
    <n v="24849"/>
    <x v="3"/>
    <s v="Gerencia de Coordinación de Operaciones"/>
    <s v="PREVENCION DE RIESGOS LABORALES"/>
    <s v="PRESENCIAL"/>
    <n v="322115"/>
    <s v="Eduardo Moheno Torres"/>
    <n v="16"/>
    <n v="2"/>
    <n v="6"/>
    <x v="98"/>
    <x v="105"/>
    <x v="18"/>
  </r>
  <r>
    <m/>
    <m/>
    <x v="28"/>
    <n v="24625"/>
    <x v="3"/>
    <s v="Gerencia de Coordinación de Operaciones"/>
    <s v="RESPUESTA A EMERGENCIAS CON MATERIALES PELIGROSOS (REMP)"/>
    <s v="PRESENCIAL"/>
    <n v="245434"/>
    <s v="Joel Licona Mar"/>
    <n v="16"/>
    <n v="2"/>
    <n v="3"/>
    <x v="101"/>
    <x v="272"/>
    <x v="18"/>
  </r>
  <r>
    <m/>
    <m/>
    <x v="28"/>
    <n v="25314"/>
    <x v="3"/>
    <s v="Gerencia de Coordinación de Operaciones"/>
    <s v="VERIFICADOR DE GAS (VG)"/>
    <s v="PRESENCIAL"/>
    <n v="245434"/>
    <s v="Joel Licona Mar"/>
    <n v="8"/>
    <n v="1"/>
    <n v="3"/>
    <x v="220"/>
    <x v="109"/>
    <x v="18"/>
  </r>
  <r>
    <m/>
    <m/>
    <x v="28"/>
    <n v="31045"/>
    <x v="9"/>
    <s v="Activo de Producción Litoral de Tabasco"/>
    <s v="PROCEDIMIENTOS CRITICOS (PC)"/>
    <s v="PRESENCIAL"/>
    <n v="370733"/>
    <s v="José Guadalupe Resendíz Robles"/>
    <n v="16"/>
    <n v="2"/>
    <n v="10"/>
    <x v="104"/>
    <x v="109"/>
    <x v="18"/>
  </r>
  <r>
    <m/>
    <m/>
    <x v="28"/>
    <n v="24875"/>
    <x v="3"/>
    <s v="Gerencia de Coordinación de Operaciones"/>
    <s v="REVALIDACION BASICO DE SEGURIDAD (BS)"/>
    <s v="PRESENCIAL"/>
    <n v="245435"/>
    <s v="Cesar Valencia Viveros"/>
    <n v="8"/>
    <n v="1"/>
    <n v="11"/>
    <x v="106"/>
    <x v="110"/>
    <x v="19"/>
  </r>
  <r>
    <m/>
    <m/>
    <x v="28"/>
    <n v="29391"/>
    <x v="9"/>
    <s v="Gerencia de Mantenimiento, Confiabilidad y Construcción"/>
    <s v="SEGURIDAD Y SOBREVIVENCIA COSTA AFUERA (SSCA)"/>
    <s v="PRESENCIAL"/>
    <n v="245435"/>
    <s v="Cesar Valencia Viveros"/>
    <n v="24"/>
    <n v="3"/>
    <n v="14"/>
    <x v="171"/>
    <x v="273"/>
    <x v="19"/>
  </r>
  <r>
    <m/>
    <m/>
    <x v="28"/>
    <n v="25319"/>
    <x v="3"/>
    <s v="Gerencia de Coordinación de Operaciones"/>
    <s v="VERIFICADOR DE GAS (VG)"/>
    <s v="PRESENCIAL"/>
    <n v="245434"/>
    <s v="Joel Licona Mar"/>
    <n v="8"/>
    <n v="1"/>
    <n v="3"/>
    <x v="108"/>
    <x v="258"/>
    <x v="19"/>
  </r>
  <r>
    <m/>
    <m/>
    <x v="28"/>
    <n v="24881"/>
    <x v="3"/>
    <s v="Gerencia de Coordinación de Operaciones"/>
    <s v="REACREDITACION DE SIGNATARIOS DEL SPPTR (RSPTR)"/>
    <s v="PRESENCIAL"/>
    <n v="245434"/>
    <s v="Joel Licona Mar"/>
    <n v="8"/>
    <n v="1"/>
    <n v="10"/>
    <x v="212"/>
    <x v="189"/>
    <x v="19"/>
  </r>
  <r>
    <m/>
    <m/>
    <x v="28"/>
    <n v="24656"/>
    <x v="3"/>
    <s v="Gerencia de Coordinación de Operaciones"/>
    <s v="BRIGADAS CONTRAINCENDIOS (BCII)"/>
    <s v="PRESENCIAL"/>
    <n v="245435"/>
    <s v="Cesar Valencia Viveros"/>
    <n v="24"/>
    <n v="3"/>
    <n v="3"/>
    <x v="108"/>
    <x v="189"/>
    <x v="19"/>
  </r>
  <r>
    <m/>
    <m/>
    <x v="28"/>
    <n v="24628"/>
    <x v="3"/>
    <s v="Gerencia de Coordinación de Operaciones"/>
    <s v="RESPUESTA A EMERGENCIAS CON MATERIALES PELIGROSOS (REMP)"/>
    <s v="PRESENCIAL"/>
    <n v="322115"/>
    <s v="Eduardo Moheno Torres"/>
    <n v="16"/>
    <n v="2"/>
    <n v="3"/>
    <x v="111"/>
    <x v="200"/>
    <x v="19"/>
  </r>
  <r>
    <m/>
    <m/>
    <x v="28"/>
    <n v="24807"/>
    <x v="3"/>
    <s v="Gerencia de Coordinación de Operaciones"/>
    <s v="DISCIPLINA OPERATIVA"/>
    <s v="PRESENCIAL"/>
    <n v="445938"/>
    <s v="Eduardo Martinez Gonzalez"/>
    <n v="16"/>
    <n v="2"/>
    <n v="11"/>
    <x v="112"/>
    <x v="117"/>
    <x v="19"/>
  </r>
  <r>
    <m/>
    <m/>
    <x v="28"/>
    <n v="24806"/>
    <x v="3"/>
    <s v="Gerencia de Coordinación de Operaciones"/>
    <s v="DISCIPLINA OPERATIVA"/>
    <s v="PRESENCIAL"/>
    <n v="445938"/>
    <s v="Eduardo Martinez Gonzalez"/>
    <n v="16"/>
    <n v="2"/>
    <n v="10"/>
    <x v="113"/>
    <x v="119"/>
    <x v="19"/>
  </r>
  <r>
    <m/>
    <m/>
    <x v="28"/>
    <n v="29393"/>
    <x v="9"/>
    <s v="Gerencia de Mantenimiento, Confiabilidad y Construcción"/>
    <s v="SEGURIDAD Y SOBREVIVENCIA COSTA AFUERA (SSCA)"/>
    <s v="PRESENCIAL"/>
    <n v="245435"/>
    <s v="Cesar Valencia Viveros"/>
    <n v="24"/>
    <n v="3"/>
    <n v="19"/>
    <x v="155"/>
    <x v="167"/>
    <x v="19"/>
  </r>
  <r>
    <m/>
    <m/>
    <x v="28"/>
    <n v="24749"/>
    <x v="3"/>
    <s v="Gerencia de Coordinación de Operaciones"/>
    <s v="SISTEMA DE PERMISOS PARA TRABAJOS CON RIESGO (SPTR)"/>
    <s v="PRESENCIAL"/>
    <n v="971841"/>
    <s v="Tobias Magaña Ruiz"/>
    <n v="24"/>
    <n v="3"/>
    <n v="4"/>
    <x v="155"/>
    <x v="167"/>
    <x v="19"/>
  </r>
  <r>
    <m/>
    <m/>
    <x v="28"/>
    <n v="24808"/>
    <x v="3"/>
    <s v="Gerencia de Coordinación de Operaciones"/>
    <s v="DISCIPLINA OPERATIVA"/>
    <s v="PRESENCIAL"/>
    <n v="445938"/>
    <s v="Eduardo Martinez Gonzalez"/>
    <n v="16"/>
    <n v="2"/>
    <n v="10"/>
    <x v="116"/>
    <x v="122"/>
    <x v="19"/>
  </r>
  <r>
    <m/>
    <m/>
    <x v="28"/>
    <n v="24840"/>
    <x v="3"/>
    <s v="Gerencia de Coordinación de Operaciones"/>
    <s v="SEGURIDAD Y SOBREVIVENCIA COSTA AFUERA (SSCA)"/>
    <s v="PRESENCIAL"/>
    <n v="245435"/>
    <s v="Cesar Valencia Viveros"/>
    <n v="24"/>
    <n v="3"/>
    <n v="7"/>
    <x v="179"/>
    <x v="124"/>
    <x v="20"/>
  </r>
  <r>
    <m/>
    <m/>
    <x v="28"/>
    <n v="24748"/>
    <x v="3"/>
    <s v="Gerencia de Coordinación de Operaciones"/>
    <s v="SISTEMA DE PERMISOS PARA TRABAJOS CON RIESGO (SPTR)"/>
    <s v="PRESENCIAL"/>
    <n v="971841"/>
    <s v="Tobias Magaña Ruiz"/>
    <n v="24"/>
    <n v="3"/>
    <n v="3"/>
    <x v="180"/>
    <x v="125"/>
    <x v="20"/>
  </r>
  <r>
    <m/>
    <m/>
    <x v="28"/>
    <n v="24631"/>
    <x v="3"/>
    <s v="Gerencia de Coordinación de Operaciones"/>
    <s v="RESPUESTA A EMERGENCIAS CON MATERIALES PELIGROSOS (REMP)"/>
    <s v="PRESENCIAL"/>
    <n v="245434"/>
    <s v="Joel Licona Mar"/>
    <n v="16"/>
    <n v="2"/>
    <n v="3"/>
    <x v="121"/>
    <x v="126"/>
    <x v="20"/>
  </r>
  <r>
    <m/>
    <m/>
    <x v="28"/>
    <n v="29394"/>
    <x v="9"/>
    <s v="Gerencia de Mantenimiento, Confiabilidad y Construcción"/>
    <s v="SEGURIDAD Y SOBREVIVENCIA COSTA AFUERA (SSCA)"/>
    <s v="PRESENCIAL"/>
    <n v="245435"/>
    <s v="Cesar Valencia Viveros"/>
    <n v="24"/>
    <n v="3"/>
    <n v="21"/>
    <x v="221"/>
    <x v="126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2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A24:C32" firstHeaderRow="0" firstDataRow="1" firstDataCol="1" rowPageCount="3" colPageCount="1"/>
  <pivotFields count="16">
    <pivotField showAll="0"/>
    <pivotField showAll="0"/>
    <pivotField axis="axisPage" showAll="0">
      <items count="30">
        <item x="18"/>
        <item x="13"/>
        <item x="11"/>
        <item x="6"/>
        <item x="14"/>
        <item x="26"/>
        <item x="0"/>
        <item x="1"/>
        <item x="19"/>
        <item x="28"/>
        <item x="16"/>
        <item x="15"/>
        <item x="27"/>
        <item x="17"/>
        <item x="24"/>
        <item x="9"/>
        <item x="25"/>
        <item x="12"/>
        <item x="2"/>
        <item x="3"/>
        <item x="4"/>
        <item x="5"/>
        <item x="7"/>
        <item x="8"/>
        <item x="10"/>
        <item x="20"/>
        <item x="21"/>
        <item x="22"/>
        <item x="23"/>
        <item t="default"/>
      </items>
    </pivotField>
    <pivotField dataField="1" showAll="0"/>
    <pivotField axis="axisRow" showAll="0">
      <items count="11">
        <item x="0"/>
        <item x="3"/>
        <item x="5"/>
        <item x="8"/>
        <item x="9"/>
        <item x="7"/>
        <item x="1"/>
        <item x="2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/>
    <pivotField axis="axisPage" showAll="0">
      <items count="275">
        <item x="229"/>
        <item x="151"/>
        <item x="72"/>
        <item x="94"/>
        <item x="124"/>
        <item x="137"/>
        <item x="152"/>
        <item x="157"/>
        <item x="73"/>
        <item x="95"/>
        <item x="202"/>
        <item x="206"/>
        <item x="43"/>
        <item x="54"/>
        <item x="74"/>
        <item x="110"/>
        <item x="125"/>
        <item x="138"/>
        <item x="55"/>
        <item x="75"/>
        <item x="198"/>
        <item x="188"/>
        <item x="182"/>
        <item x="56"/>
        <item x="76"/>
        <item x="216"/>
        <item x="111"/>
        <item x="139"/>
        <item x="153"/>
        <item x="57"/>
        <item x="77"/>
        <item x="96"/>
        <item x="273"/>
        <item x="140"/>
        <item x="154"/>
        <item x="161"/>
        <item x="97"/>
        <item x="112"/>
        <item x="126"/>
        <item x="141"/>
        <item x="214"/>
        <item x="58"/>
        <item x="78"/>
        <item x="98"/>
        <item x="258"/>
        <item x="127"/>
        <item x="142"/>
        <item x="44"/>
        <item x="59"/>
        <item x="79"/>
        <item x="163"/>
        <item x="113"/>
        <item x="128"/>
        <item x="237"/>
        <item x="45"/>
        <item x="60"/>
        <item x="80"/>
        <item x="99"/>
        <item x="189"/>
        <item x="129"/>
        <item x="143"/>
        <item x="231"/>
        <item x="81"/>
        <item x="100"/>
        <item x="256"/>
        <item x="262"/>
        <item x="46"/>
        <item x="61"/>
        <item x="164"/>
        <item x="114"/>
        <item x="155"/>
        <item x="241"/>
        <item x="82"/>
        <item x="165"/>
        <item x="115"/>
        <item x="263"/>
        <item x="235"/>
        <item x="47"/>
        <item x="158"/>
        <item x="83"/>
        <item x="101"/>
        <item x="269"/>
        <item x="144"/>
        <item x="215"/>
        <item x="84"/>
        <item x="102"/>
        <item x="116"/>
        <item x="236"/>
        <item x="145"/>
        <item x="48"/>
        <item x="185"/>
        <item x="103"/>
        <item x="200"/>
        <item x="130"/>
        <item x="146"/>
        <item x="49"/>
        <item x="62"/>
        <item x="85"/>
        <item x="104"/>
        <item x="117"/>
        <item x="131"/>
        <item x="147"/>
        <item x="159"/>
        <item x="162"/>
        <item x="118"/>
        <item x="264"/>
        <item x="230"/>
        <item x="183"/>
        <item x="63"/>
        <item x="199"/>
        <item x="119"/>
        <item x="265"/>
        <item x="266"/>
        <item x="64"/>
        <item x="186"/>
        <item x="187"/>
        <item x="120"/>
        <item x="224"/>
        <item x="39"/>
        <item x="267"/>
        <item x="271"/>
        <item x="105"/>
        <item x="212"/>
        <item x="50"/>
        <item x="65"/>
        <item x="86"/>
        <item x="268"/>
        <item x="270"/>
        <item x="148"/>
        <item x="240"/>
        <item x="66"/>
        <item x="87"/>
        <item x="106"/>
        <item x="243"/>
        <item x="213"/>
        <item x="67"/>
        <item x="88"/>
        <item x="167"/>
        <item x="132"/>
        <item x="225"/>
        <item x="149"/>
        <item x="68"/>
        <item x="89"/>
        <item x="107"/>
        <item x="121"/>
        <item x="226"/>
        <item x="40"/>
        <item x="51"/>
        <item x="69"/>
        <item x="272"/>
        <item x="122"/>
        <item x="41"/>
        <item x="156"/>
        <item x="70"/>
        <item x="90"/>
        <item x="108"/>
        <item x="123"/>
        <item x="227"/>
        <item x="259"/>
        <item x="52"/>
        <item x="160"/>
        <item x="91"/>
        <item x="166"/>
        <item x="133"/>
        <item x="150"/>
        <item x="53"/>
        <item x="92"/>
        <item x="109"/>
        <item x="42"/>
        <item x="184"/>
        <item x="71"/>
        <item x="93"/>
        <item x="201"/>
        <item x="228"/>
        <item x="242"/>
        <item x="232"/>
        <item x="207"/>
        <item x="0"/>
        <item x="208"/>
        <item x="1"/>
        <item x="2"/>
        <item x="3"/>
        <item x="4"/>
        <item x="5"/>
        <item x="209"/>
        <item x="254"/>
        <item x="168"/>
        <item x="6"/>
        <item x="7"/>
        <item x="8"/>
        <item x="255"/>
        <item x="169"/>
        <item x="190"/>
        <item x="170"/>
        <item x="9"/>
        <item x="10"/>
        <item x="11"/>
        <item x="12"/>
        <item x="13"/>
        <item x="14"/>
        <item x="171"/>
        <item x="257"/>
        <item x="172"/>
        <item x="173"/>
        <item x="210"/>
        <item x="134"/>
        <item x="174"/>
        <item x="219"/>
        <item x="191"/>
        <item x="175"/>
        <item x="217"/>
        <item x="192"/>
        <item x="176"/>
        <item x="218"/>
        <item x="15"/>
        <item x="16"/>
        <item x="17"/>
        <item x="18"/>
        <item x="177"/>
        <item x="19"/>
        <item x="220"/>
        <item x="211"/>
        <item x="221"/>
        <item x="193"/>
        <item x="178"/>
        <item x="233"/>
        <item x="194"/>
        <item x="179"/>
        <item x="20"/>
        <item x="203"/>
        <item x="21"/>
        <item x="238"/>
        <item x="135"/>
        <item x="239"/>
        <item x="222"/>
        <item x="22"/>
        <item x="195"/>
        <item x="196"/>
        <item x="23"/>
        <item x="223"/>
        <item x="24"/>
        <item x="25"/>
        <item x="197"/>
        <item x="26"/>
        <item x="27"/>
        <item x="28"/>
        <item x="204"/>
        <item x="136"/>
        <item x="205"/>
        <item x="29"/>
        <item x="30"/>
        <item x="234"/>
        <item x="31"/>
        <item x="180"/>
        <item x="32"/>
        <item x="247"/>
        <item x="33"/>
        <item x="34"/>
        <item x="35"/>
        <item x="36"/>
        <item x="37"/>
        <item x="38"/>
        <item x="248"/>
        <item x="244"/>
        <item x="181"/>
        <item x="245"/>
        <item x="246"/>
        <item x="249"/>
        <item x="250"/>
        <item x="260"/>
        <item x="261"/>
        <item x="251"/>
        <item x="252"/>
        <item x="253"/>
        <item t="default"/>
      </items>
    </pivotField>
    <pivotField axis="axisPage" multipleItemSelectionAllowed="1" showAll="0">
      <items count="22">
        <item x="12"/>
        <item h="1" x="13"/>
        <item h="1" x="14"/>
        <item h="1" x="15"/>
        <item h="1" x="16"/>
        <item h="1" x="17"/>
        <item h="1" x="18"/>
        <item h="1" x="19"/>
        <item h="1" x="20"/>
        <item x="11"/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</pivotFields>
  <rowFields count="1">
    <field x="4"/>
  </rowFields>
  <rowItems count="8">
    <i>
      <x/>
    </i>
    <i>
      <x v="2"/>
    </i>
    <i>
      <x v="4"/>
    </i>
    <i>
      <x v="5"/>
    </i>
    <i>
      <x v="6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3">
    <pageField fld="15" hier="-1"/>
    <pageField fld="2" hier="-1"/>
    <pageField fld="14" hier="-1"/>
  </pageFields>
  <dataFields count="2">
    <dataField name="Cuenta de IDSDNCA" fld="3" subtotal="count" baseField="0" baseItem="0"/>
    <dataField name="Suma de Asistentes Tot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A5:C16" firstHeaderRow="0" firstDataRow="1" firstDataCol="1" rowPageCount="2" colPageCount="1"/>
  <pivotFields count="16">
    <pivotField showAll="0"/>
    <pivotField showAll="0"/>
    <pivotField axis="axisPage" showAll="0">
      <items count="30">
        <item x="18"/>
        <item x="13"/>
        <item x="11"/>
        <item x="6"/>
        <item x="14"/>
        <item x="26"/>
        <item x="0"/>
        <item x="1"/>
        <item x="19"/>
        <item x="28"/>
        <item x="16"/>
        <item x="15"/>
        <item x="27"/>
        <item x="17"/>
        <item x="24"/>
        <item x="9"/>
        <item x="25"/>
        <item x="12"/>
        <item x="2"/>
        <item x="3"/>
        <item x="4"/>
        <item x="5"/>
        <item x="7"/>
        <item x="8"/>
        <item x="10"/>
        <item x="20"/>
        <item x="21"/>
        <item x="22"/>
        <item x="23"/>
        <item t="default"/>
      </items>
    </pivotField>
    <pivotField dataField="1" showAll="0"/>
    <pivotField axis="axisRow" showAll="0">
      <items count="11">
        <item x="0"/>
        <item x="3"/>
        <item x="5"/>
        <item x="8"/>
        <item x="9"/>
        <item x="7"/>
        <item x="1"/>
        <item x="2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223">
        <item x="184"/>
        <item x="7"/>
        <item x="31"/>
        <item x="141"/>
        <item x="70"/>
        <item x="90"/>
        <item x="180"/>
        <item x="189"/>
        <item x="32"/>
        <item x="43"/>
        <item x="54"/>
        <item x="69"/>
        <item x="210"/>
        <item x="197"/>
        <item x="211"/>
        <item x="129"/>
        <item x="134"/>
        <item x="55"/>
        <item x="71"/>
        <item x="106"/>
        <item x="120"/>
        <item x="8"/>
        <item x="130"/>
        <item x="164"/>
        <item x="146"/>
        <item x="73"/>
        <item x="150"/>
        <item x="171"/>
        <item x="0"/>
        <item x="9"/>
        <item x="127"/>
        <item x="142"/>
        <item x="147"/>
        <item x="91"/>
        <item x="107"/>
        <item x="221"/>
        <item x="191"/>
        <item x="131"/>
        <item x="166"/>
        <item x="56"/>
        <item x="72"/>
        <item x="92"/>
        <item x="121"/>
        <item x="172"/>
        <item x="177"/>
        <item x="136"/>
        <item x="45"/>
        <item x="75"/>
        <item x="151"/>
        <item x="185"/>
        <item x="157"/>
        <item x="160"/>
        <item x="33"/>
        <item x="44"/>
        <item x="74"/>
        <item x="93"/>
        <item x="108"/>
        <item x="181"/>
        <item x="173"/>
        <item x="34"/>
        <item x="57"/>
        <item x="77"/>
        <item x="122"/>
        <item x="200"/>
        <item x="35"/>
        <item x="47"/>
        <item x="169"/>
        <item x="76"/>
        <item x="212"/>
        <item x="158"/>
        <item x="21"/>
        <item x="206"/>
        <item x="58"/>
        <item x="79"/>
        <item x="94"/>
        <item x="109"/>
        <item x="161"/>
        <item x="20"/>
        <item x="46"/>
        <item x="148"/>
        <item x="152"/>
        <item x="110"/>
        <item x="192"/>
        <item x="23"/>
        <item x="183"/>
        <item x="201"/>
        <item x="78"/>
        <item x="95"/>
        <item x="208"/>
        <item x="17"/>
        <item x="178"/>
        <item x="137"/>
        <item x="48"/>
        <item x="80"/>
        <item x="96"/>
        <item x="1"/>
        <item x="187"/>
        <item x="16"/>
        <item x="207"/>
        <item x="143"/>
        <item x="97"/>
        <item x="111"/>
        <item x="123"/>
        <item x="186"/>
        <item x="10"/>
        <item x="37"/>
        <item x="49"/>
        <item x="59"/>
        <item x="81"/>
        <item x="112"/>
        <item x="124"/>
        <item x="2"/>
        <item x="11"/>
        <item x="132"/>
        <item x="36"/>
        <item x="195"/>
        <item x="217"/>
        <item x="115"/>
        <item x="3"/>
        <item x="12"/>
        <item x="24"/>
        <item x="138"/>
        <item x="60"/>
        <item x="153"/>
        <item x="113"/>
        <item x="4"/>
        <item x="13"/>
        <item x="18"/>
        <item x="25"/>
        <item x="39"/>
        <item x="168"/>
        <item x="61"/>
        <item x="99"/>
        <item x="114"/>
        <item x="175"/>
        <item x="133"/>
        <item x="219"/>
        <item x="62"/>
        <item x="170"/>
        <item x="98"/>
        <item x="182"/>
        <item x="26"/>
        <item x="38"/>
        <item x="50"/>
        <item x="82"/>
        <item x="218"/>
        <item x="5"/>
        <item x="14"/>
        <item x="198"/>
        <item x="28"/>
        <item x="215"/>
        <item x="83"/>
        <item x="100"/>
        <item x="155"/>
        <item x="125"/>
        <item x="6"/>
        <item x="15"/>
        <item x="199"/>
        <item x="194"/>
        <item x="214"/>
        <item x="63"/>
        <item x="149"/>
        <item x="102"/>
        <item x="188"/>
        <item x="27"/>
        <item x="40"/>
        <item x="51"/>
        <item x="64"/>
        <item x="84"/>
        <item x="117"/>
        <item x="202"/>
        <item x="213"/>
        <item x="204"/>
        <item x="41"/>
        <item x="65"/>
        <item x="85"/>
        <item x="101"/>
        <item x="116"/>
        <item x="176"/>
        <item x="29"/>
        <item x="144"/>
        <item x="196"/>
        <item x="103"/>
        <item x="118"/>
        <item x="193"/>
        <item x="30"/>
        <item x="52"/>
        <item x="66"/>
        <item x="86"/>
        <item x="105"/>
        <item x="126"/>
        <item x="203"/>
        <item x="205"/>
        <item x="140"/>
        <item x="53"/>
        <item x="88"/>
        <item x="104"/>
        <item x="159"/>
        <item x="19"/>
        <item x="42"/>
        <item x="145"/>
        <item x="87"/>
        <item x="220"/>
        <item x="179"/>
        <item x="128"/>
        <item x="216"/>
        <item x="209"/>
        <item x="67"/>
        <item x="89"/>
        <item x="119"/>
        <item x="190"/>
        <item x="163"/>
        <item x="68"/>
        <item x="174"/>
        <item x="22"/>
        <item x="162"/>
        <item x="165"/>
        <item x="167"/>
        <item x="135"/>
        <item x="139"/>
        <item x="154"/>
        <item x="156"/>
        <item t="default"/>
      </items>
    </pivotField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2">
    <pageField fld="13" hier="-1"/>
    <pageField fld="2" hier="-1"/>
  </pageFields>
  <dataFields count="2">
    <dataField name="Cuenta de IDSDNCA" fld="3" subtotal="count" baseField="0" baseItem="0"/>
    <dataField name="Suma de Asistentes Tot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2"/>
  <sheetViews>
    <sheetView topLeftCell="A16" workbookViewId="0">
      <selection activeCell="A21" sqref="A21"/>
    </sheetView>
  </sheetViews>
  <sheetFormatPr baseColWidth="10" defaultColWidth="11.42578125" defaultRowHeight="15" x14ac:dyDescent="0.25"/>
  <cols>
    <col min="1" max="1" width="68.85546875" bestFit="1" customWidth="1"/>
    <col min="2" max="2" width="18.85546875" bestFit="1" customWidth="1"/>
    <col min="3" max="3" width="25.85546875" bestFit="1" customWidth="1"/>
  </cols>
  <sheetData>
    <row r="2" spans="1:3" x14ac:dyDescent="0.25">
      <c r="A2" s="162" t="s">
        <v>0</v>
      </c>
      <c r="B2" t="s">
        <v>1</v>
      </c>
    </row>
    <row r="3" spans="1:3" x14ac:dyDescent="0.25">
      <c r="A3" s="162" t="s">
        <v>2</v>
      </c>
      <c r="B3" t="s">
        <v>1</v>
      </c>
    </row>
    <row r="5" spans="1:3" x14ac:dyDescent="0.25">
      <c r="A5" s="162" t="s">
        <v>3</v>
      </c>
      <c r="B5" t="s">
        <v>4</v>
      </c>
      <c r="C5" t="s">
        <v>5</v>
      </c>
    </row>
    <row r="6" spans="1:3" x14ac:dyDescent="0.25">
      <c r="A6" s="50" t="s">
        <v>6</v>
      </c>
      <c r="B6">
        <v>65</v>
      </c>
      <c r="C6">
        <v>601</v>
      </c>
    </row>
    <row r="7" spans="1:3" x14ac:dyDescent="0.25">
      <c r="A7" s="50" t="s">
        <v>7</v>
      </c>
      <c r="B7">
        <v>173</v>
      </c>
      <c r="C7">
        <v>776</v>
      </c>
    </row>
    <row r="8" spans="1:3" x14ac:dyDescent="0.25">
      <c r="A8" s="50" t="s">
        <v>8</v>
      </c>
      <c r="B8">
        <v>30</v>
      </c>
      <c r="C8">
        <v>180</v>
      </c>
    </row>
    <row r="9" spans="1:3" x14ac:dyDescent="0.25">
      <c r="A9" s="50" t="s">
        <v>9</v>
      </c>
      <c r="B9">
        <v>2</v>
      </c>
      <c r="C9">
        <v>2</v>
      </c>
    </row>
    <row r="10" spans="1:3" x14ac:dyDescent="0.25">
      <c r="A10" s="50" t="s">
        <v>10</v>
      </c>
      <c r="B10">
        <v>17</v>
      </c>
      <c r="C10">
        <v>198</v>
      </c>
    </row>
    <row r="11" spans="1:3" x14ac:dyDescent="0.25">
      <c r="A11" s="50" t="s">
        <v>11</v>
      </c>
      <c r="B11">
        <v>230</v>
      </c>
      <c r="C11">
        <v>2814</v>
      </c>
    </row>
    <row r="12" spans="1:3" x14ac:dyDescent="0.25">
      <c r="A12" s="50" t="s">
        <v>12</v>
      </c>
      <c r="B12">
        <v>122</v>
      </c>
      <c r="C12">
        <v>976</v>
      </c>
    </row>
    <row r="13" spans="1:3" x14ac:dyDescent="0.25">
      <c r="A13" s="50" t="s">
        <v>13</v>
      </c>
      <c r="B13">
        <v>65</v>
      </c>
      <c r="C13">
        <v>1046</v>
      </c>
    </row>
    <row r="14" spans="1:3" x14ac:dyDescent="0.25">
      <c r="A14" s="50" t="s">
        <v>14</v>
      </c>
      <c r="B14">
        <v>138</v>
      </c>
      <c r="C14">
        <v>1147</v>
      </c>
    </row>
    <row r="15" spans="1:3" x14ac:dyDescent="0.25">
      <c r="A15" s="50" t="s">
        <v>15</v>
      </c>
      <c r="B15">
        <v>104</v>
      </c>
      <c r="C15">
        <v>956</v>
      </c>
    </row>
    <row r="16" spans="1:3" x14ac:dyDescent="0.25">
      <c r="A16" s="50" t="s">
        <v>16</v>
      </c>
      <c r="B16">
        <v>946</v>
      </c>
      <c r="C16">
        <v>8696</v>
      </c>
    </row>
    <row r="20" spans="1:3" x14ac:dyDescent="0.25">
      <c r="A20" s="162" t="s">
        <v>17</v>
      </c>
      <c r="B20" t="s">
        <v>18</v>
      </c>
    </row>
    <row r="21" spans="1:3" x14ac:dyDescent="0.25">
      <c r="A21" s="162" t="s">
        <v>2</v>
      </c>
      <c r="B21" t="s">
        <v>1</v>
      </c>
    </row>
    <row r="22" spans="1:3" x14ac:dyDescent="0.25">
      <c r="A22" s="162" t="s">
        <v>19</v>
      </c>
      <c r="B22" t="s">
        <v>1</v>
      </c>
    </row>
    <row r="24" spans="1:3" x14ac:dyDescent="0.25">
      <c r="A24" s="162" t="s">
        <v>3</v>
      </c>
      <c r="B24" t="s">
        <v>4</v>
      </c>
      <c r="C24" t="s">
        <v>5</v>
      </c>
    </row>
    <row r="25" spans="1:3" x14ac:dyDescent="0.25">
      <c r="A25" s="50" t="s">
        <v>6</v>
      </c>
      <c r="B25">
        <v>25</v>
      </c>
      <c r="C25">
        <v>264</v>
      </c>
    </row>
    <row r="26" spans="1:3" x14ac:dyDescent="0.25">
      <c r="A26" s="50" t="s">
        <v>8</v>
      </c>
      <c r="B26">
        <v>12</v>
      </c>
      <c r="C26">
        <v>80</v>
      </c>
    </row>
    <row r="27" spans="1:3" x14ac:dyDescent="0.25">
      <c r="A27" s="50" t="s">
        <v>10</v>
      </c>
      <c r="B27">
        <v>3</v>
      </c>
      <c r="C27">
        <v>31</v>
      </c>
    </row>
    <row r="28" spans="1:3" x14ac:dyDescent="0.25">
      <c r="A28" s="50" t="s">
        <v>11</v>
      </c>
      <c r="B28">
        <v>38</v>
      </c>
      <c r="C28">
        <v>415</v>
      </c>
    </row>
    <row r="29" spans="1:3" x14ac:dyDescent="0.25">
      <c r="A29" s="50" t="s">
        <v>12</v>
      </c>
      <c r="B29">
        <v>25</v>
      </c>
      <c r="C29">
        <v>230</v>
      </c>
    </row>
    <row r="30" spans="1:3" x14ac:dyDescent="0.25">
      <c r="A30" s="50" t="s">
        <v>14</v>
      </c>
      <c r="B30">
        <v>2</v>
      </c>
      <c r="C30">
        <v>18</v>
      </c>
    </row>
    <row r="31" spans="1:3" x14ac:dyDescent="0.25">
      <c r="A31" s="50" t="s">
        <v>15</v>
      </c>
      <c r="B31">
        <v>33</v>
      </c>
      <c r="C31">
        <v>300</v>
      </c>
    </row>
    <row r="32" spans="1:3" x14ac:dyDescent="0.25">
      <c r="A32" s="50" t="s">
        <v>16</v>
      </c>
      <c r="B32">
        <v>138</v>
      </c>
      <c r="C32">
        <v>1338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6:S1008"/>
  <sheetViews>
    <sheetView workbookViewId="0">
      <selection activeCell="C6" sqref="C6"/>
    </sheetView>
  </sheetViews>
  <sheetFormatPr baseColWidth="10" defaultColWidth="11.42578125" defaultRowHeight="15" x14ac:dyDescent="0.25"/>
  <cols>
    <col min="1" max="1" width="7" customWidth="1"/>
    <col min="2" max="2" width="10.7109375" customWidth="1"/>
    <col min="3" max="3" width="13.7109375" customWidth="1"/>
    <col min="4" max="4" width="12.28515625" customWidth="1"/>
    <col min="5" max="5" width="10.42578125" customWidth="1"/>
    <col min="6" max="6" width="23.28515625" customWidth="1"/>
    <col min="7" max="7" width="56.28515625" customWidth="1"/>
    <col min="8" max="8" width="17.42578125" customWidth="1"/>
    <col min="9" max="9" width="16.140625" style="1" customWidth="1"/>
    <col min="10" max="10" width="8.85546875" customWidth="1"/>
    <col min="11" max="11" width="9.5703125" customWidth="1"/>
    <col min="12" max="12" width="11.85546875" customWidth="1"/>
    <col min="13" max="13" width="10.5703125" customWidth="1"/>
    <col min="14" max="14" width="11.85546875" customWidth="1"/>
    <col min="15" max="16" width="11.140625" customWidth="1"/>
    <col min="17" max="17" width="20.7109375" customWidth="1"/>
  </cols>
  <sheetData>
    <row r="6" spans="1:19" s="3" customFormat="1" ht="47.25" x14ac:dyDescent="0.25">
      <c r="A6" s="4" t="s">
        <v>20</v>
      </c>
      <c r="B6" s="4" t="s">
        <v>21</v>
      </c>
      <c r="C6" s="4" t="s">
        <v>2</v>
      </c>
      <c r="D6" s="4" t="s">
        <v>22</v>
      </c>
      <c r="E6" s="4" t="s">
        <v>23</v>
      </c>
      <c r="F6" s="4" t="s">
        <v>24</v>
      </c>
      <c r="G6" s="4" t="s">
        <v>25</v>
      </c>
      <c r="H6" s="5" t="s">
        <v>26</v>
      </c>
      <c r="I6" s="4" t="s">
        <v>27</v>
      </c>
      <c r="J6" s="4" t="s">
        <v>28</v>
      </c>
      <c r="K6" s="26" t="s">
        <v>29</v>
      </c>
      <c r="L6" s="26" t="s">
        <v>30</v>
      </c>
      <c r="M6" s="26" t="s">
        <v>31</v>
      </c>
      <c r="N6" s="5" t="s">
        <v>0</v>
      </c>
      <c r="O6" s="5" t="s">
        <v>19</v>
      </c>
      <c r="P6" s="4" t="s">
        <v>17</v>
      </c>
      <c r="Q6" s="4"/>
      <c r="R6" s="5"/>
      <c r="S6" s="21"/>
    </row>
    <row r="7" spans="1:19" x14ac:dyDescent="0.25">
      <c r="A7" s="1">
        <v>1</v>
      </c>
      <c r="B7" s="1"/>
      <c r="C7" t="s">
        <v>32</v>
      </c>
      <c r="D7" s="17">
        <v>23298</v>
      </c>
      <c r="E7" s="7" t="s">
        <v>6</v>
      </c>
      <c r="F7" s="7" t="s">
        <v>33</v>
      </c>
      <c r="G7" s="7" t="s">
        <v>34</v>
      </c>
      <c r="H7" s="8" t="s">
        <v>35</v>
      </c>
      <c r="I7" s="8">
        <v>350060</v>
      </c>
      <c r="J7" s="7" t="s">
        <v>36</v>
      </c>
      <c r="K7" s="27">
        <v>8</v>
      </c>
      <c r="L7" s="27">
        <v>1</v>
      </c>
      <c r="M7" s="27">
        <v>13</v>
      </c>
      <c r="N7" s="18" t="s">
        <v>37</v>
      </c>
      <c r="O7" s="18">
        <v>44232</v>
      </c>
      <c r="P7" s="8" t="s">
        <v>38</v>
      </c>
      <c r="Q7" s="8"/>
      <c r="R7" s="18"/>
      <c r="S7" s="18"/>
    </row>
    <row r="8" spans="1:19" x14ac:dyDescent="0.25">
      <c r="A8" s="1">
        <v>2</v>
      </c>
      <c r="B8" s="1"/>
      <c r="C8" s="7" t="s">
        <v>39</v>
      </c>
      <c r="D8" s="17">
        <v>23281</v>
      </c>
      <c r="E8" s="7" t="s">
        <v>6</v>
      </c>
      <c r="F8" s="7" t="s">
        <v>33</v>
      </c>
      <c r="G8" s="7" t="s">
        <v>40</v>
      </c>
      <c r="H8" s="8" t="s">
        <v>35</v>
      </c>
      <c r="I8" s="8">
        <v>374253</v>
      </c>
      <c r="J8" s="7" t="s">
        <v>41</v>
      </c>
      <c r="K8" s="27">
        <v>24</v>
      </c>
      <c r="L8" s="27">
        <v>3</v>
      </c>
      <c r="M8" s="27">
        <v>8</v>
      </c>
      <c r="N8" s="18" t="s">
        <v>42</v>
      </c>
      <c r="O8" s="18">
        <v>44244</v>
      </c>
      <c r="P8" s="8" t="s">
        <v>38</v>
      </c>
      <c r="Q8" s="8"/>
      <c r="R8" s="18"/>
      <c r="S8" s="18"/>
    </row>
    <row r="9" spans="1:19" x14ac:dyDescent="0.25">
      <c r="A9" s="1">
        <v>3</v>
      </c>
      <c r="B9" s="1"/>
      <c r="C9" s="7" t="s">
        <v>39</v>
      </c>
      <c r="D9" s="17">
        <v>23297</v>
      </c>
      <c r="E9" s="7" t="s">
        <v>6</v>
      </c>
      <c r="F9" s="7" t="s">
        <v>33</v>
      </c>
      <c r="G9" s="7" t="s">
        <v>34</v>
      </c>
      <c r="H9" s="8" t="s">
        <v>35</v>
      </c>
      <c r="I9" s="8">
        <v>436665</v>
      </c>
      <c r="J9" s="7" t="s">
        <v>43</v>
      </c>
      <c r="K9" s="27">
        <v>8</v>
      </c>
      <c r="L9" s="27">
        <v>1</v>
      </c>
      <c r="M9" s="27">
        <v>11</v>
      </c>
      <c r="N9" s="18" t="s">
        <v>44</v>
      </c>
      <c r="O9" s="18">
        <v>44244</v>
      </c>
      <c r="P9" s="8" t="s">
        <v>38</v>
      </c>
      <c r="Q9" s="8"/>
      <c r="R9" s="18"/>
      <c r="S9" s="18"/>
    </row>
    <row r="10" spans="1:19" x14ac:dyDescent="0.25">
      <c r="A10" s="1">
        <v>4</v>
      </c>
      <c r="B10" s="1"/>
      <c r="C10" s="7" t="s">
        <v>39</v>
      </c>
      <c r="D10" s="17">
        <v>23300</v>
      </c>
      <c r="E10" s="7" t="s">
        <v>6</v>
      </c>
      <c r="F10" s="7" t="s">
        <v>33</v>
      </c>
      <c r="G10" s="7" t="s">
        <v>34</v>
      </c>
      <c r="H10" s="8" t="s">
        <v>35</v>
      </c>
      <c r="I10" s="8">
        <v>436665</v>
      </c>
      <c r="J10" s="7" t="s">
        <v>43</v>
      </c>
      <c r="K10" s="27">
        <v>8</v>
      </c>
      <c r="L10" s="27">
        <v>1</v>
      </c>
      <c r="M10" s="27">
        <v>10</v>
      </c>
      <c r="N10" s="18" t="s">
        <v>45</v>
      </c>
      <c r="O10" s="18">
        <v>44245</v>
      </c>
      <c r="P10" s="8" t="s">
        <v>38</v>
      </c>
      <c r="Q10" s="8"/>
      <c r="R10" s="18"/>
      <c r="S10" s="18"/>
    </row>
    <row r="11" spans="1:19" x14ac:dyDescent="0.25">
      <c r="A11" s="1">
        <v>5</v>
      </c>
      <c r="B11" s="1"/>
      <c r="C11" s="7" t="s">
        <v>39</v>
      </c>
      <c r="D11" s="17">
        <v>23301</v>
      </c>
      <c r="E11" s="7" t="s">
        <v>6</v>
      </c>
      <c r="F11" s="7" t="s">
        <v>33</v>
      </c>
      <c r="G11" s="7" t="s">
        <v>34</v>
      </c>
      <c r="H11" s="8" t="s">
        <v>35</v>
      </c>
      <c r="I11" s="8">
        <v>436665</v>
      </c>
      <c r="J11" s="7" t="s">
        <v>43</v>
      </c>
      <c r="K11" s="27">
        <v>8</v>
      </c>
      <c r="L11" s="27">
        <v>1</v>
      </c>
      <c r="M11" s="27">
        <v>6</v>
      </c>
      <c r="N11" s="18" t="s">
        <v>46</v>
      </c>
      <c r="O11" s="18">
        <v>44246</v>
      </c>
      <c r="P11" s="8" t="s">
        <v>38</v>
      </c>
      <c r="Q11" s="8"/>
      <c r="R11" s="18"/>
      <c r="S11" s="18"/>
    </row>
    <row r="12" spans="1:19" x14ac:dyDescent="0.25">
      <c r="A12" s="1">
        <v>6</v>
      </c>
      <c r="B12" s="1"/>
      <c r="C12" s="7" t="s">
        <v>39</v>
      </c>
      <c r="D12" s="17">
        <v>23299</v>
      </c>
      <c r="E12" s="7" t="s">
        <v>6</v>
      </c>
      <c r="F12" s="7" t="s">
        <v>33</v>
      </c>
      <c r="G12" s="7" t="s">
        <v>34</v>
      </c>
      <c r="H12" s="8" t="s">
        <v>35</v>
      </c>
      <c r="I12" s="8">
        <v>436665</v>
      </c>
      <c r="J12" s="7" t="s">
        <v>43</v>
      </c>
      <c r="K12" s="27">
        <v>8</v>
      </c>
      <c r="L12" s="27">
        <v>1</v>
      </c>
      <c r="M12" s="27">
        <v>11</v>
      </c>
      <c r="N12" s="18" t="s">
        <v>47</v>
      </c>
      <c r="O12" s="18">
        <v>44249</v>
      </c>
      <c r="P12" s="8" t="s">
        <v>38</v>
      </c>
      <c r="Q12" s="8"/>
      <c r="R12" s="18"/>
      <c r="S12" s="18"/>
    </row>
    <row r="13" spans="1:19" x14ac:dyDescent="0.25">
      <c r="A13" s="1">
        <v>7</v>
      </c>
      <c r="B13" s="1"/>
      <c r="C13" s="7" t="s">
        <v>39</v>
      </c>
      <c r="D13" s="17">
        <v>23302</v>
      </c>
      <c r="E13" s="7" t="s">
        <v>6</v>
      </c>
      <c r="F13" s="7" t="s">
        <v>33</v>
      </c>
      <c r="G13" s="7" t="s">
        <v>34</v>
      </c>
      <c r="H13" s="8" t="s">
        <v>35</v>
      </c>
      <c r="I13" s="8">
        <v>436665</v>
      </c>
      <c r="J13" s="7" t="s">
        <v>43</v>
      </c>
      <c r="K13" s="27">
        <v>8</v>
      </c>
      <c r="L13" s="27">
        <v>1</v>
      </c>
      <c r="M13" s="27">
        <v>14</v>
      </c>
      <c r="N13" s="18" t="s">
        <v>48</v>
      </c>
      <c r="O13" s="18">
        <v>44250</v>
      </c>
      <c r="P13" s="8" t="s">
        <v>38</v>
      </c>
      <c r="Q13" s="8"/>
      <c r="R13" s="18"/>
      <c r="S13" s="18"/>
    </row>
    <row r="14" spans="1:19" x14ac:dyDescent="0.25">
      <c r="A14" s="1">
        <v>8</v>
      </c>
      <c r="B14" s="1"/>
      <c r="C14" s="7" t="s">
        <v>39</v>
      </c>
      <c r="D14" s="17">
        <v>23282</v>
      </c>
      <c r="E14" s="7" t="s">
        <v>6</v>
      </c>
      <c r="F14" s="7" t="s">
        <v>33</v>
      </c>
      <c r="G14" s="7" t="s">
        <v>40</v>
      </c>
      <c r="H14" s="8" t="s">
        <v>35</v>
      </c>
      <c r="I14" s="8">
        <v>374253</v>
      </c>
      <c r="J14" s="7" t="s">
        <v>41</v>
      </c>
      <c r="K14" s="27">
        <v>24</v>
      </c>
      <c r="L14" s="27">
        <v>3</v>
      </c>
      <c r="M14" s="27">
        <v>10</v>
      </c>
      <c r="N14" s="18" t="s">
        <v>49</v>
      </c>
      <c r="O14" s="18">
        <v>44258</v>
      </c>
      <c r="P14" s="8" t="s">
        <v>50</v>
      </c>
      <c r="Q14" s="8"/>
      <c r="R14" s="18"/>
      <c r="S14" s="18"/>
    </row>
    <row r="15" spans="1:19" x14ac:dyDescent="0.25">
      <c r="A15" s="1">
        <v>9</v>
      </c>
      <c r="B15" s="1"/>
      <c r="C15" s="7" t="s">
        <v>39</v>
      </c>
      <c r="D15" s="17">
        <v>23304</v>
      </c>
      <c r="E15" s="7" t="s">
        <v>6</v>
      </c>
      <c r="F15" s="7" t="s">
        <v>33</v>
      </c>
      <c r="G15" s="7" t="s">
        <v>34</v>
      </c>
      <c r="H15" s="8" t="s">
        <v>35</v>
      </c>
      <c r="I15" s="8">
        <v>350060</v>
      </c>
      <c r="J15" s="7" t="s">
        <v>36</v>
      </c>
      <c r="K15" s="27">
        <v>8</v>
      </c>
      <c r="L15" s="27">
        <v>1</v>
      </c>
      <c r="M15" s="27">
        <v>10</v>
      </c>
      <c r="N15" s="18" t="s">
        <v>51</v>
      </c>
      <c r="O15" s="18">
        <v>44259</v>
      </c>
      <c r="P15" s="8" t="s">
        <v>50</v>
      </c>
      <c r="Q15" s="8"/>
      <c r="R15" s="18"/>
      <c r="S15" s="18"/>
    </row>
    <row r="16" spans="1:19" x14ac:dyDescent="0.25">
      <c r="A16" s="1">
        <v>10</v>
      </c>
      <c r="B16" s="1"/>
      <c r="C16" s="7" t="s">
        <v>39</v>
      </c>
      <c r="D16" s="17">
        <v>23305</v>
      </c>
      <c r="E16" s="7" t="s">
        <v>6</v>
      </c>
      <c r="F16" s="7" t="s">
        <v>33</v>
      </c>
      <c r="G16" s="7" t="s">
        <v>34</v>
      </c>
      <c r="H16" s="8" t="s">
        <v>35</v>
      </c>
      <c r="I16" s="8">
        <v>350060</v>
      </c>
      <c r="J16" s="7" t="s">
        <v>36</v>
      </c>
      <c r="K16" s="27">
        <v>8</v>
      </c>
      <c r="L16" s="27">
        <v>1</v>
      </c>
      <c r="M16" s="27">
        <v>12</v>
      </c>
      <c r="N16" s="18" t="s">
        <v>52</v>
      </c>
      <c r="O16" s="18">
        <v>44260</v>
      </c>
      <c r="P16" s="8" t="s">
        <v>50</v>
      </c>
      <c r="Q16" s="8"/>
      <c r="R16" s="18"/>
      <c r="S16" s="18"/>
    </row>
    <row r="17" spans="1:19" x14ac:dyDescent="0.25">
      <c r="A17" s="1">
        <v>11</v>
      </c>
      <c r="B17" s="1"/>
      <c r="C17" s="7" t="s">
        <v>39</v>
      </c>
      <c r="D17" s="17">
        <v>23303</v>
      </c>
      <c r="E17" s="7" t="s">
        <v>6</v>
      </c>
      <c r="F17" s="7" t="s">
        <v>33</v>
      </c>
      <c r="G17" s="7" t="s">
        <v>34</v>
      </c>
      <c r="H17" s="8" t="s">
        <v>35</v>
      </c>
      <c r="I17" s="8">
        <v>436665</v>
      </c>
      <c r="J17" s="7" t="s">
        <v>43</v>
      </c>
      <c r="K17" s="27">
        <v>8</v>
      </c>
      <c r="L17" s="27">
        <v>1</v>
      </c>
      <c r="M17" s="27">
        <v>11</v>
      </c>
      <c r="N17" s="18" t="s">
        <v>53</v>
      </c>
      <c r="O17" s="18">
        <v>44271</v>
      </c>
      <c r="P17" s="8" t="s">
        <v>50</v>
      </c>
      <c r="Q17" s="8"/>
      <c r="R17" s="18"/>
      <c r="S17" s="18"/>
    </row>
    <row r="18" spans="1:19" x14ac:dyDescent="0.25">
      <c r="A18" s="1">
        <v>12</v>
      </c>
      <c r="B18" s="1"/>
      <c r="C18" s="7" t="s">
        <v>39</v>
      </c>
      <c r="D18" s="17">
        <v>23307</v>
      </c>
      <c r="E18" s="7" t="s">
        <v>6</v>
      </c>
      <c r="F18" s="7" t="s">
        <v>33</v>
      </c>
      <c r="G18" s="7" t="s">
        <v>34</v>
      </c>
      <c r="H18" s="8" t="s">
        <v>35</v>
      </c>
      <c r="I18" s="8">
        <v>436665</v>
      </c>
      <c r="J18" s="7" t="s">
        <v>43</v>
      </c>
      <c r="K18" s="27">
        <v>8</v>
      </c>
      <c r="L18" s="27">
        <v>1</v>
      </c>
      <c r="M18" s="27">
        <v>11</v>
      </c>
      <c r="N18" s="18" t="s">
        <v>54</v>
      </c>
      <c r="O18" s="18">
        <v>44272</v>
      </c>
      <c r="P18" s="8" t="s">
        <v>50</v>
      </c>
      <c r="Q18" s="8"/>
      <c r="R18" s="18"/>
      <c r="S18" s="18"/>
    </row>
    <row r="19" spans="1:19" x14ac:dyDescent="0.25">
      <c r="A19" s="1">
        <v>13</v>
      </c>
      <c r="B19" s="1"/>
      <c r="C19" s="7" t="s">
        <v>39</v>
      </c>
      <c r="D19" s="17">
        <v>23308</v>
      </c>
      <c r="E19" s="7" t="s">
        <v>6</v>
      </c>
      <c r="F19" s="7" t="s">
        <v>33</v>
      </c>
      <c r="G19" s="7" t="s">
        <v>34</v>
      </c>
      <c r="H19" s="8" t="s">
        <v>35</v>
      </c>
      <c r="I19" s="8">
        <v>436665</v>
      </c>
      <c r="J19" s="7" t="s">
        <v>43</v>
      </c>
      <c r="K19" s="27">
        <v>8</v>
      </c>
      <c r="L19" s="27">
        <v>1</v>
      </c>
      <c r="M19" s="27">
        <v>9</v>
      </c>
      <c r="N19" s="18" t="s">
        <v>55</v>
      </c>
      <c r="O19" s="18">
        <v>44273</v>
      </c>
      <c r="P19" s="8" t="s">
        <v>50</v>
      </c>
      <c r="Q19" s="8"/>
      <c r="R19" s="18"/>
      <c r="S19" s="18"/>
    </row>
    <row r="20" spans="1:19" x14ac:dyDescent="0.25">
      <c r="A20" s="1">
        <v>14</v>
      </c>
      <c r="B20" s="1"/>
      <c r="C20" s="7" t="s">
        <v>39</v>
      </c>
      <c r="D20" s="17">
        <v>23309</v>
      </c>
      <c r="E20" s="7" t="s">
        <v>6</v>
      </c>
      <c r="F20" s="7" t="s">
        <v>33</v>
      </c>
      <c r="G20" s="7" t="s">
        <v>34</v>
      </c>
      <c r="H20" s="8" t="s">
        <v>35</v>
      </c>
      <c r="I20" s="8">
        <v>436665</v>
      </c>
      <c r="J20" s="7" t="s">
        <v>43</v>
      </c>
      <c r="K20" s="27">
        <v>8</v>
      </c>
      <c r="L20" s="27">
        <v>1</v>
      </c>
      <c r="M20" s="27">
        <v>13</v>
      </c>
      <c r="N20" s="18" t="s">
        <v>56</v>
      </c>
      <c r="O20" s="18">
        <v>44274</v>
      </c>
      <c r="P20" s="8" t="s">
        <v>50</v>
      </c>
      <c r="Q20" s="8"/>
      <c r="R20" s="18"/>
      <c r="S20" s="18"/>
    </row>
    <row r="21" spans="1:19" x14ac:dyDescent="0.25">
      <c r="A21" s="1">
        <v>15</v>
      </c>
      <c r="B21" s="1"/>
      <c r="C21" s="7" t="s">
        <v>39</v>
      </c>
      <c r="D21" s="17">
        <v>23306</v>
      </c>
      <c r="E21" s="7" t="s">
        <v>6</v>
      </c>
      <c r="F21" s="7" t="s">
        <v>33</v>
      </c>
      <c r="G21" s="7" t="s">
        <v>34</v>
      </c>
      <c r="H21" s="8" t="s">
        <v>35</v>
      </c>
      <c r="I21" s="8">
        <v>436665</v>
      </c>
      <c r="J21" s="7" t="s">
        <v>43</v>
      </c>
      <c r="K21" s="27">
        <v>8</v>
      </c>
      <c r="L21" s="27">
        <v>1</v>
      </c>
      <c r="M21" s="27">
        <v>11</v>
      </c>
      <c r="N21" s="18" t="s">
        <v>57</v>
      </c>
      <c r="O21" s="18">
        <v>44277</v>
      </c>
      <c r="P21" s="8" t="s">
        <v>50</v>
      </c>
      <c r="Q21" s="8"/>
      <c r="R21" s="18"/>
      <c r="S21" s="18"/>
    </row>
    <row r="22" spans="1:19" x14ac:dyDescent="0.25">
      <c r="A22" s="1">
        <v>16</v>
      </c>
      <c r="B22" s="1"/>
      <c r="C22" s="7" t="s">
        <v>39</v>
      </c>
      <c r="D22" s="17">
        <v>23310</v>
      </c>
      <c r="E22" s="7" t="s">
        <v>6</v>
      </c>
      <c r="F22" s="7" t="s">
        <v>33</v>
      </c>
      <c r="G22" s="7" t="s">
        <v>34</v>
      </c>
      <c r="H22" s="8" t="s">
        <v>35</v>
      </c>
      <c r="I22" s="8">
        <v>436665</v>
      </c>
      <c r="J22" s="7" t="s">
        <v>43</v>
      </c>
      <c r="K22" s="27">
        <v>8</v>
      </c>
      <c r="L22" s="27">
        <v>1</v>
      </c>
      <c r="M22" s="27">
        <v>15</v>
      </c>
      <c r="N22" s="18" t="s">
        <v>58</v>
      </c>
      <c r="O22" s="18">
        <v>44278</v>
      </c>
      <c r="P22" s="8" t="s">
        <v>50</v>
      </c>
      <c r="Q22" s="8"/>
      <c r="R22" s="18"/>
      <c r="S22" s="18"/>
    </row>
    <row r="23" spans="1:19" x14ac:dyDescent="0.25">
      <c r="A23" s="1">
        <v>17</v>
      </c>
      <c r="B23" s="1"/>
      <c r="C23" s="7" t="s">
        <v>39</v>
      </c>
      <c r="D23" s="17">
        <v>23312</v>
      </c>
      <c r="E23" s="7" t="s">
        <v>6</v>
      </c>
      <c r="F23" s="7" t="s">
        <v>33</v>
      </c>
      <c r="G23" s="7" t="s">
        <v>34</v>
      </c>
      <c r="H23" s="8" t="s">
        <v>35</v>
      </c>
      <c r="I23" s="8">
        <v>436665</v>
      </c>
      <c r="J23" s="7" t="s">
        <v>43</v>
      </c>
      <c r="K23" s="27">
        <v>8</v>
      </c>
      <c r="L23" s="27">
        <v>1</v>
      </c>
      <c r="M23" s="27">
        <v>9</v>
      </c>
      <c r="N23" s="18" t="s">
        <v>59</v>
      </c>
      <c r="O23" s="18">
        <v>44301</v>
      </c>
      <c r="P23" s="8" t="s">
        <v>60</v>
      </c>
      <c r="Q23" s="8"/>
      <c r="R23" s="18"/>
      <c r="S23" s="18"/>
    </row>
    <row r="24" spans="1:19" x14ac:dyDescent="0.25">
      <c r="A24" s="1">
        <v>18</v>
      </c>
      <c r="B24" s="1"/>
      <c r="C24" s="7" t="s">
        <v>39</v>
      </c>
      <c r="D24" s="17">
        <v>22168</v>
      </c>
      <c r="E24" s="7" t="s">
        <v>12</v>
      </c>
      <c r="F24" s="7" t="s">
        <v>61</v>
      </c>
      <c r="G24" s="7" t="s">
        <v>62</v>
      </c>
      <c r="H24" s="8" t="s">
        <v>35</v>
      </c>
      <c r="I24" s="8">
        <v>354951</v>
      </c>
      <c r="J24" s="7" t="s">
        <v>63</v>
      </c>
      <c r="K24" s="27">
        <v>24</v>
      </c>
      <c r="L24" s="27">
        <v>3</v>
      </c>
      <c r="M24" s="27">
        <v>12</v>
      </c>
      <c r="N24" s="18" t="s">
        <v>64</v>
      </c>
      <c r="O24" s="18">
        <v>44302</v>
      </c>
      <c r="P24" s="8" t="s">
        <v>60</v>
      </c>
      <c r="Q24" s="8"/>
      <c r="R24" s="18"/>
      <c r="S24" s="18"/>
    </row>
    <row r="25" spans="1:19" x14ac:dyDescent="0.25">
      <c r="A25" s="1">
        <v>19</v>
      </c>
      <c r="B25" s="1"/>
      <c r="C25" s="7" t="s">
        <v>39</v>
      </c>
      <c r="D25" s="17">
        <v>24590</v>
      </c>
      <c r="E25" s="7" t="s">
        <v>12</v>
      </c>
      <c r="F25" s="7" t="s">
        <v>61</v>
      </c>
      <c r="G25" s="7" t="s">
        <v>65</v>
      </c>
      <c r="H25" s="8" t="s">
        <v>35</v>
      </c>
      <c r="I25" s="8">
        <v>510745</v>
      </c>
      <c r="J25" s="7" t="s">
        <v>66</v>
      </c>
      <c r="K25" s="27">
        <v>24</v>
      </c>
      <c r="L25" s="27">
        <v>3</v>
      </c>
      <c r="M25" s="27">
        <v>12</v>
      </c>
      <c r="N25" s="18" t="s">
        <v>59</v>
      </c>
      <c r="O25" s="18">
        <v>44303</v>
      </c>
      <c r="P25" s="8" t="s">
        <v>60</v>
      </c>
      <c r="Q25" s="8"/>
      <c r="R25" s="18"/>
      <c r="S25" s="18"/>
    </row>
    <row r="26" spans="1:19" x14ac:dyDescent="0.25">
      <c r="A26" s="106">
        <v>20</v>
      </c>
      <c r="B26" s="106"/>
      <c r="C26" s="107" t="s">
        <v>39</v>
      </c>
      <c r="D26" s="108">
        <v>23311</v>
      </c>
      <c r="E26" s="107" t="s">
        <v>6</v>
      </c>
      <c r="F26" s="107" t="s">
        <v>33</v>
      </c>
      <c r="G26" s="107" t="s">
        <v>34</v>
      </c>
      <c r="H26" s="46" t="s">
        <v>35</v>
      </c>
      <c r="I26" s="46">
        <v>436665</v>
      </c>
      <c r="J26" s="107" t="s">
        <v>43</v>
      </c>
      <c r="K26" s="109">
        <v>8</v>
      </c>
      <c r="L26" s="109">
        <v>1</v>
      </c>
      <c r="M26" s="109">
        <v>10</v>
      </c>
      <c r="N26" s="47" t="s">
        <v>67</v>
      </c>
      <c r="O26" s="47">
        <v>44305</v>
      </c>
      <c r="P26" s="46" t="s">
        <v>60</v>
      </c>
      <c r="Q26" s="8"/>
      <c r="R26" s="18"/>
      <c r="S26" s="18"/>
    </row>
    <row r="27" spans="1:19" x14ac:dyDescent="0.25">
      <c r="A27" s="1">
        <v>21</v>
      </c>
      <c r="B27" s="1"/>
      <c r="C27" s="7" t="s">
        <v>39</v>
      </c>
      <c r="D27" s="17">
        <v>30246</v>
      </c>
      <c r="E27" s="7" t="s">
        <v>12</v>
      </c>
      <c r="F27" s="7" t="s">
        <v>61</v>
      </c>
      <c r="G27" s="7" t="s">
        <v>68</v>
      </c>
      <c r="H27" s="8" t="s">
        <v>35</v>
      </c>
      <c r="I27" s="8">
        <v>389970</v>
      </c>
      <c r="J27" s="7" t="s">
        <v>69</v>
      </c>
      <c r="K27" s="27">
        <v>24</v>
      </c>
      <c r="L27" s="27">
        <v>3</v>
      </c>
      <c r="M27" s="27">
        <v>11</v>
      </c>
      <c r="N27" s="18" t="s">
        <v>67</v>
      </c>
      <c r="O27" s="18">
        <v>44307</v>
      </c>
      <c r="P27" s="8" t="s">
        <v>60</v>
      </c>
      <c r="Q27" s="8"/>
      <c r="R27" s="18"/>
      <c r="S27" s="18"/>
    </row>
    <row r="28" spans="1:19" x14ac:dyDescent="0.25">
      <c r="A28" s="1">
        <v>22</v>
      </c>
      <c r="B28" s="1"/>
      <c r="C28" s="7" t="s">
        <v>39</v>
      </c>
      <c r="D28" s="17">
        <v>24589</v>
      </c>
      <c r="E28" s="7" t="s">
        <v>12</v>
      </c>
      <c r="F28" s="7" t="s">
        <v>61</v>
      </c>
      <c r="G28" s="7" t="s">
        <v>65</v>
      </c>
      <c r="H28" s="8" t="s">
        <v>35</v>
      </c>
      <c r="I28" s="8">
        <v>354951</v>
      </c>
      <c r="J28" s="7" t="s">
        <v>63</v>
      </c>
      <c r="K28" s="27">
        <v>24</v>
      </c>
      <c r="L28" s="27">
        <v>3</v>
      </c>
      <c r="M28" s="27">
        <v>12</v>
      </c>
      <c r="N28" s="18" t="s">
        <v>70</v>
      </c>
      <c r="O28" s="18">
        <v>44317</v>
      </c>
      <c r="P28" s="8" t="s">
        <v>60</v>
      </c>
      <c r="Q28" s="8"/>
      <c r="R28" s="18"/>
      <c r="S28" s="18"/>
    </row>
    <row r="29" spans="1:19" x14ac:dyDescent="0.25">
      <c r="A29" s="1">
        <v>23</v>
      </c>
      <c r="B29" s="1"/>
      <c r="C29" s="7" t="s">
        <v>39</v>
      </c>
      <c r="D29" s="17">
        <v>25029</v>
      </c>
      <c r="E29" s="7" t="s">
        <v>12</v>
      </c>
      <c r="F29" s="7" t="s">
        <v>61</v>
      </c>
      <c r="G29" s="7" t="s">
        <v>71</v>
      </c>
      <c r="H29" s="8" t="s">
        <v>72</v>
      </c>
      <c r="I29" s="8">
        <v>353019</v>
      </c>
      <c r="J29" s="7" t="s">
        <v>73</v>
      </c>
      <c r="K29" s="27">
        <v>16</v>
      </c>
      <c r="L29" s="27">
        <v>2</v>
      </c>
      <c r="M29" s="27">
        <v>13</v>
      </c>
      <c r="N29" s="18" t="s">
        <v>70</v>
      </c>
      <c r="O29" s="18">
        <v>44320</v>
      </c>
      <c r="P29" s="8" t="s">
        <v>60</v>
      </c>
      <c r="Q29" s="8"/>
      <c r="R29" s="18"/>
      <c r="S29" s="18"/>
    </row>
    <row r="30" spans="1:19" x14ac:dyDescent="0.25">
      <c r="A30" s="1">
        <v>24</v>
      </c>
      <c r="B30" s="1"/>
      <c r="C30" s="7" t="s">
        <v>39</v>
      </c>
      <c r="D30" s="17">
        <v>21480</v>
      </c>
      <c r="E30" s="7" t="s">
        <v>13</v>
      </c>
      <c r="F30" s="7" t="s">
        <v>74</v>
      </c>
      <c r="G30" s="7" t="s">
        <v>34</v>
      </c>
      <c r="H30" s="8" t="s">
        <v>72</v>
      </c>
      <c r="I30" s="8">
        <v>458886</v>
      </c>
      <c r="J30" s="7" t="s">
        <v>75</v>
      </c>
      <c r="K30" s="27">
        <v>8</v>
      </c>
      <c r="L30" s="27">
        <v>1</v>
      </c>
      <c r="M30" s="27">
        <v>16</v>
      </c>
      <c r="N30" s="18" t="s">
        <v>76</v>
      </c>
      <c r="O30" s="18">
        <v>44328</v>
      </c>
      <c r="P30" s="8" t="s">
        <v>77</v>
      </c>
      <c r="Q30" s="8"/>
      <c r="R30" s="18"/>
      <c r="S30" s="18"/>
    </row>
    <row r="31" spans="1:19" x14ac:dyDescent="0.25">
      <c r="A31" s="1">
        <v>25</v>
      </c>
      <c r="B31" s="1"/>
      <c r="C31" s="7" t="s">
        <v>39</v>
      </c>
      <c r="D31" s="17">
        <v>24913</v>
      </c>
      <c r="E31" s="7" t="s">
        <v>7</v>
      </c>
      <c r="F31" s="7" t="s">
        <v>78</v>
      </c>
      <c r="G31" s="7" t="s">
        <v>79</v>
      </c>
      <c r="H31" s="8" t="s">
        <v>35</v>
      </c>
      <c r="I31" s="8">
        <v>354951</v>
      </c>
      <c r="J31" s="7" t="s">
        <v>63</v>
      </c>
      <c r="K31" s="27">
        <v>16</v>
      </c>
      <c r="L31" s="27">
        <v>2</v>
      </c>
      <c r="M31" s="27">
        <v>1</v>
      </c>
      <c r="N31" s="18" t="s">
        <v>80</v>
      </c>
      <c r="O31" s="18">
        <v>44328</v>
      </c>
      <c r="P31" s="8" t="s">
        <v>77</v>
      </c>
      <c r="Q31" s="8"/>
      <c r="R31" s="18"/>
      <c r="S31" s="18"/>
    </row>
    <row r="32" spans="1:19" x14ac:dyDescent="0.25">
      <c r="A32" s="1">
        <v>26</v>
      </c>
      <c r="B32" s="1"/>
      <c r="C32" s="7" t="s">
        <v>39</v>
      </c>
      <c r="D32" s="17">
        <v>26163</v>
      </c>
      <c r="E32" s="7" t="s">
        <v>14</v>
      </c>
      <c r="F32" s="7" t="s">
        <v>81</v>
      </c>
      <c r="G32" s="7" t="s">
        <v>65</v>
      </c>
      <c r="H32" s="7" t="s">
        <v>35</v>
      </c>
      <c r="I32" s="7">
        <v>350060</v>
      </c>
      <c r="J32" s="7" t="s">
        <v>36</v>
      </c>
      <c r="K32" s="24">
        <v>24</v>
      </c>
      <c r="L32" s="24">
        <v>3</v>
      </c>
      <c r="M32" s="24">
        <v>12</v>
      </c>
      <c r="N32" s="18">
        <v>44329</v>
      </c>
      <c r="O32" s="18">
        <v>44331</v>
      </c>
      <c r="P32" s="8" t="s">
        <v>77</v>
      </c>
      <c r="Q32" s="8"/>
      <c r="R32" s="18"/>
      <c r="S32" s="18"/>
    </row>
    <row r="33" spans="1:19" x14ac:dyDescent="0.25">
      <c r="A33" s="1">
        <v>27</v>
      </c>
      <c r="B33" s="1"/>
      <c r="C33" s="7" t="s">
        <v>39</v>
      </c>
      <c r="D33" s="17">
        <v>27340</v>
      </c>
      <c r="E33" s="7" t="s">
        <v>14</v>
      </c>
      <c r="F33" s="7" t="s">
        <v>81</v>
      </c>
      <c r="G33" s="7" t="s">
        <v>40</v>
      </c>
      <c r="H33" s="7" t="s">
        <v>35</v>
      </c>
      <c r="I33" s="7">
        <v>419491</v>
      </c>
      <c r="J33" s="7" t="s">
        <v>82</v>
      </c>
      <c r="K33" s="24">
        <v>24</v>
      </c>
      <c r="L33" s="24">
        <v>3</v>
      </c>
      <c r="M33" s="24">
        <v>12</v>
      </c>
      <c r="N33" s="8" t="s">
        <v>83</v>
      </c>
      <c r="O33" s="18">
        <v>44331</v>
      </c>
      <c r="P33" s="8" t="s">
        <v>77</v>
      </c>
      <c r="Q33" s="8"/>
      <c r="R33" s="18"/>
      <c r="S33" s="18"/>
    </row>
    <row r="34" spans="1:19" x14ac:dyDescent="0.25">
      <c r="A34" s="1">
        <v>28</v>
      </c>
      <c r="B34" s="1"/>
      <c r="C34" s="7" t="s">
        <v>39</v>
      </c>
      <c r="D34" s="17">
        <v>29663</v>
      </c>
      <c r="E34" s="7" t="s">
        <v>12</v>
      </c>
      <c r="F34" s="7" t="s">
        <v>61</v>
      </c>
      <c r="G34" s="7" t="s">
        <v>84</v>
      </c>
      <c r="H34" s="8" t="s">
        <v>72</v>
      </c>
      <c r="I34" s="8">
        <v>206830</v>
      </c>
      <c r="J34" s="7" t="s">
        <v>85</v>
      </c>
      <c r="K34" s="27">
        <v>16</v>
      </c>
      <c r="L34" s="27">
        <v>2</v>
      </c>
      <c r="M34" s="27">
        <v>8</v>
      </c>
      <c r="N34" s="18" t="s">
        <v>83</v>
      </c>
      <c r="O34" s="18">
        <v>44334</v>
      </c>
      <c r="P34" s="8" t="s">
        <v>77</v>
      </c>
      <c r="Q34" s="8"/>
      <c r="R34" s="18"/>
      <c r="S34" s="18"/>
    </row>
    <row r="35" spans="1:19" x14ac:dyDescent="0.25">
      <c r="A35" s="1">
        <v>29</v>
      </c>
      <c r="B35" s="1"/>
      <c r="C35" s="7" t="s">
        <v>39</v>
      </c>
      <c r="D35" s="17">
        <v>24914</v>
      </c>
      <c r="E35" s="7" t="s">
        <v>7</v>
      </c>
      <c r="F35" s="7" t="s">
        <v>78</v>
      </c>
      <c r="G35" s="7" t="s">
        <v>79</v>
      </c>
      <c r="H35" s="8" t="s">
        <v>35</v>
      </c>
      <c r="I35" s="8">
        <v>354951</v>
      </c>
      <c r="J35" s="7" t="s">
        <v>63</v>
      </c>
      <c r="K35" s="27">
        <v>16</v>
      </c>
      <c r="L35" s="27">
        <v>2</v>
      </c>
      <c r="M35" s="27">
        <v>1</v>
      </c>
      <c r="N35" s="18" t="s">
        <v>86</v>
      </c>
      <c r="O35" s="18">
        <v>44335</v>
      </c>
      <c r="P35" s="8" t="s">
        <v>77</v>
      </c>
      <c r="Q35" s="8"/>
      <c r="R35" s="18"/>
      <c r="S35" s="18"/>
    </row>
    <row r="36" spans="1:19" x14ac:dyDescent="0.25">
      <c r="A36" s="1">
        <v>30</v>
      </c>
      <c r="B36" s="1"/>
      <c r="C36" s="7" t="s">
        <v>39</v>
      </c>
      <c r="D36" s="17">
        <v>27334</v>
      </c>
      <c r="E36" s="7" t="s">
        <v>14</v>
      </c>
      <c r="F36" s="7" t="s">
        <v>81</v>
      </c>
      <c r="G36" s="7" t="s">
        <v>40</v>
      </c>
      <c r="H36" s="7" t="s">
        <v>35</v>
      </c>
      <c r="I36" s="7">
        <v>419491</v>
      </c>
      <c r="J36" s="7" t="s">
        <v>82</v>
      </c>
      <c r="K36" s="24">
        <v>24</v>
      </c>
      <c r="L36" s="24">
        <v>3</v>
      </c>
      <c r="M36" s="24">
        <v>10</v>
      </c>
      <c r="N36" s="8" t="s">
        <v>87</v>
      </c>
      <c r="O36" s="18">
        <v>44337</v>
      </c>
      <c r="P36" s="8" t="s">
        <v>77</v>
      </c>
      <c r="Q36" s="8"/>
      <c r="R36" s="18"/>
      <c r="S36" s="18"/>
    </row>
    <row r="37" spans="1:19" x14ac:dyDescent="0.25">
      <c r="A37" s="1">
        <v>31</v>
      </c>
      <c r="B37" s="1"/>
      <c r="C37" s="7" t="s">
        <v>39</v>
      </c>
      <c r="D37" s="17">
        <v>27826</v>
      </c>
      <c r="E37" s="7" t="s">
        <v>14</v>
      </c>
      <c r="F37" s="7" t="s">
        <v>88</v>
      </c>
      <c r="G37" s="7" t="s">
        <v>89</v>
      </c>
      <c r="H37" s="7" t="s">
        <v>35</v>
      </c>
      <c r="I37" s="7">
        <v>350060</v>
      </c>
      <c r="J37" s="7" t="s">
        <v>36</v>
      </c>
      <c r="K37" s="24">
        <v>16</v>
      </c>
      <c r="L37" s="24">
        <v>2</v>
      </c>
      <c r="M37" s="24">
        <v>13</v>
      </c>
      <c r="N37" s="8" t="s">
        <v>90</v>
      </c>
      <c r="O37" s="18">
        <v>44338</v>
      </c>
      <c r="P37" s="8" t="s">
        <v>77</v>
      </c>
      <c r="Q37" s="8"/>
      <c r="R37" s="18"/>
      <c r="S37" s="18"/>
    </row>
    <row r="38" spans="1:19" x14ac:dyDescent="0.25">
      <c r="A38" s="1">
        <v>32</v>
      </c>
      <c r="B38" s="1"/>
      <c r="C38" s="7" t="s">
        <v>39</v>
      </c>
      <c r="D38" s="17">
        <v>21481</v>
      </c>
      <c r="E38" s="7" t="s">
        <v>13</v>
      </c>
      <c r="F38" s="7" t="s">
        <v>74</v>
      </c>
      <c r="G38" s="7" t="s">
        <v>34</v>
      </c>
      <c r="H38" s="8" t="s">
        <v>72</v>
      </c>
      <c r="I38" s="8">
        <v>458886</v>
      </c>
      <c r="J38" s="7" t="s">
        <v>75</v>
      </c>
      <c r="K38" s="27">
        <v>8</v>
      </c>
      <c r="L38" s="27">
        <v>1</v>
      </c>
      <c r="M38" s="27">
        <v>11</v>
      </c>
      <c r="N38" s="18" t="s">
        <v>91</v>
      </c>
      <c r="O38" s="18">
        <v>44340</v>
      </c>
      <c r="P38" s="8" t="s">
        <v>77</v>
      </c>
      <c r="Q38" s="8"/>
      <c r="R38" s="18"/>
      <c r="S38" s="18"/>
    </row>
    <row r="39" spans="1:19" x14ac:dyDescent="0.25">
      <c r="A39" s="1">
        <v>33</v>
      </c>
      <c r="B39" s="1"/>
      <c r="C39" s="7" t="s">
        <v>39</v>
      </c>
      <c r="D39" s="17">
        <v>27335</v>
      </c>
      <c r="E39" s="7" t="s">
        <v>14</v>
      </c>
      <c r="F39" s="7" t="s">
        <v>81</v>
      </c>
      <c r="G39" s="7" t="s">
        <v>40</v>
      </c>
      <c r="H39" s="7" t="s">
        <v>35</v>
      </c>
      <c r="I39" s="7">
        <v>419491</v>
      </c>
      <c r="J39" s="7" t="s">
        <v>82</v>
      </c>
      <c r="K39" s="24">
        <v>24</v>
      </c>
      <c r="L39" s="24">
        <v>3</v>
      </c>
      <c r="M39" s="24">
        <v>10</v>
      </c>
      <c r="N39" s="8" t="s">
        <v>92</v>
      </c>
      <c r="O39" s="18">
        <v>44340</v>
      </c>
      <c r="P39" s="8" t="s">
        <v>77</v>
      </c>
      <c r="Q39" s="8"/>
      <c r="R39" s="18"/>
      <c r="S39" s="18"/>
    </row>
    <row r="40" spans="1:19" x14ac:dyDescent="0.25">
      <c r="A40" s="1">
        <v>34</v>
      </c>
      <c r="B40" s="1"/>
      <c r="C40" s="7" t="s">
        <v>39</v>
      </c>
      <c r="D40" s="17">
        <v>24750</v>
      </c>
      <c r="E40" s="7" t="s">
        <v>7</v>
      </c>
      <c r="F40" s="7" t="s">
        <v>78</v>
      </c>
      <c r="G40" s="7" t="s">
        <v>40</v>
      </c>
      <c r="H40" s="8" t="s">
        <v>35</v>
      </c>
      <c r="I40" s="8">
        <v>354951</v>
      </c>
      <c r="J40" s="7" t="s">
        <v>63</v>
      </c>
      <c r="K40" s="27">
        <v>24</v>
      </c>
      <c r="L40" s="27">
        <v>3</v>
      </c>
      <c r="M40" s="27">
        <v>5</v>
      </c>
      <c r="N40" s="18" t="s">
        <v>93</v>
      </c>
      <c r="O40" s="18">
        <v>44344</v>
      </c>
      <c r="P40" s="8" t="s">
        <v>77</v>
      </c>
      <c r="Q40" s="8"/>
      <c r="R40" s="18"/>
      <c r="S40" s="18"/>
    </row>
    <row r="41" spans="1:19" x14ac:dyDescent="0.25">
      <c r="A41" s="1">
        <v>35</v>
      </c>
      <c r="B41" s="1"/>
      <c r="C41" s="7" t="s">
        <v>39</v>
      </c>
      <c r="D41" s="17">
        <v>28027</v>
      </c>
      <c r="E41" s="7" t="s">
        <v>14</v>
      </c>
      <c r="F41" s="7" t="s">
        <v>88</v>
      </c>
      <c r="G41" s="7" t="s">
        <v>94</v>
      </c>
      <c r="H41" s="7" t="s">
        <v>35</v>
      </c>
      <c r="I41" s="7" t="s">
        <v>95</v>
      </c>
      <c r="J41" s="7" t="s">
        <v>96</v>
      </c>
      <c r="K41" s="24">
        <v>16</v>
      </c>
      <c r="L41" s="24">
        <v>2</v>
      </c>
      <c r="M41" s="24">
        <v>8</v>
      </c>
      <c r="N41" s="8" t="s">
        <v>97</v>
      </c>
      <c r="O41" s="18">
        <v>44344</v>
      </c>
      <c r="P41" s="8" t="s">
        <v>77</v>
      </c>
      <c r="Q41" s="8"/>
      <c r="R41" s="18"/>
      <c r="S41" s="18"/>
    </row>
    <row r="42" spans="1:19" x14ac:dyDescent="0.25">
      <c r="A42" s="1">
        <v>36</v>
      </c>
      <c r="B42" s="1"/>
      <c r="C42" s="7" t="s">
        <v>39</v>
      </c>
      <c r="D42" s="17">
        <v>27352</v>
      </c>
      <c r="E42" s="7" t="s">
        <v>14</v>
      </c>
      <c r="F42" s="7" t="s">
        <v>81</v>
      </c>
      <c r="G42" s="7" t="s">
        <v>40</v>
      </c>
      <c r="H42" s="7" t="s">
        <v>35</v>
      </c>
      <c r="I42" s="7">
        <v>489671</v>
      </c>
      <c r="J42" s="7" t="s">
        <v>98</v>
      </c>
      <c r="K42" s="24">
        <v>24</v>
      </c>
      <c r="L42" s="24">
        <v>3</v>
      </c>
      <c r="M42" s="24">
        <v>12</v>
      </c>
      <c r="N42" s="8" t="s">
        <v>97</v>
      </c>
      <c r="O42" s="18">
        <v>44345</v>
      </c>
      <c r="P42" s="8" t="s">
        <v>77</v>
      </c>
      <c r="Q42" s="8"/>
      <c r="R42" s="18"/>
      <c r="S42" s="18"/>
    </row>
    <row r="43" spans="1:19" x14ac:dyDescent="0.25">
      <c r="A43" s="1">
        <v>37</v>
      </c>
      <c r="B43" s="1"/>
      <c r="C43" s="7" t="s">
        <v>39</v>
      </c>
      <c r="D43" s="17">
        <v>21482</v>
      </c>
      <c r="E43" s="7" t="s">
        <v>13</v>
      </c>
      <c r="F43" s="7" t="s">
        <v>74</v>
      </c>
      <c r="G43" s="7" t="s">
        <v>34</v>
      </c>
      <c r="H43" s="8" t="s">
        <v>72</v>
      </c>
      <c r="I43" s="8">
        <v>458886</v>
      </c>
      <c r="J43" s="7" t="s">
        <v>75</v>
      </c>
      <c r="K43" s="27">
        <v>8</v>
      </c>
      <c r="L43" s="27">
        <v>1</v>
      </c>
      <c r="M43" s="27">
        <v>20</v>
      </c>
      <c r="N43" s="18" t="s">
        <v>99</v>
      </c>
      <c r="O43" s="18">
        <v>44348</v>
      </c>
      <c r="P43" s="8" t="s">
        <v>100</v>
      </c>
      <c r="Q43" s="8"/>
      <c r="R43" s="18"/>
      <c r="S43" s="18"/>
    </row>
    <row r="44" spans="1:19" x14ac:dyDescent="0.25">
      <c r="A44" s="1">
        <v>38</v>
      </c>
      <c r="B44" s="1"/>
      <c r="C44" s="7" t="s">
        <v>39</v>
      </c>
      <c r="D44" s="17">
        <v>21446</v>
      </c>
      <c r="E44" s="7" t="s">
        <v>13</v>
      </c>
      <c r="F44" s="7" t="s">
        <v>74</v>
      </c>
      <c r="G44" s="7" t="s">
        <v>89</v>
      </c>
      <c r="H44" s="8" t="s">
        <v>35</v>
      </c>
      <c r="I44" s="8">
        <v>354951</v>
      </c>
      <c r="J44" s="7" t="s">
        <v>63</v>
      </c>
      <c r="K44" s="27">
        <v>16</v>
      </c>
      <c r="L44" s="27">
        <v>2</v>
      </c>
      <c r="M44" s="27">
        <v>10</v>
      </c>
      <c r="N44" s="18" t="s">
        <v>101</v>
      </c>
      <c r="O44" s="18">
        <v>44350</v>
      </c>
      <c r="P44" s="8" t="s">
        <v>100</v>
      </c>
      <c r="Q44" s="8"/>
      <c r="R44" s="18"/>
      <c r="S44" s="18"/>
    </row>
    <row r="45" spans="1:19" x14ac:dyDescent="0.25">
      <c r="A45" s="1">
        <v>39</v>
      </c>
      <c r="B45" s="1"/>
      <c r="C45" s="7" t="s">
        <v>39</v>
      </c>
      <c r="D45" s="17">
        <v>21447</v>
      </c>
      <c r="E45" s="7" t="s">
        <v>13</v>
      </c>
      <c r="F45" s="7" t="s">
        <v>74</v>
      </c>
      <c r="G45" s="7" t="s">
        <v>89</v>
      </c>
      <c r="H45" s="8" t="s">
        <v>72</v>
      </c>
      <c r="I45" s="8">
        <v>354951</v>
      </c>
      <c r="J45" s="7" t="s">
        <v>63</v>
      </c>
      <c r="K45" s="27">
        <v>16</v>
      </c>
      <c r="L45" s="27">
        <v>2</v>
      </c>
      <c r="M45" s="27">
        <v>22</v>
      </c>
      <c r="N45" s="18" t="s">
        <v>102</v>
      </c>
      <c r="O45" s="18">
        <v>44356</v>
      </c>
      <c r="P45" s="8" t="s">
        <v>100</v>
      </c>
      <c r="Q45" s="8"/>
      <c r="R45" s="18"/>
      <c r="S45" s="18"/>
    </row>
    <row r="46" spans="1:19" x14ac:dyDescent="0.25">
      <c r="A46" s="1">
        <v>40</v>
      </c>
      <c r="B46" s="1"/>
      <c r="C46" s="7" t="s">
        <v>39</v>
      </c>
      <c r="D46" s="17">
        <v>28026</v>
      </c>
      <c r="E46" s="7" t="s">
        <v>14</v>
      </c>
      <c r="F46" s="7" t="s">
        <v>88</v>
      </c>
      <c r="G46" s="7" t="s">
        <v>94</v>
      </c>
      <c r="H46" s="7" t="s">
        <v>35</v>
      </c>
      <c r="I46" s="7" t="s">
        <v>95</v>
      </c>
      <c r="J46" s="7" t="s">
        <v>96</v>
      </c>
      <c r="K46" s="24">
        <v>16</v>
      </c>
      <c r="L46" s="24">
        <v>2</v>
      </c>
      <c r="M46" s="24">
        <v>7</v>
      </c>
      <c r="N46" s="8" t="s">
        <v>102</v>
      </c>
      <c r="O46" s="18">
        <v>44356</v>
      </c>
      <c r="P46" s="8" t="s">
        <v>100</v>
      </c>
      <c r="Q46" s="8"/>
      <c r="R46" s="18"/>
      <c r="S46" s="18"/>
    </row>
    <row r="47" spans="1:19" x14ac:dyDescent="0.25">
      <c r="A47" s="1">
        <v>41</v>
      </c>
      <c r="B47" s="1"/>
      <c r="C47" s="7" t="s">
        <v>39</v>
      </c>
      <c r="D47" s="17">
        <v>22169</v>
      </c>
      <c r="E47" s="7" t="s">
        <v>12</v>
      </c>
      <c r="F47" s="7" t="s">
        <v>61</v>
      </c>
      <c r="G47" s="7" t="s">
        <v>62</v>
      </c>
      <c r="H47" s="8" t="s">
        <v>35</v>
      </c>
      <c r="I47" s="8">
        <v>389970</v>
      </c>
      <c r="J47" s="7" t="s">
        <v>69</v>
      </c>
      <c r="K47" s="27">
        <v>24</v>
      </c>
      <c r="L47" s="27">
        <v>3</v>
      </c>
      <c r="M47" s="27">
        <v>12</v>
      </c>
      <c r="N47" s="18" t="s">
        <v>103</v>
      </c>
      <c r="O47" s="18">
        <v>44358</v>
      </c>
      <c r="P47" s="8" t="s">
        <v>100</v>
      </c>
      <c r="Q47" s="8"/>
      <c r="R47" s="18"/>
      <c r="S47" s="18"/>
    </row>
    <row r="48" spans="1:19" x14ac:dyDescent="0.25">
      <c r="A48" s="1">
        <v>42</v>
      </c>
      <c r="B48" s="1"/>
      <c r="C48" s="7" t="s">
        <v>39</v>
      </c>
      <c r="D48" s="17">
        <v>24591</v>
      </c>
      <c r="E48" s="7" t="s">
        <v>12</v>
      </c>
      <c r="F48" s="7" t="s">
        <v>61</v>
      </c>
      <c r="G48" s="7" t="s">
        <v>65</v>
      </c>
      <c r="H48" s="8" t="s">
        <v>35</v>
      </c>
      <c r="I48" s="8">
        <v>354951</v>
      </c>
      <c r="J48" s="7" t="s">
        <v>63</v>
      </c>
      <c r="K48" s="27">
        <v>24</v>
      </c>
      <c r="L48" s="27">
        <v>3</v>
      </c>
      <c r="M48" s="27">
        <v>12</v>
      </c>
      <c r="N48" s="18" t="s">
        <v>104</v>
      </c>
      <c r="O48" s="18">
        <v>44359</v>
      </c>
      <c r="P48" s="8" t="s">
        <v>100</v>
      </c>
      <c r="Q48" s="8"/>
      <c r="R48" s="18"/>
      <c r="S48" s="18"/>
    </row>
    <row r="49" spans="1:19" x14ac:dyDescent="0.25">
      <c r="A49" s="1">
        <v>43</v>
      </c>
      <c r="B49" s="1"/>
      <c r="C49" s="7" t="s">
        <v>39</v>
      </c>
      <c r="D49" s="17">
        <v>29681</v>
      </c>
      <c r="E49" s="7" t="s">
        <v>12</v>
      </c>
      <c r="F49" s="7" t="s">
        <v>61</v>
      </c>
      <c r="G49" s="7" t="s">
        <v>105</v>
      </c>
      <c r="H49" s="8" t="s">
        <v>72</v>
      </c>
      <c r="I49" s="8">
        <v>350060</v>
      </c>
      <c r="J49" s="7" t="s">
        <v>36</v>
      </c>
      <c r="K49" s="27">
        <v>16</v>
      </c>
      <c r="L49" s="27">
        <v>2</v>
      </c>
      <c r="M49" s="27">
        <v>14</v>
      </c>
      <c r="N49" s="18" t="s">
        <v>104</v>
      </c>
      <c r="O49" s="18">
        <v>44363</v>
      </c>
      <c r="P49" s="8" t="s">
        <v>100</v>
      </c>
      <c r="Q49" s="8"/>
      <c r="R49" s="18"/>
      <c r="S49" s="18"/>
    </row>
    <row r="50" spans="1:19" x14ac:dyDescent="0.25">
      <c r="A50" s="1">
        <v>44</v>
      </c>
      <c r="B50" s="1"/>
      <c r="C50" s="7" t="s">
        <v>39</v>
      </c>
      <c r="D50" s="17">
        <v>24916</v>
      </c>
      <c r="E50" s="7" t="s">
        <v>7</v>
      </c>
      <c r="F50" s="7" t="s">
        <v>78</v>
      </c>
      <c r="G50" s="7" t="s">
        <v>79</v>
      </c>
      <c r="H50" s="8" t="s">
        <v>35</v>
      </c>
      <c r="I50" s="8">
        <v>354951</v>
      </c>
      <c r="J50" s="7" t="s">
        <v>63</v>
      </c>
      <c r="K50" s="27">
        <v>16</v>
      </c>
      <c r="L50" s="27">
        <v>2</v>
      </c>
      <c r="M50" s="27">
        <v>7</v>
      </c>
      <c r="N50" s="18" t="s">
        <v>106</v>
      </c>
      <c r="O50" s="18">
        <v>44365</v>
      </c>
      <c r="P50" s="8" t="s">
        <v>100</v>
      </c>
      <c r="Q50" s="8"/>
      <c r="R50" s="18"/>
      <c r="S50" s="18"/>
    </row>
    <row r="51" spans="1:19" x14ac:dyDescent="0.25">
      <c r="A51" s="1">
        <v>45</v>
      </c>
      <c r="B51" s="1"/>
      <c r="C51" s="7" t="s">
        <v>39</v>
      </c>
      <c r="D51" s="17">
        <v>27336</v>
      </c>
      <c r="E51" s="7" t="s">
        <v>14</v>
      </c>
      <c r="F51" s="7" t="s">
        <v>81</v>
      </c>
      <c r="G51" s="7" t="s">
        <v>40</v>
      </c>
      <c r="H51" s="7" t="s">
        <v>35</v>
      </c>
      <c r="I51" s="7">
        <v>419491</v>
      </c>
      <c r="J51" s="7" t="s">
        <v>82</v>
      </c>
      <c r="K51" s="24">
        <v>24</v>
      </c>
      <c r="L51" s="24">
        <v>3</v>
      </c>
      <c r="M51" s="24">
        <v>7</v>
      </c>
      <c r="N51" s="8" t="s">
        <v>107</v>
      </c>
      <c r="O51" s="18">
        <v>44365</v>
      </c>
      <c r="P51" s="8" t="s">
        <v>100</v>
      </c>
      <c r="Q51" s="8"/>
      <c r="R51" s="18"/>
      <c r="S51" s="18"/>
    </row>
    <row r="52" spans="1:19" x14ac:dyDescent="0.25">
      <c r="A52" s="1">
        <v>46</v>
      </c>
      <c r="B52" s="1"/>
      <c r="C52" s="7" t="s">
        <v>39</v>
      </c>
      <c r="D52" s="17">
        <v>21483</v>
      </c>
      <c r="E52" s="7" t="s">
        <v>13</v>
      </c>
      <c r="F52" s="7" t="s">
        <v>74</v>
      </c>
      <c r="G52" s="7" t="s">
        <v>34</v>
      </c>
      <c r="H52" s="8" t="s">
        <v>72</v>
      </c>
      <c r="I52" s="8">
        <v>458886</v>
      </c>
      <c r="J52" s="7" t="s">
        <v>75</v>
      </c>
      <c r="K52" s="27">
        <v>8</v>
      </c>
      <c r="L52" s="27">
        <v>1</v>
      </c>
      <c r="M52" s="27">
        <v>13</v>
      </c>
      <c r="N52" s="18" t="s">
        <v>108</v>
      </c>
      <c r="O52" s="18">
        <v>44368</v>
      </c>
      <c r="P52" s="8" t="s">
        <v>100</v>
      </c>
      <c r="Q52" s="8"/>
      <c r="R52" s="18"/>
      <c r="S52" s="18"/>
    </row>
    <row r="53" spans="1:19" x14ac:dyDescent="0.25">
      <c r="A53" s="1">
        <v>47</v>
      </c>
      <c r="B53" s="1"/>
      <c r="C53" s="7" t="s">
        <v>39</v>
      </c>
      <c r="D53" s="17">
        <v>27337</v>
      </c>
      <c r="E53" s="7" t="s">
        <v>14</v>
      </c>
      <c r="F53" s="7" t="s">
        <v>81</v>
      </c>
      <c r="G53" s="7" t="s">
        <v>40</v>
      </c>
      <c r="H53" s="7" t="s">
        <v>35</v>
      </c>
      <c r="I53" s="7">
        <v>419491</v>
      </c>
      <c r="J53" s="7" t="s">
        <v>82</v>
      </c>
      <c r="K53" s="24">
        <v>24</v>
      </c>
      <c r="L53" s="24">
        <v>3</v>
      </c>
      <c r="M53" s="24">
        <v>7</v>
      </c>
      <c r="N53" s="8" t="s">
        <v>109</v>
      </c>
      <c r="O53" s="8" t="s">
        <v>108</v>
      </c>
      <c r="P53" s="8" t="s">
        <v>100</v>
      </c>
      <c r="Q53" s="8"/>
      <c r="R53" s="18"/>
      <c r="S53" s="18"/>
    </row>
    <row r="54" spans="1:19" x14ac:dyDescent="0.25">
      <c r="A54" s="1">
        <v>48</v>
      </c>
      <c r="B54" s="1"/>
      <c r="C54" s="7" t="s">
        <v>39</v>
      </c>
      <c r="D54" s="17">
        <v>24592</v>
      </c>
      <c r="E54" s="7" t="s">
        <v>12</v>
      </c>
      <c r="F54" s="7" t="s">
        <v>61</v>
      </c>
      <c r="G54" s="7" t="s">
        <v>65</v>
      </c>
      <c r="H54" s="8" t="s">
        <v>35</v>
      </c>
      <c r="I54" s="8">
        <v>354951</v>
      </c>
      <c r="J54" s="7" t="s">
        <v>63</v>
      </c>
      <c r="K54" s="27">
        <v>24</v>
      </c>
      <c r="L54" s="27">
        <v>3</v>
      </c>
      <c r="M54" s="27">
        <v>12</v>
      </c>
      <c r="N54" s="18" t="s">
        <v>110</v>
      </c>
      <c r="O54" s="18" t="s">
        <v>111</v>
      </c>
      <c r="P54" s="8" t="s">
        <v>100</v>
      </c>
      <c r="Q54" s="8"/>
      <c r="R54" s="18"/>
      <c r="S54" s="18"/>
    </row>
    <row r="55" spans="1:19" x14ac:dyDescent="0.25">
      <c r="A55" s="1">
        <v>49</v>
      </c>
      <c r="B55" s="1"/>
      <c r="C55" s="7" t="s">
        <v>39</v>
      </c>
      <c r="D55" s="17">
        <v>25933</v>
      </c>
      <c r="E55" s="7" t="s">
        <v>14</v>
      </c>
      <c r="F55" s="7" t="s">
        <v>81</v>
      </c>
      <c r="G55" s="7" t="s">
        <v>68</v>
      </c>
      <c r="H55" s="7" t="s">
        <v>35</v>
      </c>
      <c r="I55" s="7">
        <v>489671</v>
      </c>
      <c r="J55" s="7" t="s">
        <v>98</v>
      </c>
      <c r="K55" s="24">
        <v>24</v>
      </c>
      <c r="L55" s="24">
        <v>3</v>
      </c>
      <c r="M55" s="24">
        <v>5</v>
      </c>
      <c r="N55" s="8" t="s">
        <v>110</v>
      </c>
      <c r="O55" s="8" t="s">
        <v>111</v>
      </c>
      <c r="P55" s="8" t="s">
        <v>100</v>
      </c>
      <c r="Q55" s="8"/>
      <c r="R55" s="18"/>
      <c r="S55" s="18"/>
    </row>
    <row r="56" spans="1:19" x14ac:dyDescent="0.25">
      <c r="A56" s="1">
        <v>50</v>
      </c>
      <c r="B56" s="1"/>
      <c r="C56" s="7" t="s">
        <v>39</v>
      </c>
      <c r="D56" s="17">
        <v>26157</v>
      </c>
      <c r="E56" s="7" t="s">
        <v>14</v>
      </c>
      <c r="F56" s="7" t="s">
        <v>81</v>
      </c>
      <c r="G56" s="7" t="s">
        <v>65</v>
      </c>
      <c r="H56" s="7" t="s">
        <v>35</v>
      </c>
      <c r="I56" s="7">
        <v>411339</v>
      </c>
      <c r="J56" s="7" t="s">
        <v>112</v>
      </c>
      <c r="K56" s="24">
        <v>24</v>
      </c>
      <c r="L56" s="24">
        <v>3</v>
      </c>
      <c r="M56" s="24">
        <v>12</v>
      </c>
      <c r="N56" s="8" t="s">
        <v>113</v>
      </c>
      <c r="O56" s="8" t="s">
        <v>114</v>
      </c>
      <c r="P56" s="8" t="s">
        <v>100</v>
      </c>
      <c r="Q56" s="8"/>
      <c r="R56" s="18"/>
      <c r="S56" s="18"/>
    </row>
    <row r="57" spans="1:19" x14ac:dyDescent="0.25">
      <c r="A57" s="1">
        <v>51</v>
      </c>
      <c r="B57" s="1"/>
      <c r="C57" s="7" t="s">
        <v>39</v>
      </c>
      <c r="D57" s="17">
        <v>21432</v>
      </c>
      <c r="E57" s="7" t="s">
        <v>13</v>
      </c>
      <c r="F57" s="7" t="s">
        <v>74</v>
      </c>
      <c r="G57" s="7" t="s">
        <v>79</v>
      </c>
      <c r="H57" s="8" t="s">
        <v>35</v>
      </c>
      <c r="I57" s="8">
        <v>389970</v>
      </c>
      <c r="J57" s="7" t="s">
        <v>69</v>
      </c>
      <c r="K57" s="27">
        <v>16</v>
      </c>
      <c r="L57" s="27">
        <v>2</v>
      </c>
      <c r="M57" s="27">
        <v>19</v>
      </c>
      <c r="N57" s="18" t="s">
        <v>115</v>
      </c>
      <c r="O57" s="18" t="s">
        <v>116</v>
      </c>
      <c r="P57" s="8" t="s">
        <v>100</v>
      </c>
      <c r="Q57" s="8"/>
      <c r="R57" s="18"/>
      <c r="S57" s="18"/>
    </row>
    <row r="58" spans="1:19" x14ac:dyDescent="0.25">
      <c r="A58" s="1">
        <v>52</v>
      </c>
      <c r="B58" s="1"/>
      <c r="C58" s="7" t="s">
        <v>39</v>
      </c>
      <c r="D58" s="17">
        <v>24918</v>
      </c>
      <c r="E58" s="7" t="s">
        <v>7</v>
      </c>
      <c r="F58" s="7" t="s">
        <v>78</v>
      </c>
      <c r="G58" s="7" t="s">
        <v>79</v>
      </c>
      <c r="H58" s="8" t="s">
        <v>35</v>
      </c>
      <c r="I58" s="8">
        <v>354951</v>
      </c>
      <c r="J58" s="7" t="s">
        <v>63</v>
      </c>
      <c r="K58" s="27">
        <v>16</v>
      </c>
      <c r="L58" s="27">
        <v>2</v>
      </c>
      <c r="M58" s="27">
        <v>5</v>
      </c>
      <c r="N58" s="18" t="s">
        <v>117</v>
      </c>
      <c r="O58" s="18" t="s">
        <v>118</v>
      </c>
      <c r="P58" s="8" t="s">
        <v>119</v>
      </c>
      <c r="Q58" s="8"/>
      <c r="R58" s="18"/>
      <c r="S58" s="18"/>
    </row>
    <row r="59" spans="1:19" x14ac:dyDescent="0.25">
      <c r="A59" s="1">
        <v>53</v>
      </c>
      <c r="B59" s="1"/>
      <c r="C59" s="7" t="s">
        <v>39</v>
      </c>
      <c r="D59" s="17">
        <v>24923</v>
      </c>
      <c r="E59" s="7" t="s">
        <v>7</v>
      </c>
      <c r="F59" s="7" t="s">
        <v>78</v>
      </c>
      <c r="G59" s="7" t="s">
        <v>79</v>
      </c>
      <c r="H59" s="8" t="s">
        <v>35</v>
      </c>
      <c r="I59" s="8">
        <v>354951</v>
      </c>
      <c r="J59" s="7" t="s">
        <v>63</v>
      </c>
      <c r="K59" s="27">
        <v>16</v>
      </c>
      <c r="L59" s="27">
        <v>2</v>
      </c>
      <c r="M59" s="27">
        <v>1</v>
      </c>
      <c r="N59" s="18" t="s">
        <v>120</v>
      </c>
      <c r="O59" s="18" t="s">
        <v>121</v>
      </c>
      <c r="P59" s="8" t="s">
        <v>119</v>
      </c>
      <c r="Q59" s="8"/>
      <c r="R59" s="18"/>
      <c r="S59" s="18"/>
    </row>
    <row r="60" spans="1:19" x14ac:dyDescent="0.25">
      <c r="A60" s="1">
        <v>54</v>
      </c>
      <c r="B60" s="1"/>
      <c r="C60" s="7" t="s">
        <v>39</v>
      </c>
      <c r="D60" s="17">
        <v>27342</v>
      </c>
      <c r="E60" s="7" t="s">
        <v>14</v>
      </c>
      <c r="F60" s="7" t="s">
        <v>81</v>
      </c>
      <c r="G60" s="7" t="s">
        <v>40</v>
      </c>
      <c r="H60" s="7" t="s">
        <v>35</v>
      </c>
      <c r="I60" s="7">
        <v>316048</v>
      </c>
      <c r="J60" s="7" t="s">
        <v>122</v>
      </c>
      <c r="K60" s="24">
        <v>24</v>
      </c>
      <c r="L60" s="24">
        <v>3</v>
      </c>
      <c r="M60" s="24">
        <v>12</v>
      </c>
      <c r="N60" s="8" t="s">
        <v>123</v>
      </c>
      <c r="O60" s="8" t="s">
        <v>121</v>
      </c>
      <c r="P60" s="8" t="s">
        <v>119</v>
      </c>
      <c r="Q60" s="8"/>
      <c r="R60" s="18"/>
      <c r="S60" s="18"/>
    </row>
    <row r="61" spans="1:19" x14ac:dyDescent="0.25">
      <c r="A61" s="1">
        <v>55</v>
      </c>
      <c r="B61" s="1"/>
      <c r="C61" s="7" t="s">
        <v>39</v>
      </c>
      <c r="D61" s="17">
        <v>24070</v>
      </c>
      <c r="E61" s="7" t="s">
        <v>6</v>
      </c>
      <c r="F61" s="7" t="s">
        <v>33</v>
      </c>
      <c r="G61" s="7" t="s">
        <v>65</v>
      </c>
      <c r="H61" s="8" t="s">
        <v>35</v>
      </c>
      <c r="I61" s="8">
        <v>350060</v>
      </c>
      <c r="J61" s="7" t="s">
        <v>36</v>
      </c>
      <c r="K61" s="27">
        <v>24</v>
      </c>
      <c r="L61" s="27">
        <v>3</v>
      </c>
      <c r="M61" s="27">
        <v>9</v>
      </c>
      <c r="N61" s="18" t="s">
        <v>120</v>
      </c>
      <c r="O61" s="18" t="s">
        <v>124</v>
      </c>
      <c r="P61" s="8" t="s">
        <v>119</v>
      </c>
      <c r="Q61" s="8"/>
      <c r="R61" s="18"/>
      <c r="S61" s="18"/>
    </row>
    <row r="62" spans="1:19" x14ac:dyDescent="0.25">
      <c r="A62" s="1">
        <v>56</v>
      </c>
      <c r="B62" s="1"/>
      <c r="C62" s="7" t="s">
        <v>39</v>
      </c>
      <c r="D62" s="17">
        <v>26158</v>
      </c>
      <c r="E62" s="7" t="s">
        <v>14</v>
      </c>
      <c r="F62" s="7" t="s">
        <v>81</v>
      </c>
      <c r="G62" s="7" t="s">
        <v>65</v>
      </c>
      <c r="H62" s="7" t="s">
        <v>35</v>
      </c>
      <c r="I62" s="7">
        <v>329117</v>
      </c>
      <c r="J62" s="7" t="s">
        <v>125</v>
      </c>
      <c r="K62" s="24">
        <v>24</v>
      </c>
      <c r="L62" s="24">
        <v>3</v>
      </c>
      <c r="M62" s="24">
        <v>12</v>
      </c>
      <c r="N62" s="8" t="s">
        <v>120</v>
      </c>
      <c r="O62" s="8" t="s">
        <v>124</v>
      </c>
      <c r="P62" s="8" t="s">
        <v>119</v>
      </c>
      <c r="Q62" s="8"/>
      <c r="R62" s="18"/>
      <c r="S62" s="18"/>
    </row>
    <row r="63" spans="1:19" x14ac:dyDescent="0.25">
      <c r="A63" s="1">
        <v>57</v>
      </c>
      <c r="B63" s="1"/>
      <c r="C63" s="7" t="s">
        <v>39</v>
      </c>
      <c r="D63" s="17">
        <v>21484</v>
      </c>
      <c r="E63" s="7" t="s">
        <v>13</v>
      </c>
      <c r="F63" s="7" t="s">
        <v>74</v>
      </c>
      <c r="G63" s="7" t="s">
        <v>34</v>
      </c>
      <c r="H63" s="8" t="s">
        <v>72</v>
      </c>
      <c r="I63" s="8">
        <v>458886</v>
      </c>
      <c r="J63" s="7" t="s">
        <v>75</v>
      </c>
      <c r="K63" s="27">
        <v>8</v>
      </c>
      <c r="L63" s="27">
        <v>1</v>
      </c>
      <c r="M63" s="27">
        <v>15</v>
      </c>
      <c r="N63" s="18" t="s">
        <v>126</v>
      </c>
      <c r="O63" s="18" t="s">
        <v>126</v>
      </c>
      <c r="P63" s="8" t="s">
        <v>119</v>
      </c>
      <c r="Q63" s="8"/>
      <c r="R63" s="18"/>
      <c r="S63" s="18"/>
    </row>
    <row r="64" spans="1:19" x14ac:dyDescent="0.25">
      <c r="A64" s="1">
        <v>58</v>
      </c>
      <c r="B64" s="1"/>
      <c r="C64" s="7" t="s">
        <v>39</v>
      </c>
      <c r="D64" s="17">
        <v>27343</v>
      </c>
      <c r="E64" s="7" t="s">
        <v>14</v>
      </c>
      <c r="F64" s="7" t="s">
        <v>81</v>
      </c>
      <c r="G64" s="7" t="s">
        <v>40</v>
      </c>
      <c r="H64" s="7" t="s">
        <v>35</v>
      </c>
      <c r="I64" s="7">
        <v>316048</v>
      </c>
      <c r="J64" s="7" t="s">
        <v>122</v>
      </c>
      <c r="K64" s="24">
        <v>24</v>
      </c>
      <c r="L64" s="24">
        <v>3</v>
      </c>
      <c r="M64" s="24">
        <v>12</v>
      </c>
      <c r="N64" s="8" t="s">
        <v>124</v>
      </c>
      <c r="O64" s="8" t="s">
        <v>126</v>
      </c>
      <c r="P64" s="8" t="s">
        <v>119</v>
      </c>
      <c r="Q64" s="8"/>
      <c r="R64" s="18"/>
      <c r="S64" s="18"/>
    </row>
    <row r="65" spans="1:19" x14ac:dyDescent="0.25">
      <c r="A65" s="1">
        <v>59</v>
      </c>
      <c r="B65" s="1"/>
      <c r="C65" s="7" t="s">
        <v>39</v>
      </c>
      <c r="D65" s="17">
        <v>30264</v>
      </c>
      <c r="E65" s="7" t="s">
        <v>12</v>
      </c>
      <c r="F65" s="7" t="s">
        <v>61</v>
      </c>
      <c r="G65" s="7" t="s">
        <v>127</v>
      </c>
      <c r="H65" s="8" t="s">
        <v>72</v>
      </c>
      <c r="I65" s="8">
        <v>458886</v>
      </c>
      <c r="J65" s="7" t="s">
        <v>75</v>
      </c>
      <c r="K65" s="27">
        <v>16</v>
      </c>
      <c r="L65" s="27">
        <v>2</v>
      </c>
      <c r="M65" s="27">
        <v>10</v>
      </c>
      <c r="N65" s="18" t="s">
        <v>120</v>
      </c>
      <c r="O65" s="18" t="s">
        <v>128</v>
      </c>
      <c r="P65" s="8" t="s">
        <v>119</v>
      </c>
      <c r="Q65" s="8"/>
      <c r="R65" s="18"/>
      <c r="S65" s="18"/>
    </row>
    <row r="66" spans="1:19" x14ac:dyDescent="0.25">
      <c r="A66" s="1">
        <v>60</v>
      </c>
      <c r="B66" s="1"/>
      <c r="C66" s="7" t="s">
        <v>39</v>
      </c>
      <c r="D66" s="17">
        <v>27344</v>
      </c>
      <c r="E66" s="7" t="s">
        <v>14</v>
      </c>
      <c r="F66" s="7" t="s">
        <v>81</v>
      </c>
      <c r="G66" s="7" t="s">
        <v>40</v>
      </c>
      <c r="H66" s="7" t="s">
        <v>35</v>
      </c>
      <c r="I66" s="7">
        <v>419491</v>
      </c>
      <c r="J66" s="7" t="s">
        <v>82</v>
      </c>
      <c r="K66" s="24">
        <v>24</v>
      </c>
      <c r="L66" s="24">
        <v>3</v>
      </c>
      <c r="M66" s="24">
        <v>12</v>
      </c>
      <c r="N66" s="8" t="s">
        <v>128</v>
      </c>
      <c r="O66" s="8" t="s">
        <v>129</v>
      </c>
      <c r="P66" s="8" t="s">
        <v>119</v>
      </c>
      <c r="Q66" s="8"/>
      <c r="R66" s="18"/>
      <c r="S66" s="18"/>
    </row>
    <row r="67" spans="1:19" x14ac:dyDescent="0.25">
      <c r="A67" s="1">
        <v>61</v>
      </c>
      <c r="B67" s="1"/>
      <c r="C67" s="7" t="s">
        <v>39</v>
      </c>
      <c r="D67" s="17">
        <v>24919</v>
      </c>
      <c r="E67" s="7" t="s">
        <v>7</v>
      </c>
      <c r="F67" s="7" t="s">
        <v>78</v>
      </c>
      <c r="G67" s="7" t="s">
        <v>79</v>
      </c>
      <c r="H67" s="8" t="s">
        <v>35</v>
      </c>
      <c r="I67" s="8">
        <v>354951</v>
      </c>
      <c r="J67" s="7" t="s">
        <v>63</v>
      </c>
      <c r="K67" s="27">
        <v>16</v>
      </c>
      <c r="L67" s="27">
        <v>2</v>
      </c>
      <c r="M67" s="27">
        <v>5</v>
      </c>
      <c r="N67" s="18" t="s">
        <v>129</v>
      </c>
      <c r="O67" s="18" t="s">
        <v>130</v>
      </c>
      <c r="P67" s="8" t="s">
        <v>119</v>
      </c>
      <c r="Q67" s="8"/>
      <c r="R67" s="18"/>
      <c r="S67" s="18"/>
    </row>
    <row r="68" spans="1:19" x14ac:dyDescent="0.25">
      <c r="A68" s="1">
        <v>62</v>
      </c>
      <c r="B68" s="1"/>
      <c r="C68" s="7" t="s">
        <v>39</v>
      </c>
      <c r="D68" s="17">
        <v>24922</v>
      </c>
      <c r="E68" s="7" t="s">
        <v>7</v>
      </c>
      <c r="F68" s="7" t="s">
        <v>78</v>
      </c>
      <c r="G68" s="7" t="s">
        <v>79</v>
      </c>
      <c r="H68" s="8" t="s">
        <v>35</v>
      </c>
      <c r="I68" s="8">
        <v>354951</v>
      </c>
      <c r="J68" s="7" t="s">
        <v>63</v>
      </c>
      <c r="K68" s="27">
        <v>16</v>
      </c>
      <c r="L68" s="27">
        <v>2</v>
      </c>
      <c r="M68" s="27">
        <v>11</v>
      </c>
      <c r="N68" s="18" t="s">
        <v>131</v>
      </c>
      <c r="O68" s="18" t="s">
        <v>132</v>
      </c>
      <c r="P68" s="8" t="s">
        <v>119</v>
      </c>
      <c r="Q68" s="8"/>
      <c r="R68" s="18"/>
      <c r="S68" s="18"/>
    </row>
    <row r="69" spans="1:19" x14ac:dyDescent="0.25">
      <c r="A69" s="1">
        <v>63</v>
      </c>
      <c r="B69" s="1"/>
      <c r="C69" s="7" t="s">
        <v>39</v>
      </c>
      <c r="D69" s="17">
        <v>27345</v>
      </c>
      <c r="E69" s="7" t="s">
        <v>14</v>
      </c>
      <c r="F69" s="7" t="s">
        <v>81</v>
      </c>
      <c r="G69" s="7" t="s">
        <v>40</v>
      </c>
      <c r="H69" s="7" t="s">
        <v>35</v>
      </c>
      <c r="I69" s="7">
        <v>489671</v>
      </c>
      <c r="J69" s="7" t="s">
        <v>98</v>
      </c>
      <c r="K69" s="24">
        <v>24</v>
      </c>
      <c r="L69" s="24">
        <v>3</v>
      </c>
      <c r="M69" s="24">
        <v>12</v>
      </c>
      <c r="N69" s="8" t="s">
        <v>133</v>
      </c>
      <c r="O69" s="8" t="s">
        <v>134</v>
      </c>
      <c r="P69" s="8" t="s">
        <v>119</v>
      </c>
      <c r="Q69" s="8"/>
      <c r="R69" s="18"/>
      <c r="S69" s="18"/>
    </row>
    <row r="70" spans="1:19" x14ac:dyDescent="0.25">
      <c r="A70" s="1">
        <v>64</v>
      </c>
      <c r="B70" s="1"/>
      <c r="C70" s="7" t="s">
        <v>39</v>
      </c>
      <c r="D70" s="17">
        <v>26159</v>
      </c>
      <c r="E70" s="7" t="s">
        <v>14</v>
      </c>
      <c r="F70" s="7" t="s">
        <v>81</v>
      </c>
      <c r="G70" s="7" t="s">
        <v>65</v>
      </c>
      <c r="H70" s="7" t="s">
        <v>35</v>
      </c>
      <c r="I70" s="7">
        <v>411339</v>
      </c>
      <c r="J70" s="7" t="s">
        <v>112</v>
      </c>
      <c r="K70" s="24">
        <v>24</v>
      </c>
      <c r="L70" s="24">
        <v>3</v>
      </c>
      <c r="M70" s="24">
        <v>12</v>
      </c>
      <c r="N70" s="8" t="s">
        <v>133</v>
      </c>
      <c r="O70" s="8" t="s">
        <v>134</v>
      </c>
      <c r="P70" s="8" t="s">
        <v>119</v>
      </c>
      <c r="Q70" s="8"/>
      <c r="R70" s="18"/>
      <c r="S70" s="18"/>
    </row>
    <row r="71" spans="1:19" x14ac:dyDescent="0.25">
      <c r="A71" s="1">
        <v>65</v>
      </c>
      <c r="B71" s="1"/>
      <c r="C71" s="7" t="s">
        <v>39</v>
      </c>
      <c r="D71" s="17">
        <v>28028</v>
      </c>
      <c r="E71" s="7" t="s">
        <v>14</v>
      </c>
      <c r="F71" s="7" t="s">
        <v>88</v>
      </c>
      <c r="G71" s="7" t="s">
        <v>94</v>
      </c>
      <c r="H71" s="7" t="s">
        <v>35</v>
      </c>
      <c r="I71" s="7">
        <v>354951</v>
      </c>
      <c r="J71" s="7" t="s">
        <v>63</v>
      </c>
      <c r="K71" s="24">
        <v>16</v>
      </c>
      <c r="L71" s="24">
        <v>2</v>
      </c>
      <c r="M71" s="24">
        <v>4</v>
      </c>
      <c r="N71" s="8" t="s">
        <v>135</v>
      </c>
      <c r="O71" s="8" t="s">
        <v>136</v>
      </c>
      <c r="P71" s="8" t="s">
        <v>119</v>
      </c>
      <c r="Q71" s="8"/>
      <c r="R71" s="18"/>
      <c r="S71" s="18"/>
    </row>
    <row r="72" spans="1:19" x14ac:dyDescent="0.25">
      <c r="A72" s="1">
        <v>66</v>
      </c>
      <c r="B72" s="1"/>
      <c r="C72" s="7" t="s">
        <v>39</v>
      </c>
      <c r="D72" s="17">
        <v>21434</v>
      </c>
      <c r="E72" s="7" t="s">
        <v>13</v>
      </c>
      <c r="F72" s="7" t="s">
        <v>74</v>
      </c>
      <c r="G72" s="7" t="s">
        <v>79</v>
      </c>
      <c r="H72" s="8" t="s">
        <v>35</v>
      </c>
      <c r="I72" s="8">
        <v>389970</v>
      </c>
      <c r="J72" s="7" t="s">
        <v>69</v>
      </c>
      <c r="K72" s="27">
        <v>16</v>
      </c>
      <c r="L72" s="27">
        <v>2</v>
      </c>
      <c r="M72" s="27">
        <v>12</v>
      </c>
      <c r="N72" s="18" t="s">
        <v>136</v>
      </c>
      <c r="O72" s="18" t="s">
        <v>137</v>
      </c>
      <c r="P72" s="8" t="s">
        <v>119</v>
      </c>
      <c r="Q72" s="8"/>
      <c r="R72" s="18"/>
      <c r="S72" s="18"/>
    </row>
    <row r="73" spans="1:19" x14ac:dyDescent="0.25">
      <c r="A73" s="1">
        <v>67</v>
      </c>
      <c r="B73" s="1"/>
      <c r="C73" s="7" t="s">
        <v>39</v>
      </c>
      <c r="D73" s="17">
        <v>26104</v>
      </c>
      <c r="E73" s="7" t="s">
        <v>13</v>
      </c>
      <c r="F73" s="7" t="s">
        <v>138</v>
      </c>
      <c r="G73" s="7" t="s">
        <v>79</v>
      </c>
      <c r="H73" s="8" t="s">
        <v>35</v>
      </c>
      <c r="I73" s="8">
        <v>389970</v>
      </c>
      <c r="J73" s="7" t="s">
        <v>69</v>
      </c>
      <c r="K73" s="27">
        <v>16</v>
      </c>
      <c r="L73" s="27">
        <v>2</v>
      </c>
      <c r="M73" s="27">
        <v>20</v>
      </c>
      <c r="N73" s="18" t="s">
        <v>139</v>
      </c>
      <c r="O73" s="18" t="s">
        <v>140</v>
      </c>
      <c r="P73" s="8" t="s">
        <v>141</v>
      </c>
      <c r="Q73" s="8"/>
      <c r="R73" s="18"/>
      <c r="S73" s="18"/>
    </row>
    <row r="74" spans="1:19" x14ac:dyDescent="0.25">
      <c r="A74" s="1">
        <v>68</v>
      </c>
      <c r="B74" s="1"/>
      <c r="C74" s="7" t="s">
        <v>39</v>
      </c>
      <c r="D74" s="17">
        <v>24789</v>
      </c>
      <c r="E74" s="7" t="s">
        <v>8</v>
      </c>
      <c r="F74" s="7" t="s">
        <v>142</v>
      </c>
      <c r="G74" s="7" t="s">
        <v>62</v>
      </c>
      <c r="H74" s="8" t="s">
        <v>35</v>
      </c>
      <c r="I74" s="8">
        <v>354951</v>
      </c>
      <c r="J74" s="7" t="s">
        <v>63</v>
      </c>
      <c r="K74" s="27">
        <v>24</v>
      </c>
      <c r="L74" s="27">
        <v>3</v>
      </c>
      <c r="M74" s="27">
        <v>1</v>
      </c>
      <c r="N74" s="18" t="s">
        <v>139</v>
      </c>
      <c r="O74" s="18" t="s">
        <v>143</v>
      </c>
      <c r="P74" s="8" t="s">
        <v>141</v>
      </c>
      <c r="Q74" s="8"/>
      <c r="R74" s="18"/>
      <c r="S74" s="18"/>
    </row>
    <row r="75" spans="1:19" x14ac:dyDescent="0.25">
      <c r="A75" s="1">
        <v>69</v>
      </c>
      <c r="B75" s="1"/>
      <c r="C75" s="7" t="s">
        <v>39</v>
      </c>
      <c r="D75" s="17">
        <v>23496</v>
      </c>
      <c r="E75" s="7" t="s">
        <v>6</v>
      </c>
      <c r="F75" s="7" t="s">
        <v>33</v>
      </c>
      <c r="G75" s="7" t="s">
        <v>68</v>
      </c>
      <c r="H75" s="8" t="s">
        <v>35</v>
      </c>
      <c r="I75" s="8">
        <v>350060</v>
      </c>
      <c r="J75" s="7" t="s">
        <v>36</v>
      </c>
      <c r="K75" s="27">
        <v>24</v>
      </c>
      <c r="L75" s="27">
        <v>3</v>
      </c>
      <c r="M75" s="27">
        <v>6</v>
      </c>
      <c r="N75" s="18" t="s">
        <v>139</v>
      </c>
      <c r="O75" s="18" t="s">
        <v>143</v>
      </c>
      <c r="P75" s="8" t="s">
        <v>141</v>
      </c>
      <c r="Q75" s="8"/>
      <c r="R75" s="18"/>
      <c r="S75" s="18"/>
    </row>
    <row r="76" spans="1:19" x14ac:dyDescent="0.25">
      <c r="A76" s="1">
        <v>70</v>
      </c>
      <c r="B76" s="1"/>
      <c r="C76" s="7" t="s">
        <v>39</v>
      </c>
      <c r="D76" s="17">
        <v>27338</v>
      </c>
      <c r="E76" s="7" t="s">
        <v>14</v>
      </c>
      <c r="F76" s="7" t="s">
        <v>81</v>
      </c>
      <c r="G76" s="7" t="s">
        <v>40</v>
      </c>
      <c r="H76" s="7" t="s">
        <v>35</v>
      </c>
      <c r="I76" s="7">
        <v>415202</v>
      </c>
      <c r="J76" s="7" t="s">
        <v>144</v>
      </c>
      <c r="K76" s="24">
        <v>24</v>
      </c>
      <c r="L76" s="24">
        <v>3</v>
      </c>
      <c r="M76" s="24">
        <v>10</v>
      </c>
      <c r="N76" s="8" t="s">
        <v>140</v>
      </c>
      <c r="O76" s="8" t="s">
        <v>145</v>
      </c>
      <c r="P76" s="8" t="s">
        <v>141</v>
      </c>
      <c r="Q76" s="8"/>
      <c r="R76" s="18"/>
      <c r="S76" s="18"/>
    </row>
    <row r="77" spans="1:19" x14ac:dyDescent="0.25">
      <c r="A77" s="1">
        <v>71</v>
      </c>
      <c r="B77" s="1"/>
      <c r="C77" s="7" t="s">
        <v>39</v>
      </c>
      <c r="D77" s="17">
        <v>26401</v>
      </c>
      <c r="E77" s="7" t="s">
        <v>13</v>
      </c>
      <c r="F77" s="7" t="s">
        <v>138</v>
      </c>
      <c r="G77" s="7" t="s">
        <v>34</v>
      </c>
      <c r="H77" s="8" t="s">
        <v>72</v>
      </c>
      <c r="I77" s="8">
        <v>510745</v>
      </c>
      <c r="J77" s="7" t="s">
        <v>66</v>
      </c>
      <c r="K77" s="27">
        <v>8</v>
      </c>
      <c r="L77" s="27">
        <v>1</v>
      </c>
      <c r="M77" s="27">
        <v>10</v>
      </c>
      <c r="N77" s="18" t="s">
        <v>146</v>
      </c>
      <c r="O77" s="18" t="s">
        <v>146</v>
      </c>
      <c r="P77" s="8" t="s">
        <v>141</v>
      </c>
      <c r="Q77" s="8"/>
      <c r="R77" s="18"/>
      <c r="S77" s="18"/>
    </row>
    <row r="78" spans="1:19" x14ac:dyDescent="0.25">
      <c r="A78" s="1">
        <v>72</v>
      </c>
      <c r="B78" s="1"/>
      <c r="C78" s="7" t="s">
        <v>39</v>
      </c>
      <c r="D78" s="17">
        <v>26161</v>
      </c>
      <c r="E78" s="7" t="s">
        <v>14</v>
      </c>
      <c r="F78" s="7" t="s">
        <v>81</v>
      </c>
      <c r="G78" s="7" t="s">
        <v>65</v>
      </c>
      <c r="H78" s="7" t="s">
        <v>35</v>
      </c>
      <c r="I78" s="7">
        <v>350060</v>
      </c>
      <c r="J78" s="7" t="s">
        <v>36</v>
      </c>
      <c r="K78" s="24">
        <v>24</v>
      </c>
      <c r="L78" s="24">
        <v>3</v>
      </c>
      <c r="M78" s="24">
        <v>12</v>
      </c>
      <c r="N78" s="8" t="s">
        <v>146</v>
      </c>
      <c r="O78" s="8" t="s">
        <v>147</v>
      </c>
      <c r="P78" s="8" t="s">
        <v>141</v>
      </c>
      <c r="Q78" s="8"/>
      <c r="R78" s="18"/>
      <c r="S78" s="18"/>
    </row>
    <row r="79" spans="1:19" x14ac:dyDescent="0.25">
      <c r="A79" s="1">
        <v>73</v>
      </c>
      <c r="B79" s="1"/>
      <c r="C79" s="7" t="s">
        <v>39</v>
      </c>
      <c r="D79" s="17">
        <v>27346</v>
      </c>
      <c r="E79" s="7" t="s">
        <v>14</v>
      </c>
      <c r="F79" s="7" t="s">
        <v>81</v>
      </c>
      <c r="G79" s="7" t="s">
        <v>40</v>
      </c>
      <c r="H79" s="7" t="s">
        <v>35</v>
      </c>
      <c r="I79" s="7">
        <v>415202</v>
      </c>
      <c r="J79" s="7" t="s">
        <v>144</v>
      </c>
      <c r="K79" s="24">
        <v>24</v>
      </c>
      <c r="L79" s="24">
        <v>3</v>
      </c>
      <c r="M79" s="24">
        <v>12</v>
      </c>
      <c r="N79" s="8" t="s">
        <v>146</v>
      </c>
      <c r="O79" s="8" t="s">
        <v>147</v>
      </c>
      <c r="P79" s="8" t="s">
        <v>141</v>
      </c>
      <c r="Q79" s="8"/>
      <c r="R79" s="18"/>
      <c r="S79" s="18"/>
    </row>
    <row r="80" spans="1:19" x14ac:dyDescent="0.25">
      <c r="A80" s="1">
        <v>74</v>
      </c>
      <c r="B80" s="1"/>
      <c r="C80" s="7" t="s">
        <v>39</v>
      </c>
      <c r="D80" s="17">
        <v>26416</v>
      </c>
      <c r="E80" s="7" t="s">
        <v>13</v>
      </c>
      <c r="F80" s="7" t="s">
        <v>138</v>
      </c>
      <c r="G80" s="7" t="s">
        <v>148</v>
      </c>
      <c r="H80" s="8" t="s">
        <v>35</v>
      </c>
      <c r="I80" s="8">
        <v>389970</v>
      </c>
      <c r="J80" s="7" t="s">
        <v>69</v>
      </c>
      <c r="K80" s="27">
        <v>8</v>
      </c>
      <c r="L80" s="27">
        <v>1</v>
      </c>
      <c r="M80" s="27">
        <v>20</v>
      </c>
      <c r="N80" s="18" t="s">
        <v>149</v>
      </c>
      <c r="O80" s="18" t="s">
        <v>149</v>
      </c>
      <c r="P80" s="8" t="s">
        <v>141</v>
      </c>
      <c r="Q80" s="8"/>
      <c r="R80" s="18"/>
      <c r="S80" s="18"/>
    </row>
    <row r="81" spans="1:19" x14ac:dyDescent="0.25">
      <c r="A81" s="1">
        <v>75</v>
      </c>
      <c r="B81" s="1"/>
      <c r="C81" s="7" t="s">
        <v>39</v>
      </c>
      <c r="D81" s="17">
        <v>21993</v>
      </c>
      <c r="E81" s="7" t="s">
        <v>8</v>
      </c>
      <c r="F81" s="7" t="s">
        <v>142</v>
      </c>
      <c r="G81" s="7" t="s">
        <v>89</v>
      </c>
      <c r="H81" s="8" t="s">
        <v>35</v>
      </c>
      <c r="I81" s="8">
        <v>197995</v>
      </c>
      <c r="J81" s="7" t="s">
        <v>150</v>
      </c>
      <c r="K81" s="27">
        <v>16</v>
      </c>
      <c r="L81" s="27">
        <v>2</v>
      </c>
      <c r="M81" s="27">
        <v>2</v>
      </c>
      <c r="N81" s="18" t="s">
        <v>149</v>
      </c>
      <c r="O81" s="18" t="s">
        <v>151</v>
      </c>
      <c r="P81" s="8" t="s">
        <v>141</v>
      </c>
      <c r="Q81" s="8"/>
      <c r="R81" s="18"/>
      <c r="S81" s="18"/>
    </row>
    <row r="82" spans="1:19" x14ac:dyDescent="0.25">
      <c r="A82" s="1">
        <v>76</v>
      </c>
      <c r="B82" s="1"/>
      <c r="C82" s="7" t="s">
        <v>39</v>
      </c>
      <c r="D82" s="17">
        <v>21435</v>
      </c>
      <c r="E82" s="7" t="s">
        <v>13</v>
      </c>
      <c r="F82" s="7" t="s">
        <v>74</v>
      </c>
      <c r="G82" s="7" t="s">
        <v>79</v>
      </c>
      <c r="H82" s="8" t="s">
        <v>72</v>
      </c>
      <c r="I82" s="8">
        <v>389970</v>
      </c>
      <c r="J82" s="7" t="s">
        <v>69</v>
      </c>
      <c r="K82" s="27">
        <v>16</v>
      </c>
      <c r="L82" s="27">
        <v>2</v>
      </c>
      <c r="M82" s="27">
        <v>12</v>
      </c>
      <c r="N82" s="18" t="s">
        <v>152</v>
      </c>
      <c r="O82" s="18" t="s">
        <v>153</v>
      </c>
      <c r="P82" s="8" t="s">
        <v>141</v>
      </c>
      <c r="Q82" s="8"/>
      <c r="R82" s="18"/>
      <c r="S82" s="18"/>
    </row>
    <row r="83" spans="1:19" x14ac:dyDescent="0.25">
      <c r="A83" s="1">
        <v>77</v>
      </c>
      <c r="B83" s="1"/>
      <c r="C83" s="7" t="s">
        <v>39</v>
      </c>
      <c r="D83" s="17">
        <v>26094</v>
      </c>
      <c r="E83" s="7" t="s">
        <v>13</v>
      </c>
      <c r="F83" s="7" t="s">
        <v>138</v>
      </c>
      <c r="G83" s="7" t="s">
        <v>79</v>
      </c>
      <c r="H83" s="8" t="s">
        <v>35</v>
      </c>
      <c r="I83" s="8">
        <v>389970</v>
      </c>
      <c r="J83" s="7" t="s">
        <v>69</v>
      </c>
      <c r="K83" s="27">
        <v>16</v>
      </c>
      <c r="L83" s="27">
        <v>2</v>
      </c>
      <c r="M83" s="27">
        <v>20</v>
      </c>
      <c r="N83" s="18" t="s">
        <v>154</v>
      </c>
      <c r="O83" s="18" t="s">
        <v>155</v>
      </c>
      <c r="P83" s="8" t="s">
        <v>141</v>
      </c>
      <c r="Q83" s="8"/>
      <c r="R83" s="18"/>
      <c r="S83" s="18"/>
    </row>
    <row r="84" spans="1:19" x14ac:dyDescent="0.25">
      <c r="A84" s="1">
        <v>78</v>
      </c>
      <c r="B84" s="1"/>
      <c r="C84" s="7" t="s">
        <v>39</v>
      </c>
      <c r="D84" s="17">
        <v>21448</v>
      </c>
      <c r="E84" s="7" t="s">
        <v>13</v>
      </c>
      <c r="F84" s="7" t="s">
        <v>74</v>
      </c>
      <c r="G84" s="7" t="s">
        <v>89</v>
      </c>
      <c r="H84" s="8" t="s">
        <v>35</v>
      </c>
      <c r="I84" s="8">
        <v>354951</v>
      </c>
      <c r="J84" s="7" t="s">
        <v>63</v>
      </c>
      <c r="K84" s="27">
        <v>16</v>
      </c>
      <c r="L84" s="27">
        <v>2</v>
      </c>
      <c r="M84" s="27">
        <v>11</v>
      </c>
      <c r="N84" s="18" t="s">
        <v>156</v>
      </c>
      <c r="O84" s="18" t="s">
        <v>157</v>
      </c>
      <c r="P84" s="8" t="s">
        <v>141</v>
      </c>
      <c r="Q84" s="8"/>
      <c r="R84" s="18"/>
      <c r="S84" s="18"/>
    </row>
    <row r="85" spans="1:19" x14ac:dyDescent="0.25">
      <c r="A85" s="1">
        <v>79</v>
      </c>
      <c r="B85" s="1"/>
      <c r="C85" s="7" t="s">
        <v>39</v>
      </c>
      <c r="D85" s="17">
        <v>28128</v>
      </c>
      <c r="E85" s="7" t="s">
        <v>13</v>
      </c>
      <c r="F85" s="7" t="s">
        <v>138</v>
      </c>
      <c r="G85" s="7" t="s">
        <v>40</v>
      </c>
      <c r="H85" s="8" t="s">
        <v>35</v>
      </c>
      <c r="I85" s="8">
        <v>374253</v>
      </c>
      <c r="J85" s="7" t="s">
        <v>41</v>
      </c>
      <c r="K85" s="27">
        <v>24</v>
      </c>
      <c r="L85" s="27">
        <v>3</v>
      </c>
      <c r="M85" s="27">
        <v>18</v>
      </c>
      <c r="N85" s="18" t="s">
        <v>156</v>
      </c>
      <c r="O85" s="18" t="s">
        <v>158</v>
      </c>
      <c r="P85" s="8" t="s">
        <v>141</v>
      </c>
      <c r="Q85" s="8"/>
      <c r="R85" s="18"/>
      <c r="S85" s="18"/>
    </row>
    <row r="86" spans="1:19" x14ac:dyDescent="0.25">
      <c r="A86" s="1">
        <v>80</v>
      </c>
      <c r="B86" s="1"/>
      <c r="C86" s="7" t="s">
        <v>39</v>
      </c>
      <c r="D86" s="17">
        <v>26049</v>
      </c>
      <c r="E86" s="7" t="s">
        <v>14</v>
      </c>
      <c r="F86" s="7" t="s">
        <v>81</v>
      </c>
      <c r="G86" s="7" t="s">
        <v>159</v>
      </c>
      <c r="H86" s="7" t="s">
        <v>35</v>
      </c>
      <c r="I86" s="7">
        <v>411339</v>
      </c>
      <c r="J86" s="7" t="s">
        <v>112</v>
      </c>
      <c r="K86" s="24">
        <v>16</v>
      </c>
      <c r="L86" s="24">
        <v>2</v>
      </c>
      <c r="M86" s="24">
        <v>11</v>
      </c>
      <c r="N86" s="8" t="s">
        <v>157</v>
      </c>
      <c r="O86" s="8" t="s">
        <v>158</v>
      </c>
      <c r="P86" s="8" t="s">
        <v>141</v>
      </c>
      <c r="Q86" s="8"/>
      <c r="R86" s="18"/>
      <c r="S86" s="18"/>
    </row>
    <row r="87" spans="1:19" x14ac:dyDescent="0.25">
      <c r="A87" s="1">
        <v>81</v>
      </c>
      <c r="B87" s="1"/>
      <c r="C87" s="7" t="s">
        <v>39</v>
      </c>
      <c r="D87" s="17">
        <v>27347</v>
      </c>
      <c r="E87" s="7" t="s">
        <v>14</v>
      </c>
      <c r="F87" s="7" t="s">
        <v>81</v>
      </c>
      <c r="G87" s="7" t="s">
        <v>40</v>
      </c>
      <c r="H87" s="7" t="s">
        <v>35</v>
      </c>
      <c r="I87" s="7">
        <v>489671</v>
      </c>
      <c r="J87" s="7" t="s">
        <v>98</v>
      </c>
      <c r="K87" s="24">
        <v>24</v>
      </c>
      <c r="L87" s="24">
        <v>3</v>
      </c>
      <c r="M87" s="24">
        <v>12</v>
      </c>
      <c r="N87" s="8" t="s">
        <v>158</v>
      </c>
      <c r="O87" s="8" t="s">
        <v>160</v>
      </c>
      <c r="P87" s="8" t="s">
        <v>141</v>
      </c>
      <c r="Q87" s="8"/>
      <c r="R87" s="18"/>
      <c r="S87" s="18"/>
    </row>
    <row r="88" spans="1:19" x14ac:dyDescent="0.25">
      <c r="A88" s="1">
        <v>82</v>
      </c>
      <c r="B88" s="1"/>
      <c r="C88" s="7" t="s">
        <v>39</v>
      </c>
      <c r="D88" s="17">
        <v>26414</v>
      </c>
      <c r="E88" s="7" t="s">
        <v>13</v>
      </c>
      <c r="F88" s="7" t="s">
        <v>138</v>
      </c>
      <c r="G88" s="7" t="s">
        <v>148</v>
      </c>
      <c r="H88" s="8" t="s">
        <v>35</v>
      </c>
      <c r="I88" s="8">
        <v>389970</v>
      </c>
      <c r="J88" s="7" t="s">
        <v>69</v>
      </c>
      <c r="K88" s="27">
        <v>8</v>
      </c>
      <c r="L88" s="27">
        <v>1</v>
      </c>
      <c r="M88" s="27">
        <v>20</v>
      </c>
      <c r="N88" s="18" t="s">
        <v>161</v>
      </c>
      <c r="O88" s="18" t="s">
        <v>161</v>
      </c>
      <c r="P88" s="8" t="s">
        <v>141</v>
      </c>
      <c r="Q88" s="8"/>
      <c r="R88" s="18"/>
      <c r="S88" s="18"/>
    </row>
    <row r="89" spans="1:19" x14ac:dyDescent="0.25">
      <c r="A89" s="1">
        <v>83</v>
      </c>
      <c r="B89" s="1"/>
      <c r="C89" s="7" t="s">
        <v>39</v>
      </c>
      <c r="D89" s="17">
        <v>27990</v>
      </c>
      <c r="E89" s="7" t="s">
        <v>8</v>
      </c>
      <c r="F89" s="7" t="s">
        <v>162</v>
      </c>
      <c r="G89" s="7" t="s">
        <v>89</v>
      </c>
      <c r="H89" s="8" t="s">
        <v>35</v>
      </c>
      <c r="I89" s="8">
        <v>441106</v>
      </c>
      <c r="J89" s="7" t="s">
        <v>163</v>
      </c>
      <c r="K89" s="27">
        <v>16</v>
      </c>
      <c r="L89" s="27">
        <v>4</v>
      </c>
      <c r="M89" s="27">
        <v>16</v>
      </c>
      <c r="N89" s="18" t="s">
        <v>161</v>
      </c>
      <c r="O89" s="18" t="s">
        <v>164</v>
      </c>
      <c r="P89" s="8" t="s">
        <v>141</v>
      </c>
      <c r="Q89" s="8"/>
      <c r="R89" s="18"/>
      <c r="S89" s="18"/>
    </row>
    <row r="90" spans="1:19" x14ac:dyDescent="0.25">
      <c r="A90" s="1">
        <v>84</v>
      </c>
      <c r="B90" s="1"/>
      <c r="C90" s="7" t="s">
        <v>39</v>
      </c>
      <c r="D90" s="17">
        <v>26096</v>
      </c>
      <c r="E90" s="7" t="s">
        <v>13</v>
      </c>
      <c r="F90" s="7" t="s">
        <v>138</v>
      </c>
      <c r="G90" s="7" t="s">
        <v>79</v>
      </c>
      <c r="H90" s="8" t="s">
        <v>35</v>
      </c>
      <c r="I90" s="8">
        <v>389970</v>
      </c>
      <c r="J90" s="7" t="s">
        <v>69</v>
      </c>
      <c r="K90" s="27">
        <v>16</v>
      </c>
      <c r="L90" s="27">
        <v>2</v>
      </c>
      <c r="M90" s="27">
        <v>20</v>
      </c>
      <c r="N90" s="18" t="s">
        <v>164</v>
      </c>
      <c r="O90" s="18" t="s">
        <v>165</v>
      </c>
      <c r="P90" s="8" t="s">
        <v>141</v>
      </c>
      <c r="Q90" s="8"/>
      <c r="R90" s="18"/>
      <c r="S90" s="18"/>
    </row>
    <row r="91" spans="1:19" x14ac:dyDescent="0.25">
      <c r="A91" s="1">
        <v>85</v>
      </c>
      <c r="B91" s="1"/>
      <c r="C91" s="7" t="s">
        <v>39</v>
      </c>
      <c r="D91" s="17">
        <v>26050</v>
      </c>
      <c r="E91" s="7" t="s">
        <v>14</v>
      </c>
      <c r="F91" s="7" t="s">
        <v>81</v>
      </c>
      <c r="G91" s="7" t="s">
        <v>159</v>
      </c>
      <c r="H91" s="7" t="s">
        <v>35</v>
      </c>
      <c r="I91" s="7">
        <v>411339</v>
      </c>
      <c r="J91" s="7" t="s">
        <v>112</v>
      </c>
      <c r="K91" s="24">
        <v>16</v>
      </c>
      <c r="L91" s="24">
        <v>2</v>
      </c>
      <c r="M91" s="24">
        <v>12</v>
      </c>
      <c r="N91" s="8" t="s">
        <v>164</v>
      </c>
      <c r="O91" s="8" t="s">
        <v>165</v>
      </c>
      <c r="P91" s="8" t="s">
        <v>141</v>
      </c>
      <c r="Q91" s="8"/>
      <c r="R91" s="18"/>
      <c r="S91" s="18"/>
    </row>
    <row r="92" spans="1:19" x14ac:dyDescent="0.25">
      <c r="A92" s="1">
        <v>86</v>
      </c>
      <c r="B92" s="1"/>
      <c r="C92" s="7" t="s">
        <v>39</v>
      </c>
      <c r="D92" s="17">
        <v>24915</v>
      </c>
      <c r="E92" s="7" t="s">
        <v>7</v>
      </c>
      <c r="F92" s="7" t="s">
        <v>78</v>
      </c>
      <c r="G92" s="7" t="s">
        <v>79</v>
      </c>
      <c r="H92" s="8" t="s">
        <v>35</v>
      </c>
      <c r="I92" s="8">
        <v>354951</v>
      </c>
      <c r="J92" s="7" t="s">
        <v>63</v>
      </c>
      <c r="K92" s="27">
        <v>16</v>
      </c>
      <c r="L92" s="27">
        <v>2</v>
      </c>
      <c r="M92" s="27">
        <v>7</v>
      </c>
      <c r="N92" s="18" t="s">
        <v>165</v>
      </c>
      <c r="O92" s="18" t="s">
        <v>166</v>
      </c>
      <c r="P92" s="8" t="s">
        <v>141</v>
      </c>
      <c r="Q92" s="8"/>
      <c r="R92" s="18"/>
      <c r="S92" s="18"/>
    </row>
    <row r="93" spans="1:19" x14ac:dyDescent="0.25">
      <c r="A93" s="1">
        <v>87</v>
      </c>
      <c r="B93" s="1"/>
      <c r="C93" s="7" t="s">
        <v>39</v>
      </c>
      <c r="D93" s="17">
        <v>24069</v>
      </c>
      <c r="E93" s="7" t="s">
        <v>6</v>
      </c>
      <c r="F93" s="7" t="s">
        <v>33</v>
      </c>
      <c r="G93" s="7" t="s">
        <v>65</v>
      </c>
      <c r="H93" s="8" t="s">
        <v>35</v>
      </c>
      <c r="I93" s="8">
        <v>350060</v>
      </c>
      <c r="J93" s="7" t="s">
        <v>36</v>
      </c>
      <c r="K93" s="27">
        <v>24</v>
      </c>
      <c r="L93" s="27">
        <v>3</v>
      </c>
      <c r="M93" s="27">
        <v>10</v>
      </c>
      <c r="N93" s="18" t="s">
        <v>164</v>
      </c>
      <c r="O93" s="18" t="s">
        <v>166</v>
      </c>
      <c r="P93" s="8" t="s">
        <v>141</v>
      </c>
      <c r="Q93" s="8"/>
      <c r="R93" s="18"/>
      <c r="S93" s="18"/>
    </row>
    <row r="94" spans="1:19" x14ac:dyDescent="0.25">
      <c r="A94" s="1">
        <v>88</v>
      </c>
      <c r="B94" s="1"/>
      <c r="C94" s="7" t="s">
        <v>39</v>
      </c>
      <c r="D94" s="17">
        <v>26389</v>
      </c>
      <c r="E94" s="7" t="s">
        <v>13</v>
      </c>
      <c r="F94" s="7" t="s">
        <v>138</v>
      </c>
      <c r="G94" s="7" t="s">
        <v>34</v>
      </c>
      <c r="H94" s="8" t="s">
        <v>72</v>
      </c>
      <c r="I94" s="8">
        <v>510745</v>
      </c>
      <c r="J94" s="7" t="s">
        <v>66</v>
      </c>
      <c r="K94" s="27">
        <v>8</v>
      </c>
      <c r="L94" s="27">
        <v>1</v>
      </c>
      <c r="M94" s="27">
        <v>20</v>
      </c>
      <c r="N94" s="18" t="s">
        <v>167</v>
      </c>
      <c r="O94" s="18" t="s">
        <v>167</v>
      </c>
      <c r="P94" s="8" t="s">
        <v>141</v>
      </c>
      <c r="Q94" s="8"/>
      <c r="R94" s="18"/>
      <c r="S94" s="18"/>
    </row>
    <row r="95" spans="1:19" x14ac:dyDescent="0.25">
      <c r="A95" s="1">
        <v>89</v>
      </c>
      <c r="B95" s="1"/>
      <c r="C95" s="7" t="s">
        <v>39</v>
      </c>
      <c r="D95" s="17">
        <v>26388</v>
      </c>
      <c r="E95" s="7" t="s">
        <v>13</v>
      </c>
      <c r="F95" s="7" t="s">
        <v>138</v>
      </c>
      <c r="G95" s="7" t="s">
        <v>34</v>
      </c>
      <c r="H95" s="8" t="s">
        <v>35</v>
      </c>
      <c r="I95" s="8">
        <v>374253</v>
      </c>
      <c r="J95" s="7" t="s">
        <v>41</v>
      </c>
      <c r="K95" s="27">
        <v>8</v>
      </c>
      <c r="L95" s="27">
        <v>1</v>
      </c>
      <c r="M95" s="27">
        <v>20</v>
      </c>
      <c r="N95" s="18" t="s">
        <v>168</v>
      </c>
      <c r="O95" s="18" t="s">
        <v>168</v>
      </c>
      <c r="P95" s="8" t="s">
        <v>141</v>
      </c>
      <c r="Q95" s="8"/>
      <c r="R95" s="18"/>
      <c r="S95" s="18"/>
    </row>
    <row r="96" spans="1:19" x14ac:dyDescent="0.25">
      <c r="A96" s="1">
        <v>90</v>
      </c>
      <c r="B96" s="1"/>
      <c r="C96" s="7" t="s">
        <v>39</v>
      </c>
      <c r="D96" s="17">
        <v>21436</v>
      </c>
      <c r="E96" s="7" t="s">
        <v>13</v>
      </c>
      <c r="F96" s="7" t="s">
        <v>74</v>
      </c>
      <c r="G96" s="7" t="s">
        <v>79</v>
      </c>
      <c r="H96" s="8" t="s">
        <v>35</v>
      </c>
      <c r="I96" s="8">
        <v>389970</v>
      </c>
      <c r="J96" s="7" t="s">
        <v>69</v>
      </c>
      <c r="K96" s="27">
        <v>16</v>
      </c>
      <c r="L96" s="27">
        <v>2</v>
      </c>
      <c r="M96" s="27">
        <v>12</v>
      </c>
      <c r="N96" s="18" t="s">
        <v>169</v>
      </c>
      <c r="O96" s="18" t="s">
        <v>170</v>
      </c>
      <c r="P96" s="8" t="s">
        <v>141</v>
      </c>
      <c r="Q96" s="8"/>
      <c r="R96" s="18"/>
      <c r="S96" s="18"/>
    </row>
    <row r="97" spans="1:19" x14ac:dyDescent="0.25">
      <c r="A97" s="1">
        <v>91</v>
      </c>
      <c r="B97" s="1"/>
      <c r="C97" s="7" t="s">
        <v>39</v>
      </c>
      <c r="D97" s="17">
        <v>24984</v>
      </c>
      <c r="E97" s="7" t="s">
        <v>8</v>
      </c>
      <c r="F97" s="7" t="s">
        <v>142</v>
      </c>
      <c r="G97" s="7" t="s">
        <v>171</v>
      </c>
      <c r="H97" s="8" t="s">
        <v>35</v>
      </c>
      <c r="I97" s="8">
        <v>458886</v>
      </c>
      <c r="J97" s="7" t="s">
        <v>75</v>
      </c>
      <c r="K97" s="27">
        <v>8</v>
      </c>
      <c r="L97" s="27">
        <v>1</v>
      </c>
      <c r="M97" s="27">
        <v>4</v>
      </c>
      <c r="N97" s="18" t="s">
        <v>172</v>
      </c>
      <c r="O97" s="18" t="s">
        <v>172</v>
      </c>
      <c r="P97" s="8" t="s">
        <v>173</v>
      </c>
      <c r="Q97" s="8"/>
      <c r="R97" s="18"/>
      <c r="S97" s="18"/>
    </row>
    <row r="98" spans="1:19" x14ac:dyDescent="0.25">
      <c r="A98" s="1">
        <v>92</v>
      </c>
      <c r="B98" s="1"/>
      <c r="C98" s="7" t="s">
        <v>39</v>
      </c>
      <c r="D98" s="17">
        <v>27989</v>
      </c>
      <c r="E98" s="7" t="s">
        <v>8</v>
      </c>
      <c r="F98" s="7" t="s">
        <v>162</v>
      </c>
      <c r="G98" s="7" t="s">
        <v>89</v>
      </c>
      <c r="H98" s="8" t="s">
        <v>35</v>
      </c>
      <c r="I98" s="8">
        <v>441106</v>
      </c>
      <c r="J98" s="7" t="s">
        <v>163</v>
      </c>
      <c r="K98" s="27">
        <v>16</v>
      </c>
      <c r="L98" s="27">
        <v>4</v>
      </c>
      <c r="M98" s="27">
        <v>17</v>
      </c>
      <c r="N98" s="18" t="s">
        <v>168</v>
      </c>
      <c r="O98" s="18" t="s">
        <v>172</v>
      </c>
      <c r="P98" s="8" t="s">
        <v>141</v>
      </c>
      <c r="Q98" s="8"/>
      <c r="R98" s="18"/>
      <c r="S98" s="18"/>
    </row>
    <row r="99" spans="1:19" x14ac:dyDescent="0.25">
      <c r="A99" s="1">
        <v>93</v>
      </c>
      <c r="B99" s="1"/>
      <c r="C99" s="7" t="s">
        <v>39</v>
      </c>
      <c r="D99" s="17">
        <v>27339</v>
      </c>
      <c r="E99" s="7" t="s">
        <v>14</v>
      </c>
      <c r="F99" s="7" t="s">
        <v>81</v>
      </c>
      <c r="G99" s="7" t="s">
        <v>40</v>
      </c>
      <c r="H99" s="7" t="s">
        <v>35</v>
      </c>
      <c r="I99" s="7">
        <v>415202</v>
      </c>
      <c r="J99" s="7" t="s">
        <v>144</v>
      </c>
      <c r="K99" s="24">
        <v>24</v>
      </c>
      <c r="L99" s="24">
        <v>3</v>
      </c>
      <c r="M99" s="24">
        <v>10</v>
      </c>
      <c r="N99" s="8" t="s">
        <v>169</v>
      </c>
      <c r="O99" s="8" t="s">
        <v>172</v>
      </c>
      <c r="P99" s="8" t="s">
        <v>141</v>
      </c>
      <c r="Q99" s="8"/>
      <c r="R99" s="18"/>
      <c r="S99" s="18"/>
    </row>
    <row r="100" spans="1:19" x14ac:dyDescent="0.25">
      <c r="A100" s="1">
        <v>94</v>
      </c>
      <c r="B100" s="1"/>
      <c r="C100" s="7" t="s">
        <v>39</v>
      </c>
      <c r="D100" s="17">
        <v>24717</v>
      </c>
      <c r="E100" s="7" t="s">
        <v>8</v>
      </c>
      <c r="F100" s="7" t="s">
        <v>142</v>
      </c>
      <c r="G100" s="7" t="s">
        <v>68</v>
      </c>
      <c r="H100" s="8" t="s">
        <v>35</v>
      </c>
      <c r="I100" s="8">
        <v>419491</v>
      </c>
      <c r="J100" s="7" t="s">
        <v>82</v>
      </c>
      <c r="K100" s="27">
        <v>24</v>
      </c>
      <c r="L100" s="27">
        <v>3</v>
      </c>
      <c r="M100" s="27">
        <v>2</v>
      </c>
      <c r="N100" s="18" t="s">
        <v>170</v>
      </c>
      <c r="O100" s="18" t="s">
        <v>174</v>
      </c>
      <c r="P100" s="8" t="s">
        <v>173</v>
      </c>
      <c r="Q100" s="8"/>
      <c r="R100" s="18"/>
      <c r="S100" s="18"/>
    </row>
    <row r="101" spans="1:19" x14ac:dyDescent="0.25">
      <c r="A101" s="1">
        <v>95</v>
      </c>
      <c r="B101" s="1"/>
      <c r="C101" s="7" t="s">
        <v>39</v>
      </c>
      <c r="D101" s="17">
        <v>27348</v>
      </c>
      <c r="E101" s="7" t="s">
        <v>14</v>
      </c>
      <c r="F101" s="7" t="s">
        <v>81</v>
      </c>
      <c r="G101" s="7" t="s">
        <v>40</v>
      </c>
      <c r="H101" s="7" t="s">
        <v>35</v>
      </c>
      <c r="I101" s="7">
        <v>316048</v>
      </c>
      <c r="J101" s="7" t="s">
        <v>122</v>
      </c>
      <c r="K101" s="24">
        <v>24</v>
      </c>
      <c r="L101" s="24">
        <v>3</v>
      </c>
      <c r="M101" s="24">
        <v>12</v>
      </c>
      <c r="N101" s="8" t="s">
        <v>172</v>
      </c>
      <c r="O101" s="8" t="s">
        <v>175</v>
      </c>
      <c r="P101" s="8" t="s">
        <v>173</v>
      </c>
      <c r="Q101" s="8"/>
      <c r="R101" s="18"/>
      <c r="S101" s="18"/>
    </row>
    <row r="102" spans="1:19" x14ac:dyDescent="0.25">
      <c r="A102" s="1">
        <v>96</v>
      </c>
      <c r="B102" s="1"/>
      <c r="C102" s="7" t="s">
        <v>39</v>
      </c>
      <c r="D102" s="17">
        <v>27349</v>
      </c>
      <c r="E102" s="7" t="s">
        <v>14</v>
      </c>
      <c r="F102" s="7" t="s">
        <v>81</v>
      </c>
      <c r="G102" s="7" t="s">
        <v>40</v>
      </c>
      <c r="H102" s="7" t="s">
        <v>35</v>
      </c>
      <c r="I102" s="7">
        <v>415202</v>
      </c>
      <c r="J102" s="7" t="s">
        <v>144</v>
      </c>
      <c r="K102" s="24">
        <v>24</v>
      </c>
      <c r="L102" s="24">
        <v>3</v>
      </c>
      <c r="M102" s="24">
        <v>12</v>
      </c>
      <c r="N102" s="8" t="s">
        <v>174</v>
      </c>
      <c r="O102" s="8" t="s">
        <v>176</v>
      </c>
      <c r="P102" s="8" t="s">
        <v>173</v>
      </c>
      <c r="Q102" s="8"/>
      <c r="R102" s="18"/>
      <c r="S102" s="18"/>
    </row>
    <row r="103" spans="1:19" x14ac:dyDescent="0.25">
      <c r="A103" s="1">
        <v>97</v>
      </c>
      <c r="B103" s="1"/>
      <c r="C103" s="7" t="s">
        <v>39</v>
      </c>
      <c r="D103" s="17">
        <v>26415</v>
      </c>
      <c r="E103" s="7" t="s">
        <v>13</v>
      </c>
      <c r="F103" s="7" t="s">
        <v>138</v>
      </c>
      <c r="G103" s="7" t="s">
        <v>148</v>
      </c>
      <c r="H103" s="8" t="s">
        <v>35</v>
      </c>
      <c r="I103" s="8">
        <v>389970</v>
      </c>
      <c r="J103" s="7" t="s">
        <v>69</v>
      </c>
      <c r="K103" s="27">
        <v>8</v>
      </c>
      <c r="L103" s="27">
        <v>1</v>
      </c>
      <c r="M103" s="27">
        <v>20</v>
      </c>
      <c r="N103" s="18" t="s">
        <v>177</v>
      </c>
      <c r="O103" s="18" t="s">
        <v>177</v>
      </c>
      <c r="P103" s="8" t="s">
        <v>173</v>
      </c>
      <c r="Q103" s="8"/>
      <c r="R103" s="18"/>
      <c r="S103" s="18"/>
    </row>
    <row r="104" spans="1:19" x14ac:dyDescent="0.25">
      <c r="A104" s="1">
        <v>98</v>
      </c>
      <c r="B104" s="1"/>
      <c r="C104" s="7" t="s">
        <v>39</v>
      </c>
      <c r="D104" s="17">
        <v>26162</v>
      </c>
      <c r="E104" s="7" t="s">
        <v>14</v>
      </c>
      <c r="F104" s="7" t="s">
        <v>81</v>
      </c>
      <c r="G104" s="7" t="s">
        <v>65</v>
      </c>
      <c r="H104" s="7" t="s">
        <v>35</v>
      </c>
      <c r="I104" s="7">
        <v>350060</v>
      </c>
      <c r="J104" s="7" t="s">
        <v>36</v>
      </c>
      <c r="K104" s="24">
        <v>24</v>
      </c>
      <c r="L104" s="24">
        <v>3</v>
      </c>
      <c r="M104" s="24">
        <v>12</v>
      </c>
      <c r="N104" s="8" t="s">
        <v>175</v>
      </c>
      <c r="O104" s="8" t="s">
        <v>177</v>
      </c>
      <c r="P104" s="8" t="s">
        <v>173</v>
      </c>
      <c r="Q104" s="8"/>
      <c r="R104" s="18"/>
      <c r="S104" s="18"/>
    </row>
    <row r="105" spans="1:19" x14ac:dyDescent="0.25">
      <c r="A105" s="1">
        <v>99</v>
      </c>
      <c r="B105" s="1"/>
      <c r="C105" s="7" t="s">
        <v>39</v>
      </c>
      <c r="D105" s="17">
        <v>21983</v>
      </c>
      <c r="E105" s="7" t="s">
        <v>8</v>
      </c>
      <c r="F105" s="7" t="s">
        <v>142</v>
      </c>
      <c r="G105" s="7" t="s">
        <v>40</v>
      </c>
      <c r="H105" s="8" t="s">
        <v>35</v>
      </c>
      <c r="I105" s="8">
        <v>626472</v>
      </c>
      <c r="J105" s="7" t="s">
        <v>178</v>
      </c>
      <c r="K105" s="27">
        <v>24</v>
      </c>
      <c r="L105" s="27">
        <v>3</v>
      </c>
      <c r="M105" s="27">
        <v>2</v>
      </c>
      <c r="N105" s="18" t="s">
        <v>177</v>
      </c>
      <c r="O105" s="18" t="s">
        <v>179</v>
      </c>
      <c r="P105" s="8" t="s">
        <v>173</v>
      </c>
      <c r="Q105" s="8"/>
      <c r="R105" s="18"/>
      <c r="S105" s="18"/>
    </row>
    <row r="106" spans="1:19" x14ac:dyDescent="0.25">
      <c r="A106" s="1">
        <v>100</v>
      </c>
      <c r="B106" s="1"/>
      <c r="C106" s="7" t="s">
        <v>39</v>
      </c>
      <c r="D106" s="17">
        <v>26408</v>
      </c>
      <c r="E106" s="7" t="s">
        <v>13</v>
      </c>
      <c r="F106" s="7" t="s">
        <v>138</v>
      </c>
      <c r="G106" s="7" t="s">
        <v>34</v>
      </c>
      <c r="H106" s="8" t="s">
        <v>72</v>
      </c>
      <c r="I106" s="8">
        <v>510745</v>
      </c>
      <c r="J106" s="7" t="s">
        <v>66</v>
      </c>
      <c r="K106" s="27">
        <v>8</v>
      </c>
      <c r="L106" s="27">
        <v>1</v>
      </c>
      <c r="M106" s="27">
        <v>11</v>
      </c>
      <c r="N106" s="18" t="s">
        <v>179</v>
      </c>
      <c r="O106" s="18" t="s">
        <v>180</v>
      </c>
      <c r="P106" s="8" t="s">
        <v>173</v>
      </c>
      <c r="Q106" s="8"/>
      <c r="R106" s="18"/>
      <c r="S106" s="18"/>
    </row>
    <row r="107" spans="1:19" s="110" customFormat="1" x14ac:dyDescent="0.25">
      <c r="A107" s="1">
        <v>101</v>
      </c>
      <c r="B107" s="1"/>
      <c r="C107" s="7" t="s">
        <v>39</v>
      </c>
      <c r="D107" s="17">
        <v>27350</v>
      </c>
      <c r="E107" s="7" t="s">
        <v>14</v>
      </c>
      <c r="F107" s="7" t="s">
        <v>81</v>
      </c>
      <c r="G107" s="7" t="s">
        <v>40</v>
      </c>
      <c r="H107" s="7" t="s">
        <v>35</v>
      </c>
      <c r="I107" s="7">
        <v>419491</v>
      </c>
      <c r="J107" s="7" t="s">
        <v>82</v>
      </c>
      <c r="K107" s="24">
        <v>24</v>
      </c>
      <c r="L107" s="24">
        <v>3</v>
      </c>
      <c r="M107" s="24">
        <v>9</v>
      </c>
      <c r="N107" s="8" t="s">
        <v>181</v>
      </c>
      <c r="O107" s="8" t="s">
        <v>180</v>
      </c>
      <c r="P107" s="8" t="s">
        <v>173</v>
      </c>
      <c r="Q107" s="8"/>
      <c r="R107" s="18"/>
      <c r="S107" s="18"/>
    </row>
    <row r="108" spans="1:19" x14ac:dyDescent="0.25">
      <c r="A108" s="1">
        <v>102</v>
      </c>
      <c r="B108" s="1"/>
      <c r="C108" s="7" t="s">
        <v>39</v>
      </c>
      <c r="D108" s="17">
        <v>26413</v>
      </c>
      <c r="E108" s="7" t="s">
        <v>13</v>
      </c>
      <c r="F108" s="7" t="s">
        <v>138</v>
      </c>
      <c r="G108" s="7" t="s">
        <v>148</v>
      </c>
      <c r="H108" s="8" t="s">
        <v>35</v>
      </c>
      <c r="I108" s="8">
        <v>389970</v>
      </c>
      <c r="J108" s="7" t="s">
        <v>69</v>
      </c>
      <c r="K108" s="27">
        <v>8</v>
      </c>
      <c r="L108" s="27">
        <v>1</v>
      </c>
      <c r="M108" s="27">
        <v>20</v>
      </c>
      <c r="N108" s="18" t="s">
        <v>182</v>
      </c>
      <c r="O108" s="18" t="s">
        <v>182</v>
      </c>
      <c r="P108" s="8" t="s">
        <v>173</v>
      </c>
      <c r="Q108" s="8"/>
      <c r="R108" s="18"/>
      <c r="S108" s="18"/>
    </row>
    <row r="109" spans="1:19" x14ac:dyDescent="0.25">
      <c r="A109" s="1">
        <v>103</v>
      </c>
      <c r="B109" s="1"/>
      <c r="C109" s="7" t="s">
        <v>39</v>
      </c>
      <c r="D109" s="17">
        <v>24917</v>
      </c>
      <c r="E109" s="7" t="s">
        <v>7</v>
      </c>
      <c r="F109" s="7" t="s">
        <v>78</v>
      </c>
      <c r="G109" s="7" t="s">
        <v>79</v>
      </c>
      <c r="H109" s="8" t="s">
        <v>35</v>
      </c>
      <c r="I109" s="8">
        <v>354951</v>
      </c>
      <c r="J109" s="7" t="s">
        <v>63</v>
      </c>
      <c r="K109" s="27">
        <v>16</v>
      </c>
      <c r="L109" s="27">
        <v>2</v>
      </c>
      <c r="M109" s="27">
        <v>1</v>
      </c>
      <c r="N109" s="18" t="s">
        <v>180</v>
      </c>
      <c r="O109" s="18" t="s">
        <v>182</v>
      </c>
      <c r="P109" s="8" t="s">
        <v>173</v>
      </c>
      <c r="Q109" s="8"/>
      <c r="R109" s="18"/>
      <c r="S109" s="18"/>
    </row>
    <row r="110" spans="1:19" x14ac:dyDescent="0.25">
      <c r="A110" s="1">
        <v>104</v>
      </c>
      <c r="B110" s="1"/>
      <c r="C110" s="7" t="s">
        <v>39</v>
      </c>
      <c r="D110" s="17">
        <v>26396</v>
      </c>
      <c r="E110" s="7" t="s">
        <v>13</v>
      </c>
      <c r="F110" s="7" t="s">
        <v>138</v>
      </c>
      <c r="G110" s="7" t="s">
        <v>34</v>
      </c>
      <c r="H110" s="8" t="s">
        <v>72</v>
      </c>
      <c r="I110" s="8">
        <v>510745</v>
      </c>
      <c r="J110" s="7" t="s">
        <v>66</v>
      </c>
      <c r="K110" s="27">
        <v>8</v>
      </c>
      <c r="L110" s="27">
        <v>1</v>
      </c>
      <c r="M110" s="27">
        <v>10</v>
      </c>
      <c r="N110" s="18" t="s">
        <v>182</v>
      </c>
      <c r="O110" s="18" t="s">
        <v>183</v>
      </c>
      <c r="P110" s="8" t="s">
        <v>173</v>
      </c>
      <c r="Q110" s="8"/>
      <c r="R110" s="18"/>
      <c r="S110" s="18"/>
    </row>
    <row r="111" spans="1:19" x14ac:dyDescent="0.25">
      <c r="A111" s="1">
        <v>105</v>
      </c>
      <c r="B111" s="1"/>
      <c r="C111" s="7" t="s">
        <v>39</v>
      </c>
      <c r="D111" s="17">
        <v>26390</v>
      </c>
      <c r="E111" s="7" t="s">
        <v>13</v>
      </c>
      <c r="F111" s="7" t="s">
        <v>138</v>
      </c>
      <c r="G111" s="7" t="s">
        <v>34</v>
      </c>
      <c r="H111" s="8" t="s">
        <v>35</v>
      </c>
      <c r="I111" s="8">
        <v>374253</v>
      </c>
      <c r="J111" s="7" t="s">
        <v>41</v>
      </c>
      <c r="K111" s="27">
        <v>8</v>
      </c>
      <c r="L111" s="27">
        <v>1</v>
      </c>
      <c r="M111" s="27">
        <v>20</v>
      </c>
      <c r="N111" s="18" t="s">
        <v>184</v>
      </c>
      <c r="O111" s="18" t="s">
        <v>184</v>
      </c>
      <c r="P111" s="8" t="s">
        <v>173</v>
      </c>
      <c r="Q111" s="8"/>
      <c r="R111" s="18"/>
      <c r="S111" s="18"/>
    </row>
    <row r="112" spans="1:19" x14ac:dyDescent="0.25">
      <c r="A112" s="1">
        <v>106</v>
      </c>
      <c r="B112" s="1"/>
      <c r="C112" s="7" t="s">
        <v>39</v>
      </c>
      <c r="D112" s="17">
        <v>27351</v>
      </c>
      <c r="E112" s="7" t="s">
        <v>14</v>
      </c>
      <c r="F112" s="7" t="s">
        <v>81</v>
      </c>
      <c r="G112" s="7" t="s">
        <v>40</v>
      </c>
      <c r="H112" s="7" t="s">
        <v>35</v>
      </c>
      <c r="I112" s="7">
        <v>419491</v>
      </c>
      <c r="J112" s="7" t="s">
        <v>82</v>
      </c>
      <c r="K112" s="24">
        <v>24</v>
      </c>
      <c r="L112" s="24">
        <v>3</v>
      </c>
      <c r="M112" s="24">
        <v>11</v>
      </c>
      <c r="N112" s="8" t="s">
        <v>183</v>
      </c>
      <c r="O112" s="8" t="s">
        <v>184</v>
      </c>
      <c r="P112" s="8" t="s">
        <v>173</v>
      </c>
      <c r="Q112" s="8"/>
      <c r="R112" s="18"/>
      <c r="S112" s="18"/>
    </row>
    <row r="113" spans="1:19" x14ac:dyDescent="0.25">
      <c r="A113" s="1">
        <v>107</v>
      </c>
      <c r="B113" s="1"/>
      <c r="C113" s="7" t="s">
        <v>39</v>
      </c>
      <c r="D113" s="17">
        <v>26376</v>
      </c>
      <c r="E113" s="7" t="s">
        <v>13</v>
      </c>
      <c r="F113" s="7" t="s">
        <v>138</v>
      </c>
      <c r="G113" s="7" t="s">
        <v>34</v>
      </c>
      <c r="H113" s="8" t="s">
        <v>35</v>
      </c>
      <c r="I113" s="8">
        <v>374253</v>
      </c>
      <c r="J113" s="7" t="s">
        <v>41</v>
      </c>
      <c r="K113" s="27">
        <v>8</v>
      </c>
      <c r="L113" s="27">
        <v>1</v>
      </c>
      <c r="M113" s="27">
        <v>20</v>
      </c>
      <c r="N113" s="18" t="s">
        <v>185</v>
      </c>
      <c r="O113" s="18" t="s">
        <v>185</v>
      </c>
      <c r="P113" s="8" t="s">
        <v>173</v>
      </c>
      <c r="Q113" s="8"/>
      <c r="R113" s="18"/>
      <c r="S113" s="18"/>
    </row>
    <row r="114" spans="1:19" x14ac:dyDescent="0.25">
      <c r="A114" s="1">
        <v>108</v>
      </c>
      <c r="B114" s="1"/>
      <c r="C114" s="7" t="s">
        <v>39</v>
      </c>
      <c r="D114" s="17">
        <v>22121</v>
      </c>
      <c r="E114" s="7" t="s">
        <v>13</v>
      </c>
      <c r="F114" s="7" t="s">
        <v>186</v>
      </c>
      <c r="G114" s="7" t="s">
        <v>79</v>
      </c>
      <c r="H114" s="8" t="s">
        <v>72</v>
      </c>
      <c r="I114" s="8">
        <v>354951</v>
      </c>
      <c r="J114" s="7" t="s">
        <v>63</v>
      </c>
      <c r="K114" s="27">
        <v>16</v>
      </c>
      <c r="L114" s="27">
        <v>2</v>
      </c>
      <c r="M114" s="27">
        <v>11</v>
      </c>
      <c r="N114" s="18" t="s">
        <v>185</v>
      </c>
      <c r="O114" s="18" t="s">
        <v>187</v>
      </c>
      <c r="P114" s="8" t="s">
        <v>173</v>
      </c>
      <c r="Q114" s="8"/>
      <c r="R114" s="18"/>
      <c r="S114" s="18"/>
    </row>
    <row r="115" spans="1:19" x14ac:dyDescent="0.25">
      <c r="A115" s="1">
        <v>109</v>
      </c>
      <c r="B115" s="1"/>
      <c r="C115" s="7" t="s">
        <v>39</v>
      </c>
      <c r="D115" s="17">
        <v>21437</v>
      </c>
      <c r="E115" s="7" t="s">
        <v>13</v>
      </c>
      <c r="F115" s="7" t="s">
        <v>74</v>
      </c>
      <c r="G115" s="7" t="s">
        <v>79</v>
      </c>
      <c r="H115" s="8" t="s">
        <v>35</v>
      </c>
      <c r="I115" s="8">
        <v>389970</v>
      </c>
      <c r="J115" s="7" t="s">
        <v>69</v>
      </c>
      <c r="K115" s="27">
        <v>16</v>
      </c>
      <c r="L115" s="27">
        <v>2</v>
      </c>
      <c r="M115" s="27">
        <v>18</v>
      </c>
      <c r="N115" s="18" t="s">
        <v>185</v>
      </c>
      <c r="O115" s="18" t="s">
        <v>187</v>
      </c>
      <c r="P115" s="8" t="s">
        <v>173</v>
      </c>
      <c r="Q115" s="8"/>
      <c r="R115" s="18"/>
      <c r="S115" s="18"/>
    </row>
    <row r="116" spans="1:19" x14ac:dyDescent="0.25">
      <c r="A116" s="1">
        <v>110</v>
      </c>
      <c r="B116" s="1"/>
      <c r="C116" s="7" t="s">
        <v>39</v>
      </c>
      <c r="D116" s="17">
        <v>26051</v>
      </c>
      <c r="E116" s="7" t="s">
        <v>14</v>
      </c>
      <c r="F116" s="7" t="s">
        <v>81</v>
      </c>
      <c r="G116" s="7" t="s">
        <v>159</v>
      </c>
      <c r="H116" s="7" t="s">
        <v>35</v>
      </c>
      <c r="I116" s="7">
        <v>411339</v>
      </c>
      <c r="J116" s="7" t="s">
        <v>112</v>
      </c>
      <c r="K116" s="24">
        <v>16</v>
      </c>
      <c r="L116" s="24">
        <v>2</v>
      </c>
      <c r="M116" s="24">
        <v>9</v>
      </c>
      <c r="N116" s="8" t="s">
        <v>188</v>
      </c>
      <c r="O116" s="8" t="s">
        <v>189</v>
      </c>
      <c r="P116" s="8" t="s">
        <v>173</v>
      </c>
      <c r="Q116" s="8"/>
      <c r="R116" s="18"/>
      <c r="S116" s="18"/>
    </row>
    <row r="117" spans="1:19" x14ac:dyDescent="0.25">
      <c r="A117" s="1">
        <v>111</v>
      </c>
      <c r="B117" s="1"/>
      <c r="C117" s="7" t="s">
        <v>39</v>
      </c>
      <c r="D117" s="17">
        <v>29696</v>
      </c>
      <c r="E117" s="7" t="s">
        <v>12</v>
      </c>
      <c r="F117" s="7" t="s">
        <v>61</v>
      </c>
      <c r="G117" s="7" t="s">
        <v>34</v>
      </c>
      <c r="H117" s="8" t="s">
        <v>72</v>
      </c>
      <c r="I117" s="8">
        <v>374253</v>
      </c>
      <c r="J117" s="7" t="s">
        <v>41</v>
      </c>
      <c r="K117" s="27">
        <v>8</v>
      </c>
      <c r="L117" s="27">
        <v>2</v>
      </c>
      <c r="M117" s="27">
        <v>4</v>
      </c>
      <c r="N117" s="18" t="s">
        <v>190</v>
      </c>
      <c r="O117" s="18" t="s">
        <v>191</v>
      </c>
      <c r="P117" s="8" t="s">
        <v>173</v>
      </c>
      <c r="Q117" s="8"/>
      <c r="R117" s="18"/>
      <c r="S117" s="18"/>
    </row>
    <row r="118" spans="1:19" x14ac:dyDescent="0.25">
      <c r="A118" s="1">
        <v>112</v>
      </c>
      <c r="B118" s="1"/>
      <c r="C118" s="7" t="s">
        <v>39</v>
      </c>
      <c r="D118" s="17">
        <v>26052</v>
      </c>
      <c r="E118" s="7" t="s">
        <v>14</v>
      </c>
      <c r="F118" s="7" t="s">
        <v>81</v>
      </c>
      <c r="G118" s="7" t="s">
        <v>159</v>
      </c>
      <c r="H118" s="7" t="s">
        <v>35</v>
      </c>
      <c r="I118" s="7">
        <v>411339</v>
      </c>
      <c r="J118" s="7" t="s">
        <v>112</v>
      </c>
      <c r="K118" s="24">
        <v>16</v>
      </c>
      <c r="L118" s="24">
        <v>2</v>
      </c>
      <c r="M118" s="24">
        <v>12</v>
      </c>
      <c r="N118" s="8" t="s">
        <v>190</v>
      </c>
      <c r="O118" s="8" t="s">
        <v>191</v>
      </c>
      <c r="P118" s="8" t="s">
        <v>173</v>
      </c>
      <c r="Q118" s="8"/>
      <c r="R118" s="18"/>
      <c r="S118" s="18"/>
    </row>
    <row r="119" spans="1:19" x14ac:dyDescent="0.25">
      <c r="A119" s="1">
        <v>113</v>
      </c>
      <c r="B119" s="1"/>
      <c r="C119" s="7" t="s">
        <v>39</v>
      </c>
      <c r="D119" s="17">
        <v>26091</v>
      </c>
      <c r="E119" s="7" t="s">
        <v>13</v>
      </c>
      <c r="F119" s="7" t="s">
        <v>138</v>
      </c>
      <c r="G119" s="7" t="s">
        <v>79</v>
      </c>
      <c r="H119" s="8" t="s">
        <v>35</v>
      </c>
      <c r="I119" s="8">
        <v>389970</v>
      </c>
      <c r="J119" s="7" t="s">
        <v>69</v>
      </c>
      <c r="K119" s="27">
        <v>16</v>
      </c>
      <c r="L119" s="27">
        <v>2</v>
      </c>
      <c r="M119" s="27">
        <v>20</v>
      </c>
      <c r="N119" s="18" t="s">
        <v>191</v>
      </c>
      <c r="O119" s="18" t="s">
        <v>192</v>
      </c>
      <c r="P119" s="8" t="s">
        <v>173</v>
      </c>
      <c r="Q119" s="8"/>
      <c r="R119" s="18"/>
      <c r="S119" s="18"/>
    </row>
    <row r="120" spans="1:19" x14ac:dyDescent="0.25">
      <c r="A120" s="1">
        <v>114</v>
      </c>
      <c r="B120" s="1"/>
      <c r="C120" s="7" t="s">
        <v>39</v>
      </c>
      <c r="D120" s="17">
        <v>27353</v>
      </c>
      <c r="E120" s="7" t="s">
        <v>14</v>
      </c>
      <c r="F120" s="7" t="s">
        <v>81</v>
      </c>
      <c r="G120" s="7" t="s">
        <v>40</v>
      </c>
      <c r="H120" s="7" t="s">
        <v>35</v>
      </c>
      <c r="I120" s="7">
        <v>489671</v>
      </c>
      <c r="J120" s="7" t="s">
        <v>98</v>
      </c>
      <c r="K120" s="24">
        <v>24</v>
      </c>
      <c r="L120" s="24">
        <v>3</v>
      </c>
      <c r="M120" s="24">
        <v>11</v>
      </c>
      <c r="N120" s="8" t="s">
        <v>190</v>
      </c>
      <c r="O120" s="8" t="s">
        <v>192</v>
      </c>
      <c r="P120" s="8" t="s">
        <v>173</v>
      </c>
      <c r="Q120" s="8"/>
      <c r="R120" s="18"/>
      <c r="S120" s="18"/>
    </row>
    <row r="121" spans="1:19" x14ac:dyDescent="0.25">
      <c r="A121" s="1">
        <v>115</v>
      </c>
      <c r="B121" s="1"/>
      <c r="C121" s="7" t="s">
        <v>39</v>
      </c>
      <c r="D121" s="17">
        <v>24751</v>
      </c>
      <c r="E121" s="7" t="s">
        <v>7</v>
      </c>
      <c r="F121" s="7" t="s">
        <v>78</v>
      </c>
      <c r="G121" s="7" t="s">
        <v>40</v>
      </c>
      <c r="H121" s="8" t="s">
        <v>35</v>
      </c>
      <c r="I121" s="8">
        <v>354951</v>
      </c>
      <c r="J121" s="7" t="s">
        <v>63</v>
      </c>
      <c r="K121" s="27">
        <v>24</v>
      </c>
      <c r="L121" s="27">
        <v>3</v>
      </c>
      <c r="M121" s="27">
        <v>2</v>
      </c>
      <c r="N121" s="18" t="s">
        <v>191</v>
      </c>
      <c r="O121" s="18" t="s">
        <v>193</v>
      </c>
      <c r="P121" s="8" t="s">
        <v>173</v>
      </c>
      <c r="Q121" s="8"/>
      <c r="R121" s="18"/>
      <c r="S121" s="18"/>
    </row>
    <row r="122" spans="1:19" x14ac:dyDescent="0.25">
      <c r="A122" s="1">
        <v>116</v>
      </c>
      <c r="B122" s="1"/>
      <c r="C122" s="7" t="s">
        <v>39</v>
      </c>
      <c r="D122" s="17">
        <v>26409</v>
      </c>
      <c r="E122" s="7" t="s">
        <v>13</v>
      </c>
      <c r="F122" s="7" t="s">
        <v>138</v>
      </c>
      <c r="G122" s="7" t="s">
        <v>34</v>
      </c>
      <c r="H122" s="8" t="s">
        <v>72</v>
      </c>
      <c r="I122" s="8">
        <v>510745</v>
      </c>
      <c r="J122" s="7" t="s">
        <v>66</v>
      </c>
      <c r="K122" s="27">
        <v>8</v>
      </c>
      <c r="L122" s="27">
        <v>1</v>
      </c>
      <c r="M122" s="27">
        <v>11</v>
      </c>
      <c r="N122" s="18" t="s">
        <v>193</v>
      </c>
      <c r="O122" s="18" t="s">
        <v>194</v>
      </c>
      <c r="P122" s="8" t="s">
        <v>173</v>
      </c>
      <c r="Q122" s="8"/>
      <c r="R122" s="18"/>
      <c r="S122" s="18"/>
    </row>
    <row r="123" spans="1:19" x14ac:dyDescent="0.25">
      <c r="A123" s="1">
        <v>117</v>
      </c>
      <c r="B123" s="1"/>
      <c r="C123" s="7" t="s">
        <v>39</v>
      </c>
      <c r="D123" s="17">
        <v>28025</v>
      </c>
      <c r="E123" s="7" t="s">
        <v>14</v>
      </c>
      <c r="F123" s="7" t="s">
        <v>88</v>
      </c>
      <c r="G123" s="7" t="s">
        <v>94</v>
      </c>
      <c r="H123" s="7" t="s">
        <v>35</v>
      </c>
      <c r="I123" s="7" t="s">
        <v>95</v>
      </c>
      <c r="J123" s="7" t="s">
        <v>96</v>
      </c>
      <c r="K123" s="24">
        <v>16</v>
      </c>
      <c r="L123" s="24">
        <v>2</v>
      </c>
      <c r="M123" s="24">
        <v>13</v>
      </c>
      <c r="N123" s="8" t="s">
        <v>193</v>
      </c>
      <c r="O123" s="8" t="s">
        <v>194</v>
      </c>
      <c r="P123" s="8" t="s">
        <v>173</v>
      </c>
      <c r="Q123" s="8"/>
      <c r="R123" s="18"/>
      <c r="S123" s="18"/>
    </row>
    <row r="124" spans="1:19" x14ac:dyDescent="0.25">
      <c r="A124" s="1">
        <v>118</v>
      </c>
      <c r="B124" s="1"/>
      <c r="C124" s="7" t="s">
        <v>39</v>
      </c>
      <c r="D124" s="17">
        <v>27354</v>
      </c>
      <c r="E124" s="7" t="s">
        <v>14</v>
      </c>
      <c r="F124" s="7" t="s">
        <v>81</v>
      </c>
      <c r="G124" s="7" t="s">
        <v>40</v>
      </c>
      <c r="H124" s="7" t="s">
        <v>35</v>
      </c>
      <c r="I124" s="7">
        <v>489671</v>
      </c>
      <c r="J124" s="7" t="s">
        <v>98</v>
      </c>
      <c r="K124" s="24">
        <v>24</v>
      </c>
      <c r="L124" s="24">
        <v>3</v>
      </c>
      <c r="M124" s="24">
        <v>9</v>
      </c>
      <c r="N124" s="8" t="s">
        <v>194</v>
      </c>
      <c r="O124" s="8" t="s">
        <v>195</v>
      </c>
      <c r="P124" s="8" t="s">
        <v>173</v>
      </c>
      <c r="Q124" s="8"/>
      <c r="R124" s="18"/>
      <c r="S124" s="18"/>
    </row>
    <row r="125" spans="1:19" s="16" customFormat="1" x14ac:dyDescent="0.25">
      <c r="A125" s="1">
        <v>119</v>
      </c>
      <c r="B125" s="1"/>
      <c r="C125" s="7" t="s">
        <v>39</v>
      </c>
      <c r="D125" s="17">
        <v>26095</v>
      </c>
      <c r="E125" s="7" t="s">
        <v>13</v>
      </c>
      <c r="F125" s="7" t="s">
        <v>138</v>
      </c>
      <c r="G125" s="7" t="s">
        <v>79</v>
      </c>
      <c r="H125" s="8" t="s">
        <v>35</v>
      </c>
      <c r="I125" s="8">
        <v>389970</v>
      </c>
      <c r="J125" s="7" t="s">
        <v>69</v>
      </c>
      <c r="K125" s="27">
        <v>16</v>
      </c>
      <c r="L125" s="27">
        <v>2</v>
      </c>
      <c r="M125" s="27">
        <v>20</v>
      </c>
      <c r="N125" s="18" t="s">
        <v>195</v>
      </c>
      <c r="O125" s="18" t="s">
        <v>196</v>
      </c>
      <c r="P125" s="8" t="s">
        <v>173</v>
      </c>
      <c r="Q125" s="8"/>
      <c r="R125" s="18"/>
      <c r="S125" s="18"/>
    </row>
    <row r="126" spans="1:19" x14ac:dyDescent="0.25">
      <c r="A126" s="1">
        <v>120</v>
      </c>
      <c r="B126" s="1"/>
      <c r="C126" s="7" t="s">
        <v>39</v>
      </c>
      <c r="D126" s="17">
        <v>28129</v>
      </c>
      <c r="E126" s="7" t="s">
        <v>13</v>
      </c>
      <c r="F126" s="7" t="s">
        <v>138</v>
      </c>
      <c r="G126" s="7" t="s">
        <v>94</v>
      </c>
      <c r="H126" s="8" t="s">
        <v>35</v>
      </c>
      <c r="I126" s="8">
        <v>510745</v>
      </c>
      <c r="J126" s="7" t="s">
        <v>66</v>
      </c>
      <c r="K126" s="27">
        <v>16</v>
      </c>
      <c r="L126" s="27">
        <v>2</v>
      </c>
      <c r="M126" s="27">
        <v>6</v>
      </c>
      <c r="N126" s="18" t="s">
        <v>195</v>
      </c>
      <c r="O126" s="18" t="s">
        <v>196</v>
      </c>
      <c r="P126" s="8" t="s">
        <v>173</v>
      </c>
      <c r="Q126" s="8"/>
      <c r="R126" s="18"/>
      <c r="S126" s="18"/>
    </row>
    <row r="127" spans="1:19" x14ac:dyDescent="0.25">
      <c r="A127" s="1">
        <v>121</v>
      </c>
      <c r="B127" s="1"/>
      <c r="C127" s="7" t="s">
        <v>39</v>
      </c>
      <c r="D127" s="17">
        <v>26403</v>
      </c>
      <c r="E127" s="7" t="s">
        <v>13</v>
      </c>
      <c r="F127" s="7" t="s">
        <v>138</v>
      </c>
      <c r="G127" s="7" t="s">
        <v>34</v>
      </c>
      <c r="H127" s="8" t="s">
        <v>72</v>
      </c>
      <c r="I127" s="8">
        <v>458886</v>
      </c>
      <c r="J127" s="7" t="s">
        <v>75</v>
      </c>
      <c r="K127" s="27">
        <v>8</v>
      </c>
      <c r="L127" s="27">
        <v>1</v>
      </c>
      <c r="M127" s="27">
        <v>15</v>
      </c>
      <c r="N127" s="18" t="s">
        <v>197</v>
      </c>
      <c r="O127" s="18" t="s">
        <v>197</v>
      </c>
      <c r="P127" s="8" t="s">
        <v>173</v>
      </c>
      <c r="Q127" s="8"/>
      <c r="R127" s="18"/>
      <c r="S127" s="18"/>
    </row>
    <row r="128" spans="1:19" x14ac:dyDescent="0.25">
      <c r="A128" s="1">
        <v>122</v>
      </c>
      <c r="B128" s="1"/>
      <c r="C128" s="7" t="s">
        <v>39</v>
      </c>
      <c r="D128" s="17">
        <v>24920</v>
      </c>
      <c r="E128" s="7" t="s">
        <v>7</v>
      </c>
      <c r="F128" s="7" t="s">
        <v>78</v>
      </c>
      <c r="G128" s="7" t="s">
        <v>79</v>
      </c>
      <c r="H128" s="8" t="s">
        <v>35</v>
      </c>
      <c r="I128" s="8">
        <v>354951</v>
      </c>
      <c r="J128" s="7" t="s">
        <v>63</v>
      </c>
      <c r="K128" s="27">
        <v>16</v>
      </c>
      <c r="L128" s="27">
        <v>2</v>
      </c>
      <c r="M128" s="27">
        <v>1</v>
      </c>
      <c r="N128" s="18" t="s">
        <v>196</v>
      </c>
      <c r="O128" s="18" t="s">
        <v>197</v>
      </c>
      <c r="P128" s="8" t="s">
        <v>173</v>
      </c>
      <c r="Q128" s="8"/>
      <c r="R128" s="18"/>
      <c r="S128" s="18"/>
    </row>
    <row r="129" spans="1:19" x14ac:dyDescent="0.25">
      <c r="A129" s="1">
        <v>123</v>
      </c>
      <c r="B129" s="1"/>
      <c r="C129" s="7" t="s">
        <v>39</v>
      </c>
      <c r="D129" s="17">
        <v>26098</v>
      </c>
      <c r="E129" s="7" t="s">
        <v>13</v>
      </c>
      <c r="F129" s="7" t="s">
        <v>138</v>
      </c>
      <c r="G129" s="7" t="s">
        <v>79</v>
      </c>
      <c r="H129" s="8" t="s">
        <v>35</v>
      </c>
      <c r="I129" s="8">
        <v>389970</v>
      </c>
      <c r="J129" s="7" t="s">
        <v>69</v>
      </c>
      <c r="K129" s="27">
        <v>16</v>
      </c>
      <c r="L129" s="27">
        <v>2</v>
      </c>
      <c r="M129" s="27">
        <v>20</v>
      </c>
      <c r="N129" s="18" t="s">
        <v>197</v>
      </c>
      <c r="O129" s="18" t="s">
        <v>198</v>
      </c>
      <c r="P129" s="8" t="s">
        <v>173</v>
      </c>
      <c r="Q129" s="8"/>
      <c r="R129" s="18"/>
      <c r="S129" s="18"/>
    </row>
    <row r="130" spans="1:19" x14ac:dyDescent="0.25">
      <c r="A130" s="1">
        <v>124</v>
      </c>
      <c r="B130" s="1"/>
      <c r="C130" s="7" t="s">
        <v>39</v>
      </c>
      <c r="D130" s="17">
        <v>26040</v>
      </c>
      <c r="E130" s="7" t="s">
        <v>14</v>
      </c>
      <c r="F130" s="7" t="s">
        <v>81</v>
      </c>
      <c r="G130" s="7" t="s">
        <v>199</v>
      </c>
      <c r="H130" s="7" t="s">
        <v>35</v>
      </c>
      <c r="I130" s="7">
        <v>354951</v>
      </c>
      <c r="J130" s="7" t="s">
        <v>63</v>
      </c>
      <c r="K130" s="24">
        <v>8</v>
      </c>
      <c r="L130" s="24">
        <v>1</v>
      </c>
      <c r="M130" s="24">
        <v>5</v>
      </c>
      <c r="N130" s="8" t="s">
        <v>198</v>
      </c>
      <c r="O130" s="8" t="s">
        <v>198</v>
      </c>
      <c r="P130" s="8" t="s">
        <v>173</v>
      </c>
      <c r="Q130" s="8"/>
      <c r="R130" s="18"/>
      <c r="S130" s="18"/>
    </row>
    <row r="131" spans="1:19" x14ac:dyDescent="0.25">
      <c r="A131" s="1">
        <v>125</v>
      </c>
      <c r="B131" s="1"/>
      <c r="C131" s="7" t="s">
        <v>39</v>
      </c>
      <c r="D131" s="17">
        <v>26044</v>
      </c>
      <c r="E131" s="7" t="s">
        <v>14</v>
      </c>
      <c r="F131" s="7" t="s">
        <v>81</v>
      </c>
      <c r="G131" s="7" t="s">
        <v>62</v>
      </c>
      <c r="H131" s="7" t="s">
        <v>35</v>
      </c>
      <c r="I131" s="7">
        <v>316048</v>
      </c>
      <c r="J131" s="7" t="s">
        <v>122</v>
      </c>
      <c r="K131" s="24">
        <v>24</v>
      </c>
      <c r="L131" s="24">
        <v>3</v>
      </c>
      <c r="M131" s="24">
        <v>12</v>
      </c>
      <c r="N131" s="8" t="s">
        <v>197</v>
      </c>
      <c r="O131" s="8" t="s">
        <v>200</v>
      </c>
      <c r="P131" s="8" t="s">
        <v>173</v>
      </c>
      <c r="Q131" s="8"/>
      <c r="R131" s="18"/>
      <c r="S131" s="18"/>
    </row>
    <row r="132" spans="1:19" x14ac:dyDescent="0.25">
      <c r="A132" s="1">
        <v>126</v>
      </c>
      <c r="B132" s="1"/>
      <c r="C132" s="7" t="s">
        <v>39</v>
      </c>
      <c r="D132" s="17">
        <v>26406</v>
      </c>
      <c r="E132" s="7" t="s">
        <v>13</v>
      </c>
      <c r="F132" s="7" t="s">
        <v>138</v>
      </c>
      <c r="G132" s="7" t="s">
        <v>34</v>
      </c>
      <c r="H132" s="8" t="s">
        <v>72</v>
      </c>
      <c r="I132" s="8">
        <v>510745</v>
      </c>
      <c r="J132" s="7" t="s">
        <v>66</v>
      </c>
      <c r="K132" s="27">
        <v>8</v>
      </c>
      <c r="L132" s="27">
        <v>1</v>
      </c>
      <c r="M132" s="27">
        <v>8</v>
      </c>
      <c r="N132" s="18" t="s">
        <v>200</v>
      </c>
      <c r="O132" s="18" t="s">
        <v>201</v>
      </c>
      <c r="P132" s="8" t="s">
        <v>202</v>
      </c>
      <c r="Q132" s="8"/>
      <c r="R132" s="18"/>
      <c r="S132" s="18"/>
    </row>
    <row r="133" spans="1:19" x14ac:dyDescent="0.25">
      <c r="A133" s="1">
        <v>127</v>
      </c>
      <c r="B133" s="1"/>
      <c r="C133" s="7" t="s">
        <v>39</v>
      </c>
      <c r="D133" s="17">
        <v>26407</v>
      </c>
      <c r="E133" s="7" t="s">
        <v>13</v>
      </c>
      <c r="F133" s="7" t="s">
        <v>138</v>
      </c>
      <c r="G133" s="7" t="s">
        <v>34</v>
      </c>
      <c r="H133" s="8" t="s">
        <v>72</v>
      </c>
      <c r="I133" s="8">
        <v>350060</v>
      </c>
      <c r="J133" s="7" t="s">
        <v>36</v>
      </c>
      <c r="K133" s="27">
        <v>8</v>
      </c>
      <c r="L133" s="27">
        <v>1</v>
      </c>
      <c r="M133" s="27">
        <v>11</v>
      </c>
      <c r="N133" s="18" t="s">
        <v>200</v>
      </c>
      <c r="O133" s="18" t="s">
        <v>201</v>
      </c>
      <c r="P133" s="8" t="s">
        <v>202</v>
      </c>
      <c r="Q133" s="8"/>
      <c r="R133" s="18"/>
      <c r="S133" s="18"/>
    </row>
    <row r="134" spans="1:19" x14ac:dyDescent="0.25">
      <c r="A134" s="1">
        <v>128</v>
      </c>
      <c r="B134" s="1"/>
      <c r="C134" s="7" t="s">
        <v>39</v>
      </c>
      <c r="D134" s="17">
        <v>27355</v>
      </c>
      <c r="E134" s="7" t="s">
        <v>14</v>
      </c>
      <c r="F134" s="7" t="s">
        <v>81</v>
      </c>
      <c r="G134" s="7" t="s">
        <v>40</v>
      </c>
      <c r="H134" s="7" t="s">
        <v>35</v>
      </c>
      <c r="I134" s="7">
        <v>419491</v>
      </c>
      <c r="J134" s="7" t="s">
        <v>82</v>
      </c>
      <c r="K134" s="24">
        <v>24</v>
      </c>
      <c r="L134" s="24">
        <v>3</v>
      </c>
      <c r="M134" s="24">
        <v>12</v>
      </c>
      <c r="N134" s="8" t="s">
        <v>198</v>
      </c>
      <c r="O134" s="8" t="s">
        <v>201</v>
      </c>
      <c r="P134" s="8" t="s">
        <v>173</v>
      </c>
      <c r="Q134" s="8"/>
      <c r="R134" s="18"/>
      <c r="S134" s="18"/>
    </row>
    <row r="135" spans="1:19" x14ac:dyDescent="0.25">
      <c r="A135" s="1">
        <v>129</v>
      </c>
      <c r="B135" s="1"/>
      <c r="C135" s="7" t="s">
        <v>39</v>
      </c>
      <c r="D135" s="17">
        <v>26375</v>
      </c>
      <c r="E135" s="7" t="s">
        <v>13</v>
      </c>
      <c r="F135" s="7" t="s">
        <v>138</v>
      </c>
      <c r="G135" s="7" t="s">
        <v>34</v>
      </c>
      <c r="H135" s="8" t="s">
        <v>72</v>
      </c>
      <c r="I135" s="8">
        <v>510745</v>
      </c>
      <c r="J135" s="7" t="s">
        <v>66</v>
      </c>
      <c r="K135" s="27">
        <v>8</v>
      </c>
      <c r="L135" s="27">
        <v>1</v>
      </c>
      <c r="M135" s="27">
        <v>20</v>
      </c>
      <c r="N135" s="18" t="s">
        <v>203</v>
      </c>
      <c r="O135" s="18" t="s">
        <v>204</v>
      </c>
      <c r="P135" s="8" t="s">
        <v>202</v>
      </c>
      <c r="Q135" s="8"/>
      <c r="R135" s="18"/>
      <c r="S135" s="18"/>
    </row>
    <row r="136" spans="1:19" x14ac:dyDescent="0.25">
      <c r="A136" s="1">
        <v>130</v>
      </c>
      <c r="B136" s="1"/>
      <c r="C136" s="7" t="s">
        <v>39</v>
      </c>
      <c r="D136" s="17">
        <v>28029</v>
      </c>
      <c r="E136" s="7" t="s">
        <v>14</v>
      </c>
      <c r="F136" s="7" t="s">
        <v>88</v>
      </c>
      <c r="G136" s="7" t="s">
        <v>94</v>
      </c>
      <c r="H136" s="7" t="s">
        <v>35</v>
      </c>
      <c r="I136" s="7" t="s">
        <v>95</v>
      </c>
      <c r="J136" s="7" t="s">
        <v>96</v>
      </c>
      <c r="K136" s="24">
        <v>16</v>
      </c>
      <c r="L136" s="24">
        <v>2</v>
      </c>
      <c r="M136" s="24">
        <v>3</v>
      </c>
      <c r="N136" s="8" t="s">
        <v>203</v>
      </c>
      <c r="O136" s="8" t="s">
        <v>204</v>
      </c>
      <c r="P136" s="8" t="s">
        <v>202</v>
      </c>
      <c r="Q136" s="8"/>
      <c r="R136" s="18"/>
      <c r="S136" s="18"/>
    </row>
    <row r="137" spans="1:19" x14ac:dyDescent="0.25">
      <c r="A137" s="1">
        <v>131</v>
      </c>
      <c r="B137" s="1"/>
      <c r="C137" s="7" t="s">
        <v>39</v>
      </c>
      <c r="D137" s="17">
        <v>26093</v>
      </c>
      <c r="E137" s="7" t="s">
        <v>13</v>
      </c>
      <c r="F137" s="7" t="s">
        <v>138</v>
      </c>
      <c r="G137" s="7" t="s">
        <v>79</v>
      </c>
      <c r="H137" s="8" t="s">
        <v>35</v>
      </c>
      <c r="I137" s="8">
        <v>389970</v>
      </c>
      <c r="J137" s="7" t="s">
        <v>69</v>
      </c>
      <c r="K137" s="27">
        <v>16</v>
      </c>
      <c r="L137" s="27">
        <v>2</v>
      </c>
      <c r="M137" s="27">
        <v>20</v>
      </c>
      <c r="N137" s="18" t="s">
        <v>204</v>
      </c>
      <c r="O137" s="18" t="s">
        <v>205</v>
      </c>
      <c r="P137" s="8" t="s">
        <v>202</v>
      </c>
      <c r="Q137" s="8"/>
      <c r="R137" s="18"/>
      <c r="S137" s="18"/>
    </row>
    <row r="138" spans="1:19" x14ac:dyDescent="0.25">
      <c r="A138" s="1">
        <v>132</v>
      </c>
      <c r="B138" s="1"/>
      <c r="C138" s="7" t="s">
        <v>39</v>
      </c>
      <c r="D138" s="17">
        <v>27356</v>
      </c>
      <c r="E138" s="7" t="s">
        <v>14</v>
      </c>
      <c r="F138" s="7" t="s">
        <v>81</v>
      </c>
      <c r="G138" s="7" t="s">
        <v>40</v>
      </c>
      <c r="H138" s="7" t="s">
        <v>35</v>
      </c>
      <c r="I138" s="7">
        <v>419491</v>
      </c>
      <c r="J138" s="7" t="s">
        <v>82</v>
      </c>
      <c r="K138" s="24">
        <v>24</v>
      </c>
      <c r="L138" s="24">
        <v>3</v>
      </c>
      <c r="M138" s="24">
        <v>9</v>
      </c>
      <c r="N138" s="8" t="s">
        <v>203</v>
      </c>
      <c r="O138" s="8" t="s">
        <v>205</v>
      </c>
      <c r="P138" s="8" t="s">
        <v>202</v>
      </c>
      <c r="Q138" s="8"/>
      <c r="R138" s="18"/>
      <c r="S138" s="18"/>
    </row>
    <row r="139" spans="1:19" x14ac:dyDescent="0.25">
      <c r="A139" s="1">
        <v>133</v>
      </c>
      <c r="B139" s="1"/>
      <c r="C139" s="7" t="s">
        <v>39</v>
      </c>
      <c r="D139" s="17">
        <v>24752</v>
      </c>
      <c r="E139" s="7" t="s">
        <v>7</v>
      </c>
      <c r="F139" s="7" t="s">
        <v>78</v>
      </c>
      <c r="G139" s="7" t="s">
        <v>40</v>
      </c>
      <c r="H139" s="8" t="s">
        <v>35</v>
      </c>
      <c r="I139" s="8">
        <v>354951</v>
      </c>
      <c r="J139" s="7" t="s">
        <v>63</v>
      </c>
      <c r="K139" s="27">
        <v>24</v>
      </c>
      <c r="L139" s="27">
        <v>3</v>
      </c>
      <c r="M139" s="27">
        <v>1</v>
      </c>
      <c r="N139" s="18" t="s">
        <v>204</v>
      </c>
      <c r="O139" s="18" t="s">
        <v>206</v>
      </c>
      <c r="P139" s="8" t="s">
        <v>202</v>
      </c>
      <c r="Q139" s="8"/>
      <c r="R139" s="18"/>
      <c r="S139" s="18"/>
    </row>
    <row r="140" spans="1:19" x14ac:dyDescent="0.25">
      <c r="A140" s="1">
        <v>134</v>
      </c>
      <c r="B140" s="1"/>
      <c r="C140" s="7" t="s">
        <v>39</v>
      </c>
      <c r="D140" s="17">
        <v>26045</v>
      </c>
      <c r="E140" s="7" t="s">
        <v>14</v>
      </c>
      <c r="F140" s="7" t="s">
        <v>81</v>
      </c>
      <c r="G140" s="7" t="s">
        <v>62</v>
      </c>
      <c r="H140" s="7" t="s">
        <v>35</v>
      </c>
      <c r="I140" s="7">
        <v>316048</v>
      </c>
      <c r="J140" s="7" t="s">
        <v>122</v>
      </c>
      <c r="K140" s="24">
        <v>24</v>
      </c>
      <c r="L140" s="24">
        <v>3</v>
      </c>
      <c r="M140" s="24">
        <v>7</v>
      </c>
      <c r="N140" s="8" t="s">
        <v>206</v>
      </c>
      <c r="O140" s="8" t="s">
        <v>207</v>
      </c>
      <c r="P140" s="8" t="s">
        <v>202</v>
      </c>
      <c r="Q140" s="8"/>
      <c r="R140" s="18"/>
      <c r="S140" s="18"/>
    </row>
    <row r="141" spans="1:19" x14ac:dyDescent="0.25">
      <c r="A141" s="1">
        <v>135</v>
      </c>
      <c r="B141" s="1"/>
      <c r="C141" s="7" t="s">
        <v>39</v>
      </c>
      <c r="D141" s="17">
        <v>26391</v>
      </c>
      <c r="E141" s="7" t="s">
        <v>13</v>
      </c>
      <c r="F141" s="7" t="s">
        <v>138</v>
      </c>
      <c r="G141" s="7" t="s">
        <v>34</v>
      </c>
      <c r="H141" s="8" t="s">
        <v>35</v>
      </c>
      <c r="I141" s="8">
        <v>374253</v>
      </c>
      <c r="J141" s="7" t="s">
        <v>41</v>
      </c>
      <c r="K141" s="27">
        <v>8</v>
      </c>
      <c r="L141" s="27">
        <v>1</v>
      </c>
      <c r="M141" s="27">
        <v>20</v>
      </c>
      <c r="N141" s="18" t="s">
        <v>208</v>
      </c>
      <c r="O141" s="18" t="s">
        <v>208</v>
      </c>
      <c r="P141" s="8" t="s">
        <v>202</v>
      </c>
      <c r="Q141" s="8"/>
      <c r="R141" s="18"/>
      <c r="S141" s="18"/>
    </row>
    <row r="142" spans="1:19" x14ac:dyDescent="0.25">
      <c r="A142" s="1">
        <v>136</v>
      </c>
      <c r="B142" s="1"/>
      <c r="C142" s="7" t="s">
        <v>39</v>
      </c>
      <c r="D142" s="17">
        <v>21438</v>
      </c>
      <c r="E142" s="7" t="s">
        <v>13</v>
      </c>
      <c r="F142" s="7" t="s">
        <v>74</v>
      </c>
      <c r="G142" s="7" t="s">
        <v>79</v>
      </c>
      <c r="H142" s="8" t="s">
        <v>35</v>
      </c>
      <c r="I142" s="8">
        <v>389970</v>
      </c>
      <c r="J142" s="7" t="s">
        <v>69</v>
      </c>
      <c r="K142" s="27">
        <v>16</v>
      </c>
      <c r="L142" s="27">
        <v>2</v>
      </c>
      <c r="M142" s="27">
        <v>8</v>
      </c>
      <c r="N142" s="18" t="s">
        <v>209</v>
      </c>
      <c r="O142" s="18" t="s">
        <v>210</v>
      </c>
      <c r="P142" s="8" t="s">
        <v>202</v>
      </c>
      <c r="Q142" s="8"/>
      <c r="R142" s="18"/>
      <c r="S142" s="18"/>
    </row>
    <row r="143" spans="1:19" x14ac:dyDescent="0.25">
      <c r="A143" s="1">
        <v>137</v>
      </c>
      <c r="B143" s="1"/>
      <c r="C143" s="7" t="s">
        <v>39</v>
      </c>
      <c r="D143" s="17">
        <v>26417</v>
      </c>
      <c r="E143" s="7" t="s">
        <v>13</v>
      </c>
      <c r="F143" s="7" t="s">
        <v>138</v>
      </c>
      <c r="G143" s="7" t="s">
        <v>148</v>
      </c>
      <c r="H143" s="8" t="s">
        <v>35</v>
      </c>
      <c r="I143" s="8">
        <v>354951</v>
      </c>
      <c r="J143" s="7" t="s">
        <v>63</v>
      </c>
      <c r="K143" s="27">
        <v>8</v>
      </c>
      <c r="L143" s="27">
        <v>1</v>
      </c>
      <c r="M143" s="27">
        <v>12</v>
      </c>
      <c r="N143" s="18" t="s">
        <v>210</v>
      </c>
      <c r="O143" s="18" t="s">
        <v>210</v>
      </c>
      <c r="P143" s="8" t="s">
        <v>202</v>
      </c>
      <c r="Q143" s="8"/>
      <c r="R143" s="18"/>
      <c r="S143" s="18"/>
    </row>
    <row r="144" spans="1:19" x14ac:dyDescent="0.25">
      <c r="A144" s="1">
        <v>138</v>
      </c>
      <c r="B144" s="1"/>
      <c r="C144" s="7" t="s">
        <v>39</v>
      </c>
      <c r="D144" s="17">
        <v>26385</v>
      </c>
      <c r="E144" s="7" t="s">
        <v>13</v>
      </c>
      <c r="F144" s="7" t="s">
        <v>138</v>
      </c>
      <c r="G144" s="7" t="s">
        <v>34</v>
      </c>
      <c r="H144" s="8" t="s">
        <v>35</v>
      </c>
      <c r="I144" s="8">
        <v>374253</v>
      </c>
      <c r="J144" s="7" t="s">
        <v>41</v>
      </c>
      <c r="K144" s="27">
        <v>8</v>
      </c>
      <c r="L144" s="27">
        <v>1</v>
      </c>
      <c r="M144" s="27">
        <v>20</v>
      </c>
      <c r="N144" s="18" t="s">
        <v>211</v>
      </c>
      <c r="O144" s="18" t="s">
        <v>211</v>
      </c>
      <c r="P144" s="8" t="s">
        <v>202</v>
      </c>
      <c r="Q144" s="8"/>
      <c r="R144" s="18"/>
      <c r="S144" s="18"/>
    </row>
    <row r="145" spans="1:19" x14ac:dyDescent="0.25">
      <c r="A145" s="1">
        <v>139</v>
      </c>
      <c r="B145" s="1"/>
      <c r="C145" s="7" t="s">
        <v>39</v>
      </c>
      <c r="D145" s="17">
        <v>27357</v>
      </c>
      <c r="E145" s="7" t="s">
        <v>14</v>
      </c>
      <c r="F145" s="7" t="s">
        <v>81</v>
      </c>
      <c r="G145" s="7" t="s">
        <v>40</v>
      </c>
      <c r="H145" s="7" t="s">
        <v>35</v>
      </c>
      <c r="I145" s="7">
        <v>489671</v>
      </c>
      <c r="J145" s="7" t="s">
        <v>98</v>
      </c>
      <c r="K145" s="24">
        <v>24</v>
      </c>
      <c r="L145" s="24">
        <v>3</v>
      </c>
      <c r="M145" s="24">
        <v>12</v>
      </c>
      <c r="N145" s="8" t="s">
        <v>210</v>
      </c>
      <c r="O145" s="8" t="s">
        <v>212</v>
      </c>
      <c r="P145" s="8" t="s">
        <v>202</v>
      </c>
      <c r="Q145" s="8"/>
      <c r="R145" s="18"/>
      <c r="S145" s="18"/>
    </row>
    <row r="146" spans="1:19" x14ac:dyDescent="0.25">
      <c r="A146" s="1">
        <v>140</v>
      </c>
      <c r="B146" s="1"/>
      <c r="C146" s="7" t="s">
        <v>39</v>
      </c>
      <c r="D146" s="17">
        <v>24071</v>
      </c>
      <c r="E146" s="7" t="s">
        <v>6</v>
      </c>
      <c r="F146" s="7" t="s">
        <v>33</v>
      </c>
      <c r="G146" s="7" t="s">
        <v>65</v>
      </c>
      <c r="H146" s="8" t="s">
        <v>35</v>
      </c>
      <c r="I146" s="8">
        <v>350060</v>
      </c>
      <c r="J146" s="7" t="s">
        <v>36</v>
      </c>
      <c r="K146" s="27">
        <v>24</v>
      </c>
      <c r="L146" s="27">
        <v>3</v>
      </c>
      <c r="M146" s="27">
        <v>7</v>
      </c>
      <c r="N146" s="18" t="s">
        <v>211</v>
      </c>
      <c r="O146" s="18" t="s">
        <v>213</v>
      </c>
      <c r="P146" s="8" t="s">
        <v>202</v>
      </c>
      <c r="Q146" s="8"/>
      <c r="R146" s="18"/>
      <c r="S146" s="18"/>
    </row>
    <row r="147" spans="1:19" x14ac:dyDescent="0.25">
      <c r="A147" s="1">
        <v>141</v>
      </c>
      <c r="B147" s="1"/>
      <c r="C147" s="7" t="s">
        <v>39</v>
      </c>
      <c r="D147" s="17">
        <v>24835</v>
      </c>
      <c r="E147" s="7" t="s">
        <v>8</v>
      </c>
      <c r="F147" s="7" t="s">
        <v>142</v>
      </c>
      <c r="G147" s="7" t="s">
        <v>159</v>
      </c>
      <c r="H147" s="8" t="s">
        <v>35</v>
      </c>
      <c r="I147" s="8">
        <v>332706</v>
      </c>
      <c r="J147" s="7" t="s">
        <v>214</v>
      </c>
      <c r="K147" s="27">
        <v>16</v>
      </c>
      <c r="L147" s="27">
        <v>2</v>
      </c>
      <c r="M147" s="27">
        <v>2</v>
      </c>
      <c r="N147" s="18" t="s">
        <v>215</v>
      </c>
      <c r="O147" s="18" t="s">
        <v>216</v>
      </c>
      <c r="P147" s="8" t="s">
        <v>202</v>
      </c>
      <c r="Q147" s="8"/>
      <c r="R147" s="18"/>
      <c r="S147" s="18"/>
    </row>
    <row r="148" spans="1:19" x14ac:dyDescent="0.25">
      <c r="A148" s="1">
        <v>142</v>
      </c>
      <c r="B148" s="1"/>
      <c r="C148" s="7" t="s">
        <v>39</v>
      </c>
      <c r="D148" s="17">
        <v>27358</v>
      </c>
      <c r="E148" s="7" t="s">
        <v>14</v>
      </c>
      <c r="F148" s="7" t="s">
        <v>81</v>
      </c>
      <c r="G148" s="7" t="s">
        <v>40</v>
      </c>
      <c r="H148" s="7" t="s">
        <v>35</v>
      </c>
      <c r="I148" s="7">
        <v>489671</v>
      </c>
      <c r="J148" s="7" t="s">
        <v>98</v>
      </c>
      <c r="K148" s="24">
        <v>24</v>
      </c>
      <c r="L148" s="24">
        <v>3</v>
      </c>
      <c r="M148" s="24">
        <v>12</v>
      </c>
      <c r="N148" s="8" t="s">
        <v>217</v>
      </c>
      <c r="O148" s="8" t="s">
        <v>216</v>
      </c>
      <c r="P148" s="8" t="s">
        <v>202</v>
      </c>
      <c r="Q148" s="8"/>
      <c r="R148" s="18"/>
      <c r="S148" s="18"/>
    </row>
    <row r="149" spans="1:19" x14ac:dyDescent="0.25">
      <c r="A149" s="1">
        <v>143</v>
      </c>
      <c r="B149" s="1"/>
      <c r="C149" s="7" t="s">
        <v>39</v>
      </c>
      <c r="D149" s="17">
        <v>26393</v>
      </c>
      <c r="E149" s="7" t="s">
        <v>13</v>
      </c>
      <c r="F149" s="7" t="s">
        <v>138</v>
      </c>
      <c r="G149" s="7" t="s">
        <v>34</v>
      </c>
      <c r="H149" s="8" t="s">
        <v>72</v>
      </c>
      <c r="I149" s="8">
        <v>510745</v>
      </c>
      <c r="J149" s="7" t="s">
        <v>66</v>
      </c>
      <c r="K149" s="27">
        <v>8</v>
      </c>
      <c r="L149" s="27">
        <v>1</v>
      </c>
      <c r="M149" s="27">
        <v>11</v>
      </c>
      <c r="N149" s="18" t="s">
        <v>218</v>
      </c>
      <c r="O149" s="18" t="s">
        <v>219</v>
      </c>
      <c r="P149" s="8" t="s">
        <v>202</v>
      </c>
      <c r="Q149" s="8"/>
      <c r="R149" s="18"/>
      <c r="S149" s="18"/>
    </row>
    <row r="150" spans="1:19" x14ac:dyDescent="0.25">
      <c r="A150" s="1">
        <v>144</v>
      </c>
      <c r="B150" s="1"/>
      <c r="C150" s="7" t="s">
        <v>39</v>
      </c>
      <c r="D150" s="17">
        <v>26387</v>
      </c>
      <c r="E150" s="7" t="s">
        <v>13</v>
      </c>
      <c r="F150" s="7" t="s">
        <v>138</v>
      </c>
      <c r="G150" s="7" t="s">
        <v>34</v>
      </c>
      <c r="H150" s="8" t="s">
        <v>35</v>
      </c>
      <c r="I150" s="8">
        <v>374253</v>
      </c>
      <c r="J150" s="7" t="s">
        <v>41</v>
      </c>
      <c r="K150" s="27">
        <v>8</v>
      </c>
      <c r="L150" s="27">
        <v>1</v>
      </c>
      <c r="M150" s="27">
        <v>20</v>
      </c>
      <c r="N150" s="18" t="s">
        <v>220</v>
      </c>
      <c r="O150" s="18" t="s">
        <v>220</v>
      </c>
      <c r="P150" s="8" t="s">
        <v>202</v>
      </c>
      <c r="Q150" s="8"/>
      <c r="R150" s="18"/>
      <c r="S150" s="18"/>
    </row>
    <row r="151" spans="1:19" x14ac:dyDescent="0.25">
      <c r="A151" s="1">
        <v>145</v>
      </c>
      <c r="B151" s="1"/>
      <c r="C151" s="7" t="s">
        <v>39</v>
      </c>
      <c r="D151" s="17">
        <v>27359</v>
      </c>
      <c r="E151" s="7" t="s">
        <v>14</v>
      </c>
      <c r="F151" s="7" t="s">
        <v>81</v>
      </c>
      <c r="G151" s="7" t="s">
        <v>40</v>
      </c>
      <c r="H151" s="7" t="s">
        <v>35</v>
      </c>
      <c r="I151" s="7">
        <v>489671</v>
      </c>
      <c r="J151" s="7" t="s">
        <v>98</v>
      </c>
      <c r="K151" s="24">
        <v>24</v>
      </c>
      <c r="L151" s="24">
        <v>3</v>
      </c>
      <c r="M151" s="24">
        <v>8</v>
      </c>
      <c r="N151" s="8" t="s">
        <v>219</v>
      </c>
      <c r="O151" s="8" t="s">
        <v>220</v>
      </c>
      <c r="P151" s="8" t="s">
        <v>202</v>
      </c>
      <c r="Q151" s="8"/>
      <c r="R151" s="18"/>
      <c r="S151" s="18"/>
    </row>
    <row r="152" spans="1:19" x14ac:dyDescent="0.25">
      <c r="A152" s="1">
        <v>146</v>
      </c>
      <c r="B152" s="1"/>
      <c r="C152" s="7" t="s">
        <v>39</v>
      </c>
      <c r="D152" s="17">
        <v>22122</v>
      </c>
      <c r="E152" s="7" t="s">
        <v>13</v>
      </c>
      <c r="F152" s="7" t="s">
        <v>186</v>
      </c>
      <c r="G152" s="7" t="s">
        <v>79</v>
      </c>
      <c r="H152" s="8" t="s">
        <v>35</v>
      </c>
      <c r="I152" s="8">
        <v>389970</v>
      </c>
      <c r="J152" s="7" t="s">
        <v>69</v>
      </c>
      <c r="K152" s="27">
        <v>16</v>
      </c>
      <c r="L152" s="27">
        <v>2</v>
      </c>
      <c r="M152" s="27">
        <v>6</v>
      </c>
      <c r="N152" s="18" t="s">
        <v>221</v>
      </c>
      <c r="O152" s="18" t="s">
        <v>222</v>
      </c>
      <c r="P152" s="8" t="s">
        <v>202</v>
      </c>
      <c r="Q152" s="8"/>
      <c r="R152" s="18"/>
      <c r="S152" s="18"/>
    </row>
    <row r="153" spans="1:19" x14ac:dyDescent="0.25">
      <c r="A153" s="1">
        <v>147</v>
      </c>
      <c r="B153" s="1"/>
      <c r="C153" s="7" t="s">
        <v>39</v>
      </c>
      <c r="D153" s="17">
        <v>24083</v>
      </c>
      <c r="E153" s="7" t="s">
        <v>12</v>
      </c>
      <c r="F153" s="7" t="s">
        <v>61</v>
      </c>
      <c r="G153" s="7" t="s">
        <v>223</v>
      </c>
      <c r="H153" s="8" t="s">
        <v>35</v>
      </c>
      <c r="I153" s="8">
        <v>354951</v>
      </c>
      <c r="J153" s="7" t="s">
        <v>63</v>
      </c>
      <c r="K153" s="27">
        <v>16</v>
      </c>
      <c r="L153" s="27">
        <v>2</v>
      </c>
      <c r="M153" s="27">
        <v>13</v>
      </c>
      <c r="N153" s="18" t="s">
        <v>224</v>
      </c>
      <c r="O153" s="18" t="s">
        <v>225</v>
      </c>
      <c r="P153" s="8" t="s">
        <v>202</v>
      </c>
      <c r="Q153" s="8"/>
      <c r="R153" s="18"/>
      <c r="S153" s="18"/>
    </row>
    <row r="154" spans="1:19" x14ac:dyDescent="0.25">
      <c r="A154" s="1">
        <v>148</v>
      </c>
      <c r="B154" s="1"/>
      <c r="C154" s="7" t="s">
        <v>39</v>
      </c>
      <c r="D154" s="17">
        <v>26046</v>
      </c>
      <c r="E154" s="7" t="s">
        <v>14</v>
      </c>
      <c r="F154" s="7" t="s">
        <v>81</v>
      </c>
      <c r="G154" s="7" t="s">
        <v>62</v>
      </c>
      <c r="H154" s="7" t="s">
        <v>35</v>
      </c>
      <c r="I154" s="7">
        <v>316048</v>
      </c>
      <c r="J154" s="7" t="s">
        <v>122</v>
      </c>
      <c r="K154" s="24">
        <v>24</v>
      </c>
      <c r="L154" s="24">
        <v>3</v>
      </c>
      <c r="M154" s="24">
        <v>8</v>
      </c>
      <c r="N154" s="8" t="s">
        <v>222</v>
      </c>
      <c r="O154" s="8" t="s">
        <v>225</v>
      </c>
      <c r="P154" s="8" t="s">
        <v>202</v>
      </c>
      <c r="Q154" s="8"/>
      <c r="R154" s="18"/>
      <c r="S154" s="18"/>
    </row>
    <row r="155" spans="1:19" x14ac:dyDescent="0.25">
      <c r="A155" s="1">
        <v>149</v>
      </c>
      <c r="B155" s="1"/>
      <c r="C155" s="7" t="s">
        <v>39</v>
      </c>
      <c r="D155" s="17">
        <v>26381</v>
      </c>
      <c r="E155" s="7" t="s">
        <v>13</v>
      </c>
      <c r="F155" s="7" t="s">
        <v>138</v>
      </c>
      <c r="G155" s="7" t="s">
        <v>34</v>
      </c>
      <c r="H155" s="8" t="s">
        <v>35</v>
      </c>
      <c r="I155" s="8">
        <v>374253</v>
      </c>
      <c r="J155" s="7" t="s">
        <v>41</v>
      </c>
      <c r="K155" s="27">
        <v>8</v>
      </c>
      <c r="L155" s="27">
        <v>1</v>
      </c>
      <c r="M155" s="27">
        <v>20</v>
      </c>
      <c r="N155" s="18" t="s">
        <v>226</v>
      </c>
      <c r="O155" s="18" t="s">
        <v>226</v>
      </c>
      <c r="P155" s="8" t="s">
        <v>227</v>
      </c>
      <c r="Q155" s="8"/>
      <c r="R155" s="18"/>
      <c r="S155" s="18"/>
    </row>
    <row r="156" spans="1:19" x14ac:dyDescent="0.25">
      <c r="A156" s="1">
        <v>150</v>
      </c>
      <c r="B156" s="1"/>
      <c r="C156" s="7" t="s">
        <v>39</v>
      </c>
      <c r="D156" s="17">
        <v>26384</v>
      </c>
      <c r="E156" s="7" t="s">
        <v>13</v>
      </c>
      <c r="F156" s="7" t="s">
        <v>138</v>
      </c>
      <c r="G156" s="7" t="s">
        <v>34</v>
      </c>
      <c r="H156" s="8" t="s">
        <v>35</v>
      </c>
      <c r="I156" s="8">
        <v>374253</v>
      </c>
      <c r="J156" s="7" t="s">
        <v>41</v>
      </c>
      <c r="K156" s="27">
        <v>8</v>
      </c>
      <c r="L156" s="27">
        <v>1</v>
      </c>
      <c r="M156" s="27">
        <v>20</v>
      </c>
      <c r="N156" s="18" t="s">
        <v>228</v>
      </c>
      <c r="O156" s="18" t="s">
        <v>228</v>
      </c>
      <c r="P156" s="8" t="s">
        <v>227</v>
      </c>
      <c r="Q156" s="8"/>
      <c r="R156" s="18"/>
      <c r="S156" s="18"/>
    </row>
    <row r="157" spans="1:19" x14ac:dyDescent="0.25">
      <c r="A157" s="1">
        <v>151</v>
      </c>
      <c r="B157" s="1"/>
      <c r="C157" s="7" t="s">
        <v>39</v>
      </c>
      <c r="D157" s="17">
        <v>26047</v>
      </c>
      <c r="E157" s="7" t="s">
        <v>14</v>
      </c>
      <c r="F157" s="7" t="s">
        <v>81</v>
      </c>
      <c r="G157" s="7" t="s">
        <v>62</v>
      </c>
      <c r="H157" s="7" t="s">
        <v>35</v>
      </c>
      <c r="I157" s="7">
        <v>316048</v>
      </c>
      <c r="J157" s="7" t="s">
        <v>122</v>
      </c>
      <c r="K157" s="24">
        <v>24</v>
      </c>
      <c r="L157" s="24">
        <v>3</v>
      </c>
      <c r="M157" s="24">
        <v>6</v>
      </c>
      <c r="N157" s="8" t="s">
        <v>228</v>
      </c>
      <c r="O157" s="8" t="s">
        <v>229</v>
      </c>
      <c r="P157" s="8" t="s">
        <v>227</v>
      </c>
      <c r="Q157" s="8"/>
      <c r="R157" s="18"/>
      <c r="S157" s="18"/>
    </row>
    <row r="158" spans="1:19" x14ac:dyDescent="0.25">
      <c r="A158" s="1">
        <v>152</v>
      </c>
      <c r="B158" s="1"/>
      <c r="C158" s="7" t="s">
        <v>39</v>
      </c>
      <c r="D158" s="17">
        <v>26394</v>
      </c>
      <c r="E158" s="7" t="s">
        <v>13</v>
      </c>
      <c r="F158" s="7" t="s">
        <v>138</v>
      </c>
      <c r="G158" s="7" t="s">
        <v>34</v>
      </c>
      <c r="H158" s="8" t="s">
        <v>72</v>
      </c>
      <c r="I158" s="8">
        <v>510745</v>
      </c>
      <c r="J158" s="7" t="s">
        <v>66</v>
      </c>
      <c r="K158" s="27">
        <v>8</v>
      </c>
      <c r="L158" s="27">
        <v>1</v>
      </c>
      <c r="M158" s="27">
        <v>9</v>
      </c>
      <c r="N158" s="18" t="s">
        <v>230</v>
      </c>
      <c r="O158" s="18" t="s">
        <v>231</v>
      </c>
      <c r="P158" s="8" t="s">
        <v>227</v>
      </c>
      <c r="Q158" s="8"/>
      <c r="R158" s="18"/>
      <c r="S158" s="18"/>
    </row>
    <row r="159" spans="1:19" x14ac:dyDescent="0.25">
      <c r="A159" s="1">
        <v>153</v>
      </c>
      <c r="B159" s="1"/>
      <c r="C159" s="7" t="s">
        <v>39</v>
      </c>
      <c r="D159" s="17">
        <v>22558</v>
      </c>
      <c r="E159" s="7" t="s">
        <v>12</v>
      </c>
      <c r="F159" s="7" t="s">
        <v>61</v>
      </c>
      <c r="G159" s="7" t="s">
        <v>171</v>
      </c>
      <c r="H159" s="8" t="s">
        <v>72</v>
      </c>
      <c r="I159" s="8">
        <v>510745</v>
      </c>
      <c r="J159" s="7" t="s">
        <v>66</v>
      </c>
      <c r="K159" s="27">
        <v>8</v>
      </c>
      <c r="L159" s="27">
        <v>1</v>
      </c>
      <c r="M159" s="27">
        <v>18</v>
      </c>
      <c r="N159" s="18" t="s">
        <v>232</v>
      </c>
      <c r="O159" s="18" t="s">
        <v>233</v>
      </c>
      <c r="P159" s="8" t="s">
        <v>227</v>
      </c>
      <c r="Q159" s="8"/>
      <c r="R159" s="18"/>
      <c r="S159" s="18"/>
    </row>
    <row r="160" spans="1:19" x14ac:dyDescent="0.25">
      <c r="A160" s="1">
        <v>154</v>
      </c>
      <c r="B160" s="1"/>
      <c r="C160" s="7" t="s">
        <v>39</v>
      </c>
      <c r="D160" s="17">
        <v>26399</v>
      </c>
      <c r="E160" s="7" t="s">
        <v>13</v>
      </c>
      <c r="F160" s="7" t="s">
        <v>138</v>
      </c>
      <c r="G160" s="7" t="s">
        <v>34</v>
      </c>
      <c r="H160" s="8" t="s">
        <v>72</v>
      </c>
      <c r="I160" s="8">
        <v>510745</v>
      </c>
      <c r="J160" s="7" t="s">
        <v>66</v>
      </c>
      <c r="K160" s="27">
        <v>8</v>
      </c>
      <c r="L160" s="27">
        <v>1</v>
      </c>
      <c r="M160" s="27">
        <v>9</v>
      </c>
      <c r="N160" s="18" t="s">
        <v>233</v>
      </c>
      <c r="O160" s="18" t="s">
        <v>234</v>
      </c>
      <c r="P160" s="8" t="s">
        <v>227</v>
      </c>
      <c r="Q160" s="8"/>
      <c r="R160" s="18"/>
      <c r="S160" s="18"/>
    </row>
    <row r="161" spans="1:19" x14ac:dyDescent="0.25">
      <c r="A161" s="1">
        <v>155</v>
      </c>
      <c r="B161" s="1"/>
      <c r="C161" s="7" t="s">
        <v>39</v>
      </c>
      <c r="D161" s="17">
        <v>27360</v>
      </c>
      <c r="E161" s="7" t="s">
        <v>14</v>
      </c>
      <c r="F161" s="7" t="s">
        <v>81</v>
      </c>
      <c r="G161" s="7" t="s">
        <v>40</v>
      </c>
      <c r="H161" s="7" t="s">
        <v>35</v>
      </c>
      <c r="I161" s="7">
        <v>489671</v>
      </c>
      <c r="J161" s="7" t="s">
        <v>98</v>
      </c>
      <c r="K161" s="24">
        <v>24</v>
      </c>
      <c r="L161" s="24">
        <v>3</v>
      </c>
      <c r="M161" s="24">
        <v>12</v>
      </c>
      <c r="N161" s="8" t="s">
        <v>232</v>
      </c>
      <c r="O161" s="8" t="s">
        <v>234</v>
      </c>
      <c r="P161" s="8" t="s">
        <v>227</v>
      </c>
      <c r="Q161" s="8"/>
      <c r="R161" s="18"/>
      <c r="S161" s="18"/>
    </row>
    <row r="162" spans="1:19" x14ac:dyDescent="0.25">
      <c r="A162" s="1">
        <v>156</v>
      </c>
      <c r="B162" s="1"/>
      <c r="C162" s="7" t="s">
        <v>39</v>
      </c>
      <c r="D162" s="17">
        <v>26164</v>
      </c>
      <c r="E162" s="7" t="s">
        <v>14</v>
      </c>
      <c r="F162" s="7" t="s">
        <v>81</v>
      </c>
      <c r="G162" s="7" t="s">
        <v>65</v>
      </c>
      <c r="H162" s="7" t="s">
        <v>35</v>
      </c>
      <c r="I162" s="7">
        <v>411339</v>
      </c>
      <c r="J162" s="7" t="s">
        <v>112</v>
      </c>
      <c r="K162" s="24">
        <v>24</v>
      </c>
      <c r="L162" s="24">
        <v>3</v>
      </c>
      <c r="M162" s="24">
        <v>12</v>
      </c>
      <c r="N162" s="8" t="s">
        <v>232</v>
      </c>
      <c r="O162" s="8" t="s">
        <v>234</v>
      </c>
      <c r="P162" s="8" t="s">
        <v>227</v>
      </c>
      <c r="Q162" s="8"/>
      <c r="R162" s="18"/>
      <c r="S162" s="18"/>
    </row>
    <row r="163" spans="1:19" x14ac:dyDescent="0.25">
      <c r="A163" s="1">
        <v>157</v>
      </c>
      <c r="B163" s="1"/>
      <c r="C163" s="7" t="s">
        <v>39</v>
      </c>
      <c r="D163" s="17">
        <v>29597</v>
      </c>
      <c r="E163" s="7" t="s">
        <v>12</v>
      </c>
      <c r="F163" s="7" t="s">
        <v>61</v>
      </c>
      <c r="G163" s="7" t="s">
        <v>235</v>
      </c>
      <c r="H163" s="8" t="s">
        <v>35</v>
      </c>
      <c r="I163" s="8">
        <v>510745</v>
      </c>
      <c r="J163" s="7" t="s">
        <v>66</v>
      </c>
      <c r="K163" s="27">
        <v>8</v>
      </c>
      <c r="L163" s="27">
        <v>1</v>
      </c>
      <c r="M163" s="27">
        <v>9</v>
      </c>
      <c r="N163" s="18" t="s">
        <v>236</v>
      </c>
      <c r="O163" s="18" t="s">
        <v>236</v>
      </c>
      <c r="P163" s="8" t="s">
        <v>227</v>
      </c>
      <c r="Q163" s="8"/>
      <c r="R163" s="18"/>
      <c r="S163" s="18"/>
    </row>
    <row r="164" spans="1:19" x14ac:dyDescent="0.25">
      <c r="A164" s="1">
        <v>158</v>
      </c>
      <c r="B164" s="1"/>
      <c r="C164" s="7" t="s">
        <v>39</v>
      </c>
      <c r="D164" s="17">
        <v>26097</v>
      </c>
      <c r="E164" s="7" t="s">
        <v>13</v>
      </c>
      <c r="F164" s="7" t="s">
        <v>138</v>
      </c>
      <c r="G164" s="7" t="s">
        <v>79</v>
      </c>
      <c r="H164" s="8" t="s">
        <v>35</v>
      </c>
      <c r="I164" s="8">
        <v>389970</v>
      </c>
      <c r="J164" s="7" t="s">
        <v>69</v>
      </c>
      <c r="K164" s="27">
        <v>16</v>
      </c>
      <c r="L164" s="27">
        <v>2</v>
      </c>
      <c r="M164" s="27">
        <v>20</v>
      </c>
      <c r="N164" s="18" t="s">
        <v>237</v>
      </c>
      <c r="O164" s="18" t="s">
        <v>238</v>
      </c>
      <c r="P164" s="8" t="s">
        <v>227</v>
      </c>
      <c r="Q164" s="8"/>
      <c r="R164" s="18"/>
      <c r="S164" s="18"/>
    </row>
    <row r="165" spans="1:19" x14ac:dyDescent="0.25">
      <c r="A165" s="1">
        <v>159</v>
      </c>
      <c r="B165" s="1"/>
      <c r="C165" s="7" t="s">
        <v>39</v>
      </c>
      <c r="D165" s="17">
        <v>26378</v>
      </c>
      <c r="E165" s="7" t="s">
        <v>13</v>
      </c>
      <c r="F165" s="7" t="s">
        <v>138</v>
      </c>
      <c r="G165" s="7" t="s">
        <v>34</v>
      </c>
      <c r="H165" s="8" t="s">
        <v>35</v>
      </c>
      <c r="I165" s="8">
        <v>374253</v>
      </c>
      <c r="J165" s="7" t="s">
        <v>41</v>
      </c>
      <c r="K165" s="27">
        <v>8</v>
      </c>
      <c r="L165" s="27">
        <v>1</v>
      </c>
      <c r="M165" s="27">
        <v>20</v>
      </c>
      <c r="N165" s="18" t="s">
        <v>239</v>
      </c>
      <c r="O165" s="18" t="s">
        <v>239</v>
      </c>
      <c r="P165" s="8" t="s">
        <v>227</v>
      </c>
      <c r="Q165" s="8"/>
      <c r="R165" s="18"/>
      <c r="S165" s="18"/>
    </row>
    <row r="166" spans="1:19" x14ac:dyDescent="0.25">
      <c r="A166" s="1">
        <v>160</v>
      </c>
      <c r="B166" s="1"/>
      <c r="C166" s="7" t="s">
        <v>39</v>
      </c>
      <c r="D166" s="17">
        <v>26380</v>
      </c>
      <c r="E166" s="7" t="s">
        <v>13</v>
      </c>
      <c r="F166" s="7" t="s">
        <v>138</v>
      </c>
      <c r="G166" s="7" t="s">
        <v>34</v>
      </c>
      <c r="H166" s="8" t="s">
        <v>35</v>
      </c>
      <c r="I166" s="8">
        <v>374253</v>
      </c>
      <c r="J166" s="7" t="s">
        <v>41</v>
      </c>
      <c r="K166" s="27">
        <v>8</v>
      </c>
      <c r="L166" s="27">
        <v>1</v>
      </c>
      <c r="M166" s="27">
        <v>20</v>
      </c>
      <c r="N166" s="18" t="s">
        <v>240</v>
      </c>
      <c r="O166" s="18" t="s">
        <v>240</v>
      </c>
      <c r="P166" s="8" t="s">
        <v>227</v>
      </c>
      <c r="Q166" s="8"/>
      <c r="R166" s="18"/>
      <c r="S166" s="18"/>
    </row>
    <row r="167" spans="1:19" x14ac:dyDescent="0.25">
      <c r="A167" s="1">
        <v>161</v>
      </c>
      <c r="B167" s="1"/>
      <c r="C167" s="7" t="s">
        <v>39</v>
      </c>
      <c r="D167" s="17">
        <v>27333</v>
      </c>
      <c r="E167" s="7" t="s">
        <v>14</v>
      </c>
      <c r="F167" s="7" t="s">
        <v>81</v>
      </c>
      <c r="G167" s="7" t="s">
        <v>40</v>
      </c>
      <c r="H167" s="7" t="s">
        <v>35</v>
      </c>
      <c r="I167" s="7">
        <v>489671</v>
      </c>
      <c r="J167" s="7" t="s">
        <v>98</v>
      </c>
      <c r="K167" s="24">
        <v>24</v>
      </c>
      <c r="L167" s="24">
        <v>3</v>
      </c>
      <c r="M167" s="24">
        <v>12</v>
      </c>
      <c r="N167" s="8" t="s">
        <v>238</v>
      </c>
      <c r="O167" s="8" t="s">
        <v>240</v>
      </c>
      <c r="P167" s="8" t="s">
        <v>227</v>
      </c>
      <c r="Q167" s="8"/>
      <c r="R167" s="18"/>
      <c r="S167" s="18"/>
    </row>
    <row r="168" spans="1:19" x14ac:dyDescent="0.25">
      <c r="A168" s="1">
        <v>162</v>
      </c>
      <c r="B168" s="1"/>
      <c r="C168" s="7" t="s">
        <v>39</v>
      </c>
      <c r="D168" s="17">
        <v>26165</v>
      </c>
      <c r="E168" s="7" t="s">
        <v>14</v>
      </c>
      <c r="F168" s="7" t="s">
        <v>81</v>
      </c>
      <c r="G168" s="7" t="s">
        <v>65</v>
      </c>
      <c r="H168" s="7" t="s">
        <v>35</v>
      </c>
      <c r="I168" s="7">
        <v>411339</v>
      </c>
      <c r="J168" s="7" t="s">
        <v>112</v>
      </c>
      <c r="K168" s="24">
        <v>24</v>
      </c>
      <c r="L168" s="24">
        <v>3</v>
      </c>
      <c r="M168" s="24">
        <v>10</v>
      </c>
      <c r="N168" s="8" t="s">
        <v>238</v>
      </c>
      <c r="O168" s="8" t="s">
        <v>240</v>
      </c>
      <c r="P168" s="8" t="s">
        <v>227</v>
      </c>
      <c r="Q168" s="8"/>
      <c r="R168" s="18"/>
      <c r="S168" s="18"/>
    </row>
    <row r="169" spans="1:19" x14ac:dyDescent="0.25">
      <c r="A169" s="1">
        <v>163</v>
      </c>
      <c r="B169" s="1"/>
      <c r="C169" s="7" t="s">
        <v>39</v>
      </c>
      <c r="D169" s="17">
        <v>26398</v>
      </c>
      <c r="E169" s="7" t="s">
        <v>13</v>
      </c>
      <c r="F169" s="7" t="s">
        <v>138</v>
      </c>
      <c r="G169" s="7" t="s">
        <v>34</v>
      </c>
      <c r="H169" s="8" t="s">
        <v>72</v>
      </c>
      <c r="I169" s="8">
        <v>510745</v>
      </c>
      <c r="J169" s="7" t="s">
        <v>66</v>
      </c>
      <c r="K169" s="27">
        <v>8</v>
      </c>
      <c r="L169" s="27">
        <v>1</v>
      </c>
      <c r="M169" s="27">
        <v>10</v>
      </c>
      <c r="N169" s="18" t="s">
        <v>240</v>
      </c>
      <c r="O169" s="18" t="s">
        <v>241</v>
      </c>
      <c r="P169" s="8" t="s">
        <v>227</v>
      </c>
      <c r="Q169" s="8"/>
      <c r="R169" s="18"/>
      <c r="S169" s="18"/>
    </row>
    <row r="170" spans="1:19" x14ac:dyDescent="0.25">
      <c r="A170" s="1">
        <v>164</v>
      </c>
      <c r="B170" s="1"/>
      <c r="C170" s="7" t="s">
        <v>39</v>
      </c>
      <c r="D170" s="17">
        <v>26386</v>
      </c>
      <c r="E170" s="7" t="s">
        <v>13</v>
      </c>
      <c r="F170" s="7" t="s">
        <v>138</v>
      </c>
      <c r="G170" s="7" t="s">
        <v>34</v>
      </c>
      <c r="H170" s="8" t="s">
        <v>35</v>
      </c>
      <c r="I170" s="8">
        <v>374253</v>
      </c>
      <c r="J170" s="7" t="s">
        <v>41</v>
      </c>
      <c r="K170" s="27">
        <v>8</v>
      </c>
      <c r="L170" s="27">
        <v>1</v>
      </c>
      <c r="M170" s="27">
        <v>20</v>
      </c>
      <c r="N170" s="18" t="s">
        <v>242</v>
      </c>
      <c r="O170" s="18" t="s">
        <v>242</v>
      </c>
      <c r="P170" s="8" t="s">
        <v>227</v>
      </c>
      <c r="Q170" s="8"/>
      <c r="R170" s="18"/>
      <c r="S170" s="18"/>
    </row>
    <row r="171" spans="1:19" x14ac:dyDescent="0.25">
      <c r="A171" s="1">
        <v>165</v>
      </c>
      <c r="B171" s="1"/>
      <c r="C171" s="7" t="s">
        <v>39</v>
      </c>
      <c r="D171" s="17">
        <v>24921</v>
      </c>
      <c r="E171" s="7" t="s">
        <v>7</v>
      </c>
      <c r="F171" s="7" t="s">
        <v>78</v>
      </c>
      <c r="G171" s="7" t="s">
        <v>79</v>
      </c>
      <c r="H171" s="8" t="s">
        <v>35</v>
      </c>
      <c r="I171" s="8">
        <v>354951</v>
      </c>
      <c r="J171" s="7" t="s">
        <v>63</v>
      </c>
      <c r="K171" s="27">
        <v>16</v>
      </c>
      <c r="L171" s="27">
        <v>2</v>
      </c>
      <c r="M171" s="27">
        <v>13</v>
      </c>
      <c r="N171" s="18" t="s">
        <v>243</v>
      </c>
      <c r="O171" s="18" t="s">
        <v>242</v>
      </c>
      <c r="P171" s="8" t="s">
        <v>227</v>
      </c>
      <c r="Q171" s="8"/>
      <c r="R171" s="18"/>
      <c r="S171" s="18"/>
    </row>
    <row r="172" spans="1:19" x14ac:dyDescent="0.25">
      <c r="A172" s="1">
        <v>166</v>
      </c>
      <c r="B172" s="1"/>
      <c r="C172" s="7" t="s">
        <v>39</v>
      </c>
      <c r="D172" s="17">
        <v>26383</v>
      </c>
      <c r="E172" s="7" t="s">
        <v>13</v>
      </c>
      <c r="F172" s="7" t="s">
        <v>138</v>
      </c>
      <c r="G172" s="7" t="s">
        <v>34</v>
      </c>
      <c r="H172" s="8" t="s">
        <v>35</v>
      </c>
      <c r="I172" s="8">
        <v>374253</v>
      </c>
      <c r="J172" s="7" t="s">
        <v>41</v>
      </c>
      <c r="K172" s="27">
        <v>8</v>
      </c>
      <c r="L172" s="27">
        <v>1</v>
      </c>
      <c r="M172" s="27">
        <v>20</v>
      </c>
      <c r="N172" s="18" t="s">
        <v>244</v>
      </c>
      <c r="O172" s="18" t="s">
        <v>244</v>
      </c>
      <c r="P172" s="8" t="s">
        <v>227</v>
      </c>
      <c r="Q172" s="8"/>
      <c r="R172" s="18"/>
      <c r="S172" s="18"/>
    </row>
    <row r="173" spans="1:19" x14ac:dyDescent="0.25">
      <c r="A173" s="1">
        <v>167</v>
      </c>
      <c r="B173" s="1"/>
      <c r="C173" s="7" t="s">
        <v>39</v>
      </c>
      <c r="D173" s="17">
        <v>28030</v>
      </c>
      <c r="E173" s="7" t="s">
        <v>14</v>
      </c>
      <c r="F173" s="7" t="s">
        <v>88</v>
      </c>
      <c r="G173" s="7" t="s">
        <v>94</v>
      </c>
      <c r="H173" s="7" t="s">
        <v>35</v>
      </c>
      <c r="I173" s="7" t="s">
        <v>95</v>
      </c>
      <c r="J173" s="7" t="s">
        <v>96</v>
      </c>
      <c r="K173" s="24">
        <v>16</v>
      </c>
      <c r="L173" s="24">
        <v>2</v>
      </c>
      <c r="M173" s="24">
        <v>7</v>
      </c>
      <c r="N173" s="8" t="s">
        <v>242</v>
      </c>
      <c r="O173" s="8" t="s">
        <v>244</v>
      </c>
      <c r="P173" s="8" t="s">
        <v>227</v>
      </c>
      <c r="Q173" s="8"/>
      <c r="R173" s="18"/>
      <c r="S173" s="18"/>
    </row>
    <row r="174" spans="1:19" x14ac:dyDescent="0.25">
      <c r="A174" s="1">
        <v>168</v>
      </c>
      <c r="B174" s="1"/>
      <c r="C174" s="7" t="s">
        <v>39</v>
      </c>
      <c r="D174" s="17">
        <v>26160</v>
      </c>
      <c r="E174" s="7" t="s">
        <v>14</v>
      </c>
      <c r="F174" s="7" t="s">
        <v>81</v>
      </c>
      <c r="G174" s="7" t="s">
        <v>65</v>
      </c>
      <c r="H174" s="7" t="s">
        <v>35</v>
      </c>
      <c r="I174" s="7">
        <v>350060</v>
      </c>
      <c r="J174" s="7" t="s">
        <v>36</v>
      </c>
      <c r="K174" s="24">
        <v>24</v>
      </c>
      <c r="L174" s="24">
        <v>3</v>
      </c>
      <c r="M174" s="24">
        <v>12</v>
      </c>
      <c r="N174" s="8" t="s">
        <v>242</v>
      </c>
      <c r="O174" s="8" t="s">
        <v>245</v>
      </c>
      <c r="P174" s="8" t="s">
        <v>227</v>
      </c>
      <c r="Q174" s="8"/>
      <c r="R174" s="18"/>
      <c r="S174" s="18"/>
    </row>
    <row r="175" spans="1:19" x14ac:dyDescent="0.25">
      <c r="A175" s="1">
        <v>169</v>
      </c>
      <c r="B175" s="1"/>
      <c r="C175" s="7" t="s">
        <v>39</v>
      </c>
      <c r="D175" s="17">
        <v>27341</v>
      </c>
      <c r="E175" s="7" t="s">
        <v>14</v>
      </c>
      <c r="F175" s="7" t="s">
        <v>81</v>
      </c>
      <c r="G175" s="7" t="s">
        <v>40</v>
      </c>
      <c r="H175" s="7" t="s">
        <v>35</v>
      </c>
      <c r="I175" s="7">
        <v>419491</v>
      </c>
      <c r="J175" s="7" t="s">
        <v>82</v>
      </c>
      <c r="K175" s="24">
        <v>24</v>
      </c>
      <c r="L175" s="24">
        <v>3</v>
      </c>
      <c r="M175" s="24">
        <v>12</v>
      </c>
      <c r="N175" s="8" t="s">
        <v>242</v>
      </c>
      <c r="O175" s="8" t="s">
        <v>245</v>
      </c>
      <c r="P175" s="8" t="s">
        <v>227</v>
      </c>
      <c r="Q175" s="8"/>
      <c r="R175" s="18"/>
      <c r="S175" s="18"/>
    </row>
    <row r="176" spans="1:19" x14ac:dyDescent="0.25">
      <c r="A176" s="1">
        <v>170</v>
      </c>
      <c r="B176" s="1"/>
      <c r="C176" s="7" t="s">
        <v>39</v>
      </c>
      <c r="D176" s="17">
        <v>25934</v>
      </c>
      <c r="E176" s="7" t="s">
        <v>14</v>
      </c>
      <c r="F176" s="7" t="s">
        <v>81</v>
      </c>
      <c r="G176" s="7" t="s">
        <v>68</v>
      </c>
      <c r="H176" s="7" t="s">
        <v>35</v>
      </c>
      <c r="I176" s="7">
        <v>316048</v>
      </c>
      <c r="J176" s="7" t="s">
        <v>122</v>
      </c>
      <c r="K176" s="24">
        <v>24</v>
      </c>
      <c r="L176" s="24">
        <v>3</v>
      </c>
      <c r="M176" s="24">
        <v>5</v>
      </c>
      <c r="N176" s="8" t="s">
        <v>242</v>
      </c>
      <c r="O176" s="8" t="s">
        <v>245</v>
      </c>
      <c r="P176" s="8" t="s">
        <v>227</v>
      </c>
      <c r="Q176" s="8"/>
      <c r="R176" s="18"/>
      <c r="S176" s="18"/>
    </row>
    <row r="177" spans="1:19" x14ac:dyDescent="0.25">
      <c r="A177" s="1">
        <v>171</v>
      </c>
      <c r="B177" s="1"/>
      <c r="C177" s="7" t="s">
        <v>39</v>
      </c>
      <c r="D177" s="17">
        <v>26092</v>
      </c>
      <c r="E177" s="7" t="s">
        <v>13</v>
      </c>
      <c r="F177" s="7" t="s">
        <v>138</v>
      </c>
      <c r="G177" s="7" t="s">
        <v>79</v>
      </c>
      <c r="H177" s="8" t="s">
        <v>35</v>
      </c>
      <c r="I177" s="8">
        <v>389970</v>
      </c>
      <c r="J177" s="7" t="s">
        <v>69</v>
      </c>
      <c r="K177" s="27">
        <v>16</v>
      </c>
      <c r="L177" s="27">
        <v>2</v>
      </c>
      <c r="M177" s="27">
        <v>20</v>
      </c>
      <c r="N177" s="18" t="s">
        <v>246</v>
      </c>
      <c r="O177" s="18" t="s">
        <v>247</v>
      </c>
      <c r="P177" s="8" t="s">
        <v>227</v>
      </c>
      <c r="Q177" s="8"/>
      <c r="R177" s="18"/>
      <c r="S177" s="18"/>
    </row>
    <row r="178" spans="1:19" x14ac:dyDescent="0.25">
      <c r="A178" s="1">
        <v>172</v>
      </c>
      <c r="B178" s="1"/>
      <c r="C178" s="7" t="s">
        <v>39</v>
      </c>
      <c r="D178" s="17">
        <v>21445</v>
      </c>
      <c r="E178" s="7" t="s">
        <v>13</v>
      </c>
      <c r="F178" s="7" t="s">
        <v>74</v>
      </c>
      <c r="G178" s="7" t="s">
        <v>89</v>
      </c>
      <c r="H178" s="8" t="s">
        <v>35</v>
      </c>
      <c r="I178" s="8">
        <v>354951</v>
      </c>
      <c r="J178" s="7" t="s">
        <v>63</v>
      </c>
      <c r="K178" s="27">
        <v>16</v>
      </c>
      <c r="L178" s="27">
        <v>2</v>
      </c>
      <c r="M178" s="27">
        <v>12</v>
      </c>
      <c r="N178" s="18" t="s">
        <v>246</v>
      </c>
      <c r="O178" s="18" t="s">
        <v>247</v>
      </c>
      <c r="P178" s="8" t="s">
        <v>227</v>
      </c>
      <c r="Q178" s="8"/>
      <c r="R178" s="18"/>
      <c r="S178" s="18"/>
    </row>
    <row r="179" spans="1:19" x14ac:dyDescent="0.25">
      <c r="A179" s="1">
        <v>173</v>
      </c>
      <c r="B179" s="1"/>
      <c r="C179" s="7" t="s">
        <v>39</v>
      </c>
      <c r="D179" s="17">
        <v>26379</v>
      </c>
      <c r="E179" s="7" t="s">
        <v>13</v>
      </c>
      <c r="F179" s="7" t="s">
        <v>138</v>
      </c>
      <c r="G179" s="7" t="s">
        <v>34</v>
      </c>
      <c r="H179" s="8" t="s">
        <v>35</v>
      </c>
      <c r="I179" s="8">
        <v>374253</v>
      </c>
      <c r="J179" s="7" t="s">
        <v>41</v>
      </c>
      <c r="K179" s="27">
        <v>8</v>
      </c>
      <c r="L179" s="27">
        <v>1</v>
      </c>
      <c r="M179" s="27">
        <v>20</v>
      </c>
      <c r="N179" s="18" t="s">
        <v>248</v>
      </c>
      <c r="O179" s="18" t="s">
        <v>248</v>
      </c>
      <c r="P179" s="8" t="s">
        <v>249</v>
      </c>
      <c r="Q179" s="8"/>
      <c r="R179" s="18"/>
      <c r="S179" s="18"/>
    </row>
    <row r="180" spans="1:19" x14ac:dyDescent="0.25">
      <c r="A180" s="1">
        <v>174</v>
      </c>
      <c r="B180" s="1"/>
      <c r="C180" s="7" t="s">
        <v>39</v>
      </c>
      <c r="D180" s="17">
        <v>26101</v>
      </c>
      <c r="E180" s="7" t="s">
        <v>13</v>
      </c>
      <c r="F180" s="7" t="s">
        <v>138</v>
      </c>
      <c r="G180" s="7" t="s">
        <v>79</v>
      </c>
      <c r="H180" s="8" t="s">
        <v>35</v>
      </c>
      <c r="I180" s="8">
        <v>389970</v>
      </c>
      <c r="J180" s="7" t="s">
        <v>69</v>
      </c>
      <c r="K180" s="27">
        <v>16</v>
      </c>
      <c r="L180" s="27">
        <v>2</v>
      </c>
      <c r="M180" s="27">
        <v>20</v>
      </c>
      <c r="N180" s="18" t="s">
        <v>250</v>
      </c>
      <c r="O180" s="18" t="s">
        <v>251</v>
      </c>
      <c r="P180" s="8" t="s">
        <v>249</v>
      </c>
      <c r="Q180" s="8"/>
      <c r="R180" s="18"/>
      <c r="S180" s="18"/>
    </row>
    <row r="181" spans="1:19" x14ac:dyDescent="0.25">
      <c r="A181" s="1">
        <v>175</v>
      </c>
      <c r="B181" s="1"/>
      <c r="C181" s="7" t="s">
        <v>39</v>
      </c>
      <c r="D181" s="17">
        <v>26106</v>
      </c>
      <c r="E181" s="7" t="s">
        <v>13</v>
      </c>
      <c r="F181" s="7" t="s">
        <v>138</v>
      </c>
      <c r="G181" s="7" t="s">
        <v>79</v>
      </c>
      <c r="H181" s="8" t="s">
        <v>35</v>
      </c>
      <c r="I181" s="8">
        <v>350060</v>
      </c>
      <c r="J181" s="7" t="s">
        <v>36</v>
      </c>
      <c r="K181" s="27">
        <v>16</v>
      </c>
      <c r="L181" s="27">
        <v>4</v>
      </c>
      <c r="M181" s="27">
        <v>9</v>
      </c>
      <c r="N181" s="18" t="s">
        <v>250</v>
      </c>
      <c r="O181" s="18" t="s">
        <v>252</v>
      </c>
      <c r="P181" s="8" t="s">
        <v>249</v>
      </c>
      <c r="Q181" s="8"/>
      <c r="R181" s="18"/>
      <c r="S181" s="18"/>
    </row>
    <row r="182" spans="1:19" x14ac:dyDescent="0.25">
      <c r="A182" s="1">
        <v>176</v>
      </c>
      <c r="B182" s="1"/>
      <c r="C182" s="7" t="s">
        <v>39</v>
      </c>
      <c r="D182" s="17">
        <v>26041</v>
      </c>
      <c r="E182" s="7" t="s">
        <v>14</v>
      </c>
      <c r="F182" s="7" t="s">
        <v>81</v>
      </c>
      <c r="G182" s="7" t="s">
        <v>199</v>
      </c>
      <c r="H182" s="7" t="s">
        <v>35</v>
      </c>
      <c r="I182" s="7">
        <v>489671</v>
      </c>
      <c r="J182" s="7" t="s">
        <v>98</v>
      </c>
      <c r="K182" s="24">
        <v>8</v>
      </c>
      <c r="L182" s="24">
        <v>2</v>
      </c>
      <c r="M182" s="24">
        <v>5</v>
      </c>
      <c r="N182" s="8" t="s">
        <v>253</v>
      </c>
      <c r="O182" s="8" t="s">
        <v>253</v>
      </c>
      <c r="P182" s="8" t="s">
        <v>249</v>
      </c>
      <c r="Q182" s="8"/>
      <c r="R182" s="18"/>
      <c r="S182" s="18"/>
    </row>
    <row r="183" spans="1:19" x14ac:dyDescent="0.25">
      <c r="A183" s="1">
        <v>177</v>
      </c>
      <c r="B183" s="1"/>
      <c r="C183" s="7" t="s">
        <v>39</v>
      </c>
      <c r="D183" s="17">
        <v>26099</v>
      </c>
      <c r="E183" s="7" t="s">
        <v>13</v>
      </c>
      <c r="F183" s="7" t="s">
        <v>138</v>
      </c>
      <c r="G183" s="7" t="s">
        <v>79</v>
      </c>
      <c r="H183" s="8" t="s">
        <v>35</v>
      </c>
      <c r="I183" s="8">
        <v>389970</v>
      </c>
      <c r="J183" s="7" t="s">
        <v>69</v>
      </c>
      <c r="K183" s="27">
        <v>16</v>
      </c>
      <c r="L183" s="27">
        <v>2</v>
      </c>
      <c r="M183" s="27">
        <v>20</v>
      </c>
      <c r="N183" s="18" t="s">
        <v>253</v>
      </c>
      <c r="O183" s="18" t="s">
        <v>254</v>
      </c>
      <c r="P183" s="8" t="s">
        <v>249</v>
      </c>
      <c r="Q183" s="8"/>
      <c r="R183" s="18"/>
      <c r="S183" s="18"/>
    </row>
    <row r="184" spans="1:19" x14ac:dyDescent="0.25">
      <c r="A184" s="1">
        <v>178</v>
      </c>
      <c r="B184" s="1"/>
      <c r="C184" s="7" t="s">
        <v>39</v>
      </c>
      <c r="D184" s="17">
        <v>24924</v>
      </c>
      <c r="E184" s="7" t="s">
        <v>7</v>
      </c>
      <c r="F184" s="7" t="s">
        <v>78</v>
      </c>
      <c r="G184" s="7" t="s">
        <v>79</v>
      </c>
      <c r="H184" s="8" t="s">
        <v>35</v>
      </c>
      <c r="I184" s="8">
        <v>354951</v>
      </c>
      <c r="J184" s="7" t="s">
        <v>63</v>
      </c>
      <c r="K184" s="27">
        <v>16</v>
      </c>
      <c r="L184" s="27">
        <v>2</v>
      </c>
      <c r="M184" s="27">
        <v>2</v>
      </c>
      <c r="N184" s="18" t="s">
        <v>253</v>
      </c>
      <c r="O184" s="18" t="s">
        <v>254</v>
      </c>
      <c r="P184" s="8" t="s">
        <v>249</v>
      </c>
      <c r="Q184" s="8"/>
      <c r="R184" s="18"/>
      <c r="S184" s="18"/>
    </row>
    <row r="185" spans="1:19" x14ac:dyDescent="0.25">
      <c r="A185" s="1">
        <v>179</v>
      </c>
      <c r="B185" s="1"/>
      <c r="C185" s="7" t="s">
        <v>39</v>
      </c>
      <c r="D185" s="17">
        <v>28031</v>
      </c>
      <c r="E185" s="7" t="s">
        <v>14</v>
      </c>
      <c r="F185" s="7" t="s">
        <v>88</v>
      </c>
      <c r="G185" s="7" t="s">
        <v>94</v>
      </c>
      <c r="H185" s="7" t="s">
        <v>35</v>
      </c>
      <c r="I185" s="7" t="s">
        <v>95</v>
      </c>
      <c r="J185" s="7" t="s">
        <v>96</v>
      </c>
      <c r="K185" s="24">
        <v>16</v>
      </c>
      <c r="L185" s="24">
        <v>2</v>
      </c>
      <c r="M185" s="24">
        <v>7</v>
      </c>
      <c r="N185" s="8" t="s">
        <v>253</v>
      </c>
      <c r="O185" s="8" t="s">
        <v>254</v>
      </c>
      <c r="P185" s="8" t="s">
        <v>249</v>
      </c>
      <c r="Q185" s="8"/>
      <c r="R185" s="18"/>
      <c r="S185" s="18"/>
    </row>
    <row r="186" spans="1:19" x14ac:dyDescent="0.25">
      <c r="A186" s="1">
        <v>180</v>
      </c>
      <c r="B186" s="1"/>
      <c r="C186" s="7" t="s">
        <v>39</v>
      </c>
      <c r="D186" s="17">
        <v>26392</v>
      </c>
      <c r="E186" s="7" t="s">
        <v>13</v>
      </c>
      <c r="F186" s="7" t="s">
        <v>138</v>
      </c>
      <c r="G186" s="7" t="s">
        <v>34</v>
      </c>
      <c r="H186" s="8" t="s">
        <v>72</v>
      </c>
      <c r="I186" s="8">
        <v>510745</v>
      </c>
      <c r="J186" s="7" t="s">
        <v>66</v>
      </c>
      <c r="K186" s="27">
        <v>8</v>
      </c>
      <c r="L186" s="27">
        <v>1</v>
      </c>
      <c r="M186" s="27">
        <v>18</v>
      </c>
      <c r="N186" s="18" t="s">
        <v>255</v>
      </c>
      <c r="O186" s="18" t="s">
        <v>256</v>
      </c>
      <c r="P186" s="8" t="s">
        <v>249</v>
      </c>
      <c r="Q186" s="8"/>
      <c r="R186" s="18"/>
      <c r="S186" s="18"/>
    </row>
    <row r="187" spans="1:19" x14ac:dyDescent="0.25">
      <c r="A187" s="1">
        <v>181</v>
      </c>
      <c r="B187" s="1"/>
      <c r="C187" s="7" t="s">
        <v>39</v>
      </c>
      <c r="D187" s="17">
        <v>26100</v>
      </c>
      <c r="E187" s="7" t="s">
        <v>13</v>
      </c>
      <c r="F187" s="7" t="s">
        <v>138</v>
      </c>
      <c r="G187" s="7" t="s">
        <v>79</v>
      </c>
      <c r="H187" s="8" t="s">
        <v>35</v>
      </c>
      <c r="I187" s="8">
        <v>389970</v>
      </c>
      <c r="J187" s="7" t="s">
        <v>69</v>
      </c>
      <c r="K187" s="27">
        <v>16</v>
      </c>
      <c r="L187" s="27">
        <v>2</v>
      </c>
      <c r="M187" s="27">
        <v>20</v>
      </c>
      <c r="N187" s="18" t="s">
        <v>256</v>
      </c>
      <c r="O187" s="18" t="s">
        <v>257</v>
      </c>
      <c r="P187" s="8" t="s">
        <v>249</v>
      </c>
      <c r="Q187" s="8"/>
      <c r="R187" s="18"/>
      <c r="S187" s="18"/>
    </row>
    <row r="188" spans="1:19" x14ac:dyDescent="0.25">
      <c r="A188" s="1">
        <v>182</v>
      </c>
      <c r="B188" s="1"/>
      <c r="C188" s="7" t="s">
        <v>39</v>
      </c>
      <c r="D188" s="17">
        <v>24753</v>
      </c>
      <c r="E188" s="7" t="s">
        <v>7</v>
      </c>
      <c r="F188" s="7" t="s">
        <v>78</v>
      </c>
      <c r="G188" s="7" t="s">
        <v>40</v>
      </c>
      <c r="H188" s="8" t="s">
        <v>35</v>
      </c>
      <c r="I188" s="8">
        <v>354951</v>
      </c>
      <c r="J188" s="7" t="s">
        <v>63</v>
      </c>
      <c r="K188" s="27">
        <v>24</v>
      </c>
      <c r="L188" s="27">
        <v>3</v>
      </c>
      <c r="M188" s="27">
        <v>5</v>
      </c>
      <c r="N188" s="18" t="s">
        <v>258</v>
      </c>
      <c r="O188" s="18" t="s">
        <v>259</v>
      </c>
      <c r="P188" s="8" t="s">
        <v>249</v>
      </c>
      <c r="Q188" s="8"/>
      <c r="R188" s="18"/>
      <c r="S188" s="18"/>
    </row>
    <row r="189" spans="1:19" x14ac:dyDescent="0.25">
      <c r="A189" s="1">
        <v>183</v>
      </c>
      <c r="B189" s="1"/>
      <c r="C189" s="7" t="s">
        <v>39</v>
      </c>
      <c r="D189" s="17">
        <v>26102</v>
      </c>
      <c r="E189" s="7" t="s">
        <v>13</v>
      </c>
      <c r="F189" s="7" t="s">
        <v>138</v>
      </c>
      <c r="G189" s="7" t="s">
        <v>79</v>
      </c>
      <c r="H189" s="8" t="s">
        <v>35</v>
      </c>
      <c r="I189" s="8">
        <v>389970</v>
      </c>
      <c r="J189" s="7" t="s">
        <v>69</v>
      </c>
      <c r="K189" s="27">
        <v>16</v>
      </c>
      <c r="L189" s="27">
        <v>2</v>
      </c>
      <c r="M189" s="27">
        <v>20</v>
      </c>
      <c r="N189" s="18" t="s">
        <v>260</v>
      </c>
      <c r="O189" s="18" t="s">
        <v>261</v>
      </c>
      <c r="P189" s="8" t="s">
        <v>249</v>
      </c>
      <c r="Q189" s="8"/>
      <c r="R189" s="18"/>
      <c r="S189" s="18"/>
    </row>
    <row r="190" spans="1:19" x14ac:dyDescent="0.25">
      <c r="A190" s="1">
        <v>1</v>
      </c>
      <c r="C190" s="7" t="s">
        <v>262</v>
      </c>
      <c r="D190" s="17">
        <v>23203</v>
      </c>
      <c r="E190" s="7" t="s">
        <v>14</v>
      </c>
      <c r="F190" s="7" t="s">
        <v>263</v>
      </c>
      <c r="G190" s="7" t="s">
        <v>264</v>
      </c>
      <c r="H190" s="7" t="s">
        <v>35</v>
      </c>
      <c r="I190" s="7">
        <v>686135</v>
      </c>
      <c r="J190" s="7" t="s">
        <v>265</v>
      </c>
      <c r="K190" s="24">
        <v>8</v>
      </c>
      <c r="L190" s="24">
        <v>1</v>
      </c>
      <c r="M190" s="24">
        <v>10</v>
      </c>
      <c r="N190" s="8" t="s">
        <v>266</v>
      </c>
      <c r="O190" s="18">
        <v>44291</v>
      </c>
      <c r="P190" s="8" t="s">
        <v>60</v>
      </c>
      <c r="Q190" s="8"/>
      <c r="R190" s="18"/>
      <c r="S190" s="18"/>
    </row>
    <row r="191" spans="1:19" x14ac:dyDescent="0.25">
      <c r="A191" s="106">
        <v>2</v>
      </c>
      <c r="B191" s="110"/>
      <c r="C191" s="107" t="s">
        <v>262</v>
      </c>
      <c r="D191" s="108">
        <v>29234</v>
      </c>
      <c r="E191" s="107" t="s">
        <v>14</v>
      </c>
      <c r="F191" s="107" t="s">
        <v>263</v>
      </c>
      <c r="G191" s="107" t="s">
        <v>159</v>
      </c>
      <c r="H191" s="107" t="s">
        <v>35</v>
      </c>
      <c r="I191" s="107">
        <v>686135</v>
      </c>
      <c r="J191" s="107" t="s">
        <v>265</v>
      </c>
      <c r="K191" s="148">
        <v>16</v>
      </c>
      <c r="L191" s="148">
        <v>2</v>
      </c>
      <c r="M191" s="148">
        <v>8</v>
      </c>
      <c r="N191" s="46" t="s">
        <v>267</v>
      </c>
      <c r="O191" s="47">
        <v>44317</v>
      </c>
      <c r="P191" s="46" t="s">
        <v>60</v>
      </c>
      <c r="Q191" s="8"/>
      <c r="R191" s="18"/>
      <c r="S191" s="18"/>
    </row>
    <row r="192" spans="1:19" x14ac:dyDescent="0.25">
      <c r="A192" s="1">
        <v>3</v>
      </c>
      <c r="C192" s="7" t="s">
        <v>268</v>
      </c>
      <c r="D192" s="17">
        <v>25606</v>
      </c>
      <c r="E192" s="7" t="s">
        <v>14</v>
      </c>
      <c r="F192" s="7" t="s">
        <v>269</v>
      </c>
      <c r="G192" s="7" t="s">
        <v>159</v>
      </c>
      <c r="H192" s="7" t="s">
        <v>35</v>
      </c>
      <c r="I192" s="7">
        <v>316211</v>
      </c>
      <c r="J192" s="7" t="s">
        <v>270</v>
      </c>
      <c r="K192" s="24">
        <v>16</v>
      </c>
      <c r="L192" s="24">
        <v>2</v>
      </c>
      <c r="M192" s="24">
        <v>5</v>
      </c>
      <c r="N192" s="8" t="s">
        <v>271</v>
      </c>
      <c r="O192" s="18">
        <v>44320</v>
      </c>
      <c r="P192" s="8" t="s">
        <v>77</v>
      </c>
      <c r="Q192" s="8"/>
      <c r="R192" s="18"/>
      <c r="S192" s="18"/>
    </row>
    <row r="193" spans="1:19" x14ac:dyDescent="0.25">
      <c r="A193" s="1">
        <v>4</v>
      </c>
      <c r="C193" s="7" t="s">
        <v>262</v>
      </c>
      <c r="D193" s="17">
        <v>23205</v>
      </c>
      <c r="E193" s="7" t="s">
        <v>14</v>
      </c>
      <c r="F193" s="7" t="s">
        <v>263</v>
      </c>
      <c r="G193" s="7" t="s">
        <v>264</v>
      </c>
      <c r="H193" s="7" t="s">
        <v>35</v>
      </c>
      <c r="I193" s="7">
        <v>686135</v>
      </c>
      <c r="J193" s="7" t="s">
        <v>265</v>
      </c>
      <c r="K193" s="24">
        <v>8</v>
      </c>
      <c r="L193" s="24">
        <v>1</v>
      </c>
      <c r="M193" s="24">
        <v>8</v>
      </c>
      <c r="N193" s="8" t="s">
        <v>272</v>
      </c>
      <c r="O193" s="18">
        <v>44320</v>
      </c>
      <c r="P193" s="8" t="s">
        <v>77</v>
      </c>
      <c r="Q193" s="8"/>
      <c r="R193" s="18"/>
      <c r="S193" s="18"/>
    </row>
    <row r="194" spans="1:19" x14ac:dyDescent="0.25">
      <c r="A194" s="1">
        <v>5</v>
      </c>
      <c r="C194" s="7" t="s">
        <v>273</v>
      </c>
      <c r="D194" s="17">
        <v>24901</v>
      </c>
      <c r="E194" s="7" t="s">
        <v>14</v>
      </c>
      <c r="F194" s="7" t="s">
        <v>263</v>
      </c>
      <c r="G194" s="7" t="s">
        <v>84</v>
      </c>
      <c r="H194" s="7" t="s">
        <v>35</v>
      </c>
      <c r="I194" s="7">
        <v>520356</v>
      </c>
      <c r="J194" s="7" t="s">
        <v>274</v>
      </c>
      <c r="K194" s="24">
        <v>16</v>
      </c>
      <c r="L194" s="24">
        <v>2</v>
      </c>
      <c r="M194" s="24">
        <v>8</v>
      </c>
      <c r="N194" s="8" t="s">
        <v>275</v>
      </c>
      <c r="O194" s="18">
        <v>44323</v>
      </c>
      <c r="P194" s="8" t="s">
        <v>77</v>
      </c>
      <c r="Q194" s="8"/>
      <c r="R194" s="18"/>
      <c r="S194" s="18"/>
    </row>
    <row r="195" spans="1:19" x14ac:dyDescent="0.25">
      <c r="A195" s="1">
        <v>6</v>
      </c>
      <c r="C195" s="7" t="s">
        <v>276</v>
      </c>
      <c r="D195" s="17">
        <v>30820</v>
      </c>
      <c r="E195" s="7" t="s">
        <v>14</v>
      </c>
      <c r="F195" s="7" t="s">
        <v>269</v>
      </c>
      <c r="G195" s="7" t="s">
        <v>89</v>
      </c>
      <c r="H195" s="7" t="s">
        <v>35</v>
      </c>
      <c r="I195" s="7">
        <v>197260</v>
      </c>
      <c r="J195" s="7" t="s">
        <v>277</v>
      </c>
      <c r="K195" s="24">
        <v>16</v>
      </c>
      <c r="L195" s="24">
        <v>2</v>
      </c>
      <c r="M195" s="24">
        <v>10</v>
      </c>
      <c r="N195" s="8" t="s">
        <v>275</v>
      </c>
      <c r="O195" s="18">
        <v>44323</v>
      </c>
      <c r="P195" s="8" t="s">
        <v>77</v>
      </c>
      <c r="Q195" s="8"/>
    </row>
    <row r="196" spans="1:19" x14ac:dyDescent="0.25">
      <c r="A196" s="1">
        <v>7</v>
      </c>
      <c r="C196" s="7" t="s">
        <v>278</v>
      </c>
      <c r="D196" s="17">
        <v>25645</v>
      </c>
      <c r="E196" s="7" t="s">
        <v>14</v>
      </c>
      <c r="F196" s="7" t="s">
        <v>269</v>
      </c>
      <c r="G196" s="7" t="s">
        <v>279</v>
      </c>
      <c r="H196" s="7" t="s">
        <v>35</v>
      </c>
      <c r="I196" s="7">
        <v>679358</v>
      </c>
      <c r="J196" s="7" t="s">
        <v>280</v>
      </c>
      <c r="K196" s="24">
        <v>16</v>
      </c>
      <c r="L196" s="24">
        <v>2</v>
      </c>
      <c r="M196" s="24">
        <v>5</v>
      </c>
      <c r="N196" s="8" t="s">
        <v>281</v>
      </c>
      <c r="O196" s="18">
        <v>44334</v>
      </c>
      <c r="P196" s="8" t="s">
        <v>77</v>
      </c>
      <c r="Q196" s="8"/>
    </row>
    <row r="197" spans="1:19" x14ac:dyDescent="0.25">
      <c r="A197" s="1">
        <v>8</v>
      </c>
      <c r="C197" s="7" t="s">
        <v>273</v>
      </c>
      <c r="D197" s="17">
        <v>24904</v>
      </c>
      <c r="E197" s="7" t="s">
        <v>14</v>
      </c>
      <c r="F197" s="7" t="s">
        <v>263</v>
      </c>
      <c r="G197" s="7" t="s">
        <v>84</v>
      </c>
      <c r="H197" s="7" t="s">
        <v>35</v>
      </c>
      <c r="I197" s="7">
        <v>402802</v>
      </c>
      <c r="J197" s="7" t="s">
        <v>282</v>
      </c>
      <c r="K197" s="24">
        <v>16</v>
      </c>
      <c r="L197" s="24">
        <v>2</v>
      </c>
      <c r="M197" s="24">
        <v>10</v>
      </c>
      <c r="N197" s="8" t="s">
        <v>86</v>
      </c>
      <c r="O197" s="18">
        <v>44335</v>
      </c>
      <c r="P197" s="8" t="s">
        <v>77</v>
      </c>
      <c r="Q197" s="8"/>
    </row>
    <row r="198" spans="1:19" x14ac:dyDescent="0.25">
      <c r="A198" s="1">
        <v>9</v>
      </c>
      <c r="C198" s="7" t="s">
        <v>273</v>
      </c>
      <c r="D198" s="17">
        <v>29102</v>
      </c>
      <c r="E198" s="7" t="s">
        <v>14</v>
      </c>
      <c r="F198" s="7" t="s">
        <v>263</v>
      </c>
      <c r="G198" s="7" t="s">
        <v>89</v>
      </c>
      <c r="H198" s="7" t="s">
        <v>35</v>
      </c>
      <c r="I198" s="7">
        <v>203699</v>
      </c>
      <c r="J198" s="7" t="s">
        <v>283</v>
      </c>
      <c r="K198" s="24">
        <v>16</v>
      </c>
      <c r="L198" s="24">
        <v>2</v>
      </c>
      <c r="M198" s="24">
        <v>10</v>
      </c>
      <c r="N198" s="8" t="s">
        <v>284</v>
      </c>
      <c r="O198" s="18">
        <v>44337</v>
      </c>
      <c r="P198" s="8" t="s">
        <v>77</v>
      </c>
      <c r="Q198" s="8"/>
    </row>
    <row r="199" spans="1:19" x14ac:dyDescent="0.25">
      <c r="A199" s="1">
        <v>10</v>
      </c>
      <c r="C199" s="7" t="s">
        <v>276</v>
      </c>
      <c r="D199" s="17">
        <v>30821</v>
      </c>
      <c r="E199" s="7" t="s">
        <v>14</v>
      </c>
      <c r="F199" s="7" t="s">
        <v>269</v>
      </c>
      <c r="G199" s="7" t="s">
        <v>89</v>
      </c>
      <c r="H199" s="7" t="s">
        <v>35</v>
      </c>
      <c r="I199" s="7">
        <v>197260</v>
      </c>
      <c r="J199" s="7" t="s">
        <v>277</v>
      </c>
      <c r="K199" s="24">
        <v>16</v>
      </c>
      <c r="L199" s="24">
        <v>2</v>
      </c>
      <c r="M199" s="24">
        <v>10</v>
      </c>
      <c r="N199" s="8" t="s">
        <v>284</v>
      </c>
      <c r="O199" s="18">
        <v>44337</v>
      </c>
      <c r="P199" s="8" t="s">
        <v>77</v>
      </c>
      <c r="Q199" s="8"/>
    </row>
    <row r="200" spans="1:19" x14ac:dyDescent="0.25">
      <c r="A200" s="1">
        <v>11</v>
      </c>
      <c r="C200" s="7" t="s">
        <v>285</v>
      </c>
      <c r="D200" s="17">
        <v>27786</v>
      </c>
      <c r="E200" s="7" t="s">
        <v>14</v>
      </c>
      <c r="F200" s="7" t="s">
        <v>88</v>
      </c>
      <c r="G200" s="7" t="s">
        <v>264</v>
      </c>
      <c r="H200" s="7" t="s">
        <v>35</v>
      </c>
      <c r="I200" s="7">
        <v>433424</v>
      </c>
      <c r="J200" s="7" t="s">
        <v>286</v>
      </c>
      <c r="K200" s="24">
        <v>8</v>
      </c>
      <c r="L200" s="24">
        <v>1</v>
      </c>
      <c r="M200" s="24">
        <v>7</v>
      </c>
      <c r="N200" s="8" t="s">
        <v>93</v>
      </c>
      <c r="O200" s="18">
        <v>44342</v>
      </c>
      <c r="P200" s="8" t="s">
        <v>77</v>
      </c>
      <c r="Q200" s="8"/>
    </row>
    <row r="201" spans="1:19" x14ac:dyDescent="0.25">
      <c r="A201" s="1">
        <v>12</v>
      </c>
      <c r="C201" s="7" t="s">
        <v>273</v>
      </c>
      <c r="D201" s="17">
        <v>29103</v>
      </c>
      <c r="E201" s="7" t="s">
        <v>14</v>
      </c>
      <c r="F201" s="7" t="s">
        <v>263</v>
      </c>
      <c r="G201" s="7" t="s">
        <v>89</v>
      </c>
      <c r="H201" s="7" t="s">
        <v>35</v>
      </c>
      <c r="I201" s="7">
        <v>203699</v>
      </c>
      <c r="J201" s="7" t="s">
        <v>283</v>
      </c>
      <c r="K201" s="24">
        <v>16</v>
      </c>
      <c r="L201" s="24">
        <v>2</v>
      </c>
      <c r="M201" s="24">
        <v>8</v>
      </c>
      <c r="N201" s="8" t="s">
        <v>97</v>
      </c>
      <c r="O201" s="18">
        <v>44344</v>
      </c>
      <c r="P201" s="8" t="s">
        <v>77</v>
      </c>
      <c r="Q201" s="8"/>
    </row>
    <row r="202" spans="1:19" x14ac:dyDescent="0.25">
      <c r="A202" s="1">
        <v>13</v>
      </c>
      <c r="C202" s="7" t="s">
        <v>285</v>
      </c>
      <c r="D202" s="17">
        <v>27818</v>
      </c>
      <c r="E202" s="7" t="s">
        <v>14</v>
      </c>
      <c r="F202" s="7" t="s">
        <v>88</v>
      </c>
      <c r="G202" s="7" t="s">
        <v>89</v>
      </c>
      <c r="H202" s="7" t="s">
        <v>35</v>
      </c>
      <c r="I202" s="7">
        <v>318824</v>
      </c>
      <c r="J202" s="7" t="s">
        <v>287</v>
      </c>
      <c r="K202" s="24">
        <v>16</v>
      </c>
      <c r="L202" s="24">
        <v>2</v>
      </c>
      <c r="M202" s="24">
        <v>7</v>
      </c>
      <c r="N202" s="8" t="s">
        <v>97</v>
      </c>
      <c r="O202" s="18">
        <v>44344</v>
      </c>
      <c r="P202" s="8" t="s">
        <v>77</v>
      </c>
      <c r="Q202" s="8"/>
    </row>
    <row r="203" spans="1:19" x14ac:dyDescent="0.25">
      <c r="A203" s="1">
        <v>14</v>
      </c>
      <c r="C203" s="7" t="s">
        <v>273</v>
      </c>
      <c r="D203" s="17">
        <v>29104</v>
      </c>
      <c r="E203" s="7" t="s">
        <v>14</v>
      </c>
      <c r="F203" s="7" t="s">
        <v>263</v>
      </c>
      <c r="G203" s="7" t="s">
        <v>89</v>
      </c>
      <c r="H203" s="7" t="s">
        <v>35</v>
      </c>
      <c r="I203" s="7">
        <v>203699</v>
      </c>
      <c r="J203" s="7" t="s">
        <v>283</v>
      </c>
      <c r="K203" s="24">
        <v>16</v>
      </c>
      <c r="L203" s="24">
        <v>2</v>
      </c>
      <c r="M203" s="24">
        <v>8</v>
      </c>
      <c r="N203" s="8" t="s">
        <v>99</v>
      </c>
      <c r="O203" s="8" t="s">
        <v>101</v>
      </c>
      <c r="P203" s="8" t="s">
        <v>100</v>
      </c>
      <c r="Q203" s="8"/>
    </row>
    <row r="204" spans="1:19" x14ac:dyDescent="0.25">
      <c r="A204" s="1">
        <v>15</v>
      </c>
      <c r="C204" s="7" t="s">
        <v>262</v>
      </c>
      <c r="D204" s="17">
        <v>27999</v>
      </c>
      <c r="E204" s="7" t="s">
        <v>14</v>
      </c>
      <c r="F204" s="7" t="s">
        <v>88</v>
      </c>
      <c r="G204" s="7" t="s">
        <v>288</v>
      </c>
      <c r="H204" s="7" t="s">
        <v>35</v>
      </c>
      <c r="I204" s="7">
        <v>686135</v>
      </c>
      <c r="J204" s="7" t="s">
        <v>265</v>
      </c>
      <c r="K204" s="24">
        <v>16</v>
      </c>
      <c r="L204" s="24">
        <v>2</v>
      </c>
      <c r="M204" s="24">
        <v>6</v>
      </c>
      <c r="N204" s="8" t="s">
        <v>99</v>
      </c>
      <c r="O204" s="8" t="s">
        <v>101</v>
      </c>
      <c r="P204" s="8" t="s">
        <v>100</v>
      </c>
      <c r="Q204" s="8"/>
    </row>
    <row r="205" spans="1:19" x14ac:dyDescent="0.25">
      <c r="A205" s="1">
        <v>16</v>
      </c>
      <c r="C205" s="7" t="s">
        <v>262</v>
      </c>
      <c r="D205" s="17">
        <v>28003</v>
      </c>
      <c r="E205" s="7" t="s">
        <v>14</v>
      </c>
      <c r="F205" s="7" t="s">
        <v>88</v>
      </c>
      <c r="G205" s="7" t="s">
        <v>288</v>
      </c>
      <c r="H205" s="7" t="s">
        <v>35</v>
      </c>
      <c r="I205" s="7">
        <v>686135</v>
      </c>
      <c r="J205" s="7" t="s">
        <v>265</v>
      </c>
      <c r="K205" s="24">
        <v>16</v>
      </c>
      <c r="L205" s="24">
        <v>2</v>
      </c>
      <c r="M205" s="24">
        <v>8</v>
      </c>
      <c r="N205" s="8" t="s">
        <v>289</v>
      </c>
      <c r="O205" s="8" t="s">
        <v>290</v>
      </c>
      <c r="P205" s="8" t="s">
        <v>100</v>
      </c>
      <c r="Q205" s="8"/>
    </row>
    <row r="206" spans="1:19" x14ac:dyDescent="0.25">
      <c r="A206" s="1">
        <v>17</v>
      </c>
      <c r="C206" s="7" t="s">
        <v>273</v>
      </c>
      <c r="D206" s="17">
        <v>29101</v>
      </c>
      <c r="E206" s="7" t="s">
        <v>14</v>
      </c>
      <c r="F206" s="7" t="s">
        <v>263</v>
      </c>
      <c r="G206" s="7" t="s">
        <v>89</v>
      </c>
      <c r="H206" s="7" t="s">
        <v>35</v>
      </c>
      <c r="I206" s="7">
        <v>203699</v>
      </c>
      <c r="J206" s="7" t="s">
        <v>283</v>
      </c>
      <c r="K206" s="24">
        <v>16</v>
      </c>
      <c r="L206" s="24">
        <v>2</v>
      </c>
      <c r="M206" s="24">
        <v>10</v>
      </c>
      <c r="N206" s="8" t="s">
        <v>289</v>
      </c>
      <c r="O206" s="8" t="s">
        <v>290</v>
      </c>
      <c r="P206" s="8" t="s">
        <v>100</v>
      </c>
      <c r="Q206" s="8"/>
    </row>
    <row r="207" spans="1:19" x14ac:dyDescent="0.25">
      <c r="A207" s="1">
        <v>18</v>
      </c>
      <c r="C207" s="7" t="s">
        <v>276</v>
      </c>
      <c r="D207" s="17">
        <v>30822</v>
      </c>
      <c r="E207" s="7" t="s">
        <v>14</v>
      </c>
      <c r="F207" s="7" t="s">
        <v>269</v>
      </c>
      <c r="G207" s="7" t="s">
        <v>89</v>
      </c>
      <c r="H207" s="7" t="s">
        <v>35</v>
      </c>
      <c r="I207" s="7">
        <v>197260</v>
      </c>
      <c r="J207" s="7" t="s">
        <v>277</v>
      </c>
      <c r="K207" s="24">
        <v>16</v>
      </c>
      <c r="L207" s="24">
        <v>2</v>
      </c>
      <c r="M207" s="24">
        <v>8</v>
      </c>
      <c r="N207" s="8" t="s">
        <v>289</v>
      </c>
      <c r="O207" s="8" t="s">
        <v>290</v>
      </c>
      <c r="P207" s="8" t="s">
        <v>100</v>
      </c>
      <c r="Q207" s="8"/>
    </row>
    <row r="208" spans="1:19" x14ac:dyDescent="0.25">
      <c r="A208" s="1">
        <v>19</v>
      </c>
      <c r="C208" s="7" t="s">
        <v>285</v>
      </c>
      <c r="D208" s="17">
        <v>29238</v>
      </c>
      <c r="E208" s="7" t="s">
        <v>14</v>
      </c>
      <c r="F208" s="7" t="s">
        <v>263</v>
      </c>
      <c r="G208" s="7" t="s">
        <v>159</v>
      </c>
      <c r="H208" s="7" t="s">
        <v>35</v>
      </c>
      <c r="I208" s="7">
        <v>365499</v>
      </c>
      <c r="J208" s="7" t="s">
        <v>291</v>
      </c>
      <c r="K208" s="24">
        <v>16</v>
      </c>
      <c r="L208" s="24">
        <v>2</v>
      </c>
      <c r="M208" s="24">
        <v>12</v>
      </c>
      <c r="N208" s="8" t="s">
        <v>292</v>
      </c>
      <c r="O208" s="8" t="s">
        <v>293</v>
      </c>
      <c r="P208" s="8" t="s">
        <v>100</v>
      </c>
      <c r="Q208" s="8"/>
    </row>
    <row r="209" spans="1:19" x14ac:dyDescent="0.25">
      <c r="A209" s="1">
        <v>20</v>
      </c>
      <c r="C209" s="7" t="s">
        <v>285</v>
      </c>
      <c r="D209" s="17">
        <v>27973</v>
      </c>
      <c r="E209" s="7" t="s">
        <v>14</v>
      </c>
      <c r="F209" s="7" t="s">
        <v>88</v>
      </c>
      <c r="G209" s="7" t="s">
        <v>294</v>
      </c>
      <c r="H209" s="7" t="s">
        <v>35</v>
      </c>
      <c r="I209" s="7">
        <v>318824</v>
      </c>
      <c r="J209" s="7" t="s">
        <v>287</v>
      </c>
      <c r="K209" s="24">
        <v>8</v>
      </c>
      <c r="L209" s="24">
        <v>1</v>
      </c>
      <c r="M209" s="24">
        <v>6</v>
      </c>
      <c r="N209" s="8" t="s">
        <v>295</v>
      </c>
      <c r="O209" s="8" t="s">
        <v>295</v>
      </c>
      <c r="P209" s="8" t="s">
        <v>100</v>
      </c>
      <c r="Q209" s="8"/>
    </row>
    <row r="210" spans="1:19" x14ac:dyDescent="0.25">
      <c r="A210" s="1">
        <v>21</v>
      </c>
      <c r="C210" s="7" t="s">
        <v>285</v>
      </c>
      <c r="D210" s="17">
        <v>27974</v>
      </c>
      <c r="E210" s="7" t="s">
        <v>14</v>
      </c>
      <c r="F210" s="7" t="s">
        <v>88</v>
      </c>
      <c r="G210" s="7" t="s">
        <v>294</v>
      </c>
      <c r="H210" s="7" t="s">
        <v>35</v>
      </c>
      <c r="I210" s="7">
        <v>280104</v>
      </c>
      <c r="J210" s="7" t="s">
        <v>296</v>
      </c>
      <c r="K210" s="24">
        <v>8</v>
      </c>
      <c r="L210" s="24">
        <v>1</v>
      </c>
      <c r="M210" s="24">
        <v>6</v>
      </c>
      <c r="N210" s="8" t="s">
        <v>102</v>
      </c>
      <c r="O210" s="8" t="s">
        <v>102</v>
      </c>
      <c r="P210" s="8" t="s">
        <v>100</v>
      </c>
      <c r="Q210" s="8"/>
    </row>
    <row r="211" spans="1:19" x14ac:dyDescent="0.25">
      <c r="A211" s="1">
        <v>22</v>
      </c>
      <c r="C211" s="7" t="s">
        <v>297</v>
      </c>
      <c r="D211" s="17">
        <v>29105</v>
      </c>
      <c r="E211" s="7" t="s">
        <v>14</v>
      </c>
      <c r="F211" s="7" t="s">
        <v>263</v>
      </c>
      <c r="G211" s="7" t="s">
        <v>89</v>
      </c>
      <c r="H211" s="7" t="s">
        <v>35</v>
      </c>
      <c r="I211" s="7">
        <v>433424</v>
      </c>
      <c r="J211" s="7" t="s">
        <v>286</v>
      </c>
      <c r="K211" s="24">
        <v>16</v>
      </c>
      <c r="L211" s="24">
        <v>2</v>
      </c>
      <c r="M211" s="24">
        <v>5</v>
      </c>
      <c r="N211" s="8" t="s">
        <v>102</v>
      </c>
      <c r="O211" s="8" t="s">
        <v>103</v>
      </c>
      <c r="P211" s="8" t="s">
        <v>100</v>
      </c>
      <c r="Q211" s="8"/>
    </row>
    <row r="212" spans="1:19" x14ac:dyDescent="0.25">
      <c r="A212" s="1">
        <v>23</v>
      </c>
      <c r="C212" s="7" t="s">
        <v>262</v>
      </c>
      <c r="D212" s="17">
        <v>28001</v>
      </c>
      <c r="E212" s="7" t="s">
        <v>14</v>
      </c>
      <c r="F212" s="7" t="s">
        <v>88</v>
      </c>
      <c r="G212" s="7" t="s">
        <v>288</v>
      </c>
      <c r="H212" s="7" t="s">
        <v>35</v>
      </c>
      <c r="I212" s="7">
        <v>686135</v>
      </c>
      <c r="J212" s="7" t="s">
        <v>265</v>
      </c>
      <c r="K212" s="24">
        <v>16</v>
      </c>
      <c r="L212" s="24">
        <v>2</v>
      </c>
      <c r="M212" s="24">
        <v>8</v>
      </c>
      <c r="N212" s="8" t="s">
        <v>102</v>
      </c>
      <c r="O212" s="8" t="s">
        <v>103</v>
      </c>
      <c r="P212" s="8" t="s">
        <v>100</v>
      </c>
      <c r="Q212" s="8"/>
    </row>
    <row r="213" spans="1:19" x14ac:dyDescent="0.25">
      <c r="A213" s="1">
        <v>24</v>
      </c>
      <c r="C213" s="7" t="s">
        <v>262</v>
      </c>
      <c r="D213" s="17">
        <v>28000</v>
      </c>
      <c r="E213" s="7" t="s">
        <v>14</v>
      </c>
      <c r="F213" s="7" t="s">
        <v>88</v>
      </c>
      <c r="G213" s="7" t="s">
        <v>288</v>
      </c>
      <c r="H213" s="7" t="s">
        <v>35</v>
      </c>
      <c r="I213" s="7">
        <v>686135</v>
      </c>
      <c r="J213" s="7" t="s">
        <v>265</v>
      </c>
      <c r="K213" s="24">
        <v>16</v>
      </c>
      <c r="L213" s="24">
        <v>2</v>
      </c>
      <c r="M213" s="24">
        <v>8</v>
      </c>
      <c r="N213" s="8" t="s">
        <v>104</v>
      </c>
      <c r="O213" s="8" t="s">
        <v>298</v>
      </c>
      <c r="P213" s="8" t="s">
        <v>100</v>
      </c>
      <c r="Q213" s="8"/>
    </row>
    <row r="214" spans="1:19" s="110" customFormat="1" x14ac:dyDescent="0.25">
      <c r="A214" s="1">
        <v>25</v>
      </c>
      <c r="B214"/>
      <c r="C214" s="7" t="s">
        <v>262</v>
      </c>
      <c r="D214" s="17">
        <v>28002</v>
      </c>
      <c r="E214" s="7" t="s">
        <v>14</v>
      </c>
      <c r="F214" s="7" t="s">
        <v>88</v>
      </c>
      <c r="G214" s="7" t="s">
        <v>288</v>
      </c>
      <c r="H214" s="7" t="s">
        <v>35</v>
      </c>
      <c r="I214" s="7">
        <v>686135</v>
      </c>
      <c r="J214" s="7" t="s">
        <v>265</v>
      </c>
      <c r="K214" s="24">
        <v>16</v>
      </c>
      <c r="L214" s="24">
        <v>2</v>
      </c>
      <c r="M214" s="24">
        <v>7</v>
      </c>
      <c r="N214" s="8" t="s">
        <v>299</v>
      </c>
      <c r="O214" s="8" t="s">
        <v>300</v>
      </c>
      <c r="P214" s="8" t="s">
        <v>100</v>
      </c>
      <c r="Q214" s="8"/>
      <c r="R214"/>
      <c r="S214"/>
    </row>
    <row r="215" spans="1:19" x14ac:dyDescent="0.25">
      <c r="A215" s="1">
        <v>26</v>
      </c>
      <c r="C215" s="7" t="s">
        <v>268</v>
      </c>
      <c r="D215" s="17">
        <v>25602</v>
      </c>
      <c r="E215" s="7" t="s">
        <v>14</v>
      </c>
      <c r="F215" s="7" t="s">
        <v>269</v>
      </c>
      <c r="G215" s="7" t="s">
        <v>62</v>
      </c>
      <c r="H215" s="7" t="s">
        <v>35</v>
      </c>
      <c r="I215" s="7">
        <v>341401</v>
      </c>
      <c r="J215" s="7" t="s">
        <v>301</v>
      </c>
      <c r="K215" s="24">
        <v>24</v>
      </c>
      <c r="L215" s="24">
        <v>3</v>
      </c>
      <c r="M215" s="24">
        <v>5</v>
      </c>
      <c r="N215" s="8" t="s">
        <v>299</v>
      </c>
      <c r="O215" s="8" t="s">
        <v>107</v>
      </c>
      <c r="P215" s="8" t="s">
        <v>100</v>
      </c>
      <c r="Q215" s="8"/>
    </row>
    <row r="216" spans="1:19" x14ac:dyDescent="0.25">
      <c r="A216" s="1">
        <v>27</v>
      </c>
      <c r="C216" s="7" t="s">
        <v>262</v>
      </c>
      <c r="D216" s="17">
        <v>27811</v>
      </c>
      <c r="E216" s="7" t="s">
        <v>14</v>
      </c>
      <c r="F216" s="7" t="s">
        <v>88</v>
      </c>
      <c r="G216" s="7" t="s">
        <v>302</v>
      </c>
      <c r="H216" s="7" t="s">
        <v>35</v>
      </c>
      <c r="I216" s="7">
        <v>686135</v>
      </c>
      <c r="J216" s="7" t="s">
        <v>265</v>
      </c>
      <c r="K216" s="24">
        <v>8</v>
      </c>
      <c r="L216" s="24">
        <v>1</v>
      </c>
      <c r="M216" s="24">
        <v>7</v>
      </c>
      <c r="N216" s="8" t="s">
        <v>107</v>
      </c>
      <c r="O216" s="8" t="s">
        <v>107</v>
      </c>
      <c r="P216" s="8" t="s">
        <v>100</v>
      </c>
      <c r="Q216" s="8"/>
    </row>
    <row r="217" spans="1:19" x14ac:dyDescent="0.25">
      <c r="A217" s="1">
        <v>28</v>
      </c>
      <c r="C217" s="7" t="s">
        <v>262</v>
      </c>
      <c r="D217" s="17">
        <v>27812</v>
      </c>
      <c r="E217" s="7" t="s">
        <v>14</v>
      </c>
      <c r="F217" s="7" t="s">
        <v>88</v>
      </c>
      <c r="G217" s="7" t="s">
        <v>302</v>
      </c>
      <c r="H217" s="7" t="s">
        <v>35</v>
      </c>
      <c r="I217" s="7">
        <v>686135</v>
      </c>
      <c r="J217" s="7" t="s">
        <v>265</v>
      </c>
      <c r="K217" s="24">
        <v>8</v>
      </c>
      <c r="L217" s="24">
        <v>1</v>
      </c>
      <c r="M217" s="24">
        <v>6</v>
      </c>
      <c r="N217" s="8" t="s">
        <v>106</v>
      </c>
      <c r="O217" s="8" t="s">
        <v>106</v>
      </c>
      <c r="P217" s="8" t="s">
        <v>100</v>
      </c>
      <c r="Q217" s="8"/>
    </row>
    <row r="218" spans="1:19" x14ac:dyDescent="0.25">
      <c r="A218" s="1">
        <v>29</v>
      </c>
      <c r="C218" s="7" t="s">
        <v>262</v>
      </c>
      <c r="D218" s="17">
        <v>27813</v>
      </c>
      <c r="E218" s="7" t="s">
        <v>14</v>
      </c>
      <c r="F218" s="7" t="s">
        <v>88</v>
      </c>
      <c r="G218" s="7" t="s">
        <v>302</v>
      </c>
      <c r="H218" s="7" t="s">
        <v>35</v>
      </c>
      <c r="I218" s="7">
        <v>686135</v>
      </c>
      <c r="J218" s="7" t="s">
        <v>265</v>
      </c>
      <c r="K218" s="24">
        <v>8</v>
      </c>
      <c r="L218" s="24">
        <v>1</v>
      </c>
      <c r="M218" s="24">
        <v>5</v>
      </c>
      <c r="N218" s="8" t="s">
        <v>303</v>
      </c>
      <c r="O218" s="8" t="s">
        <v>303</v>
      </c>
      <c r="P218" s="8" t="s">
        <v>100</v>
      </c>
      <c r="Q218" s="8"/>
    </row>
    <row r="219" spans="1:19" x14ac:dyDescent="0.25">
      <c r="A219" s="1">
        <v>30</v>
      </c>
      <c r="C219" s="7" t="s">
        <v>285</v>
      </c>
      <c r="D219" s="17">
        <v>29237</v>
      </c>
      <c r="E219" s="7" t="s">
        <v>14</v>
      </c>
      <c r="F219" s="7" t="s">
        <v>263</v>
      </c>
      <c r="G219" s="7" t="s">
        <v>159</v>
      </c>
      <c r="H219" s="7" t="s">
        <v>35</v>
      </c>
      <c r="I219" s="7">
        <v>365499</v>
      </c>
      <c r="J219" s="7" t="s">
        <v>291</v>
      </c>
      <c r="K219" s="24">
        <v>16</v>
      </c>
      <c r="L219" s="24">
        <v>2</v>
      </c>
      <c r="M219" s="24">
        <v>7</v>
      </c>
      <c r="N219" s="8" t="s">
        <v>304</v>
      </c>
      <c r="O219" s="8" t="s">
        <v>305</v>
      </c>
      <c r="P219" s="8" t="s">
        <v>100</v>
      </c>
      <c r="Q219" s="8"/>
    </row>
    <row r="220" spans="1:19" x14ac:dyDescent="0.25">
      <c r="A220" s="1">
        <v>31</v>
      </c>
      <c r="C220" s="7" t="s">
        <v>262</v>
      </c>
      <c r="D220" s="17">
        <v>27825</v>
      </c>
      <c r="E220" s="7" t="s">
        <v>14</v>
      </c>
      <c r="F220" s="7" t="s">
        <v>88</v>
      </c>
      <c r="G220" s="7" t="s">
        <v>89</v>
      </c>
      <c r="H220" s="7" t="s">
        <v>35</v>
      </c>
      <c r="I220" s="7">
        <v>686135</v>
      </c>
      <c r="J220" s="7" t="s">
        <v>265</v>
      </c>
      <c r="K220" s="24">
        <v>16</v>
      </c>
      <c r="L220" s="24">
        <v>2</v>
      </c>
      <c r="M220" s="24">
        <v>6</v>
      </c>
      <c r="N220" s="8" t="s">
        <v>304</v>
      </c>
      <c r="O220" s="8" t="s">
        <v>305</v>
      </c>
      <c r="P220" s="8" t="s">
        <v>100</v>
      </c>
      <c r="Q220" s="8"/>
    </row>
    <row r="221" spans="1:19" x14ac:dyDescent="0.25">
      <c r="A221" s="1">
        <v>32</v>
      </c>
      <c r="C221" s="7" t="s">
        <v>262</v>
      </c>
      <c r="D221" s="17">
        <v>27823</v>
      </c>
      <c r="E221" s="7" t="s">
        <v>14</v>
      </c>
      <c r="F221" s="7" t="s">
        <v>88</v>
      </c>
      <c r="G221" s="7" t="s">
        <v>89</v>
      </c>
      <c r="H221" s="7" t="s">
        <v>35</v>
      </c>
      <c r="I221" s="7">
        <v>686135</v>
      </c>
      <c r="J221" s="7" t="s">
        <v>265</v>
      </c>
      <c r="K221" s="24">
        <v>16</v>
      </c>
      <c r="L221" s="24">
        <v>2</v>
      </c>
      <c r="M221" s="24">
        <v>5</v>
      </c>
      <c r="N221" s="8" t="s">
        <v>110</v>
      </c>
      <c r="O221" s="8" t="s">
        <v>113</v>
      </c>
      <c r="P221" s="8" t="s">
        <v>100</v>
      </c>
      <c r="Q221" s="8"/>
    </row>
    <row r="222" spans="1:19" x14ac:dyDescent="0.25">
      <c r="A222" s="1">
        <v>33</v>
      </c>
      <c r="C222" s="7" t="s">
        <v>262</v>
      </c>
      <c r="D222" s="17">
        <v>27824</v>
      </c>
      <c r="E222" s="7" t="s">
        <v>14</v>
      </c>
      <c r="F222" s="7" t="s">
        <v>88</v>
      </c>
      <c r="G222" s="7" t="s">
        <v>89</v>
      </c>
      <c r="H222" s="7" t="s">
        <v>35</v>
      </c>
      <c r="I222" s="7">
        <v>686135</v>
      </c>
      <c r="J222" s="7" t="s">
        <v>265</v>
      </c>
      <c r="K222" s="24">
        <v>16</v>
      </c>
      <c r="L222" s="24">
        <v>2</v>
      </c>
      <c r="M222" s="24">
        <v>6</v>
      </c>
      <c r="N222" s="8" t="s">
        <v>306</v>
      </c>
      <c r="O222" s="8" t="s">
        <v>115</v>
      </c>
      <c r="P222" s="8" t="s">
        <v>100</v>
      </c>
      <c r="Q222" s="8"/>
    </row>
    <row r="223" spans="1:19" x14ac:dyDescent="0.25">
      <c r="A223" s="1">
        <v>34</v>
      </c>
      <c r="C223" s="7" t="s">
        <v>268</v>
      </c>
      <c r="D223" s="17">
        <v>23321</v>
      </c>
      <c r="E223" s="7" t="s">
        <v>14</v>
      </c>
      <c r="F223" s="7" t="s">
        <v>269</v>
      </c>
      <c r="G223" s="7" t="s">
        <v>71</v>
      </c>
      <c r="H223" s="7" t="s">
        <v>35</v>
      </c>
      <c r="I223" s="7">
        <v>590998</v>
      </c>
      <c r="J223" s="7" t="s">
        <v>307</v>
      </c>
      <c r="K223" s="24">
        <v>16</v>
      </c>
      <c r="L223" s="24">
        <v>4</v>
      </c>
      <c r="M223" s="24">
        <v>5</v>
      </c>
      <c r="N223" s="8" t="s">
        <v>306</v>
      </c>
      <c r="O223" s="8" t="s">
        <v>308</v>
      </c>
      <c r="P223" s="8" t="s">
        <v>100</v>
      </c>
      <c r="Q223" s="8"/>
    </row>
    <row r="224" spans="1:19" x14ac:dyDescent="0.25">
      <c r="A224" s="1">
        <v>35</v>
      </c>
      <c r="C224" s="7" t="s">
        <v>285</v>
      </c>
      <c r="D224" s="17">
        <v>27819</v>
      </c>
      <c r="E224" s="7" t="s">
        <v>14</v>
      </c>
      <c r="F224" s="7" t="s">
        <v>88</v>
      </c>
      <c r="G224" s="7" t="s">
        <v>89</v>
      </c>
      <c r="H224" s="7" t="s">
        <v>35</v>
      </c>
      <c r="I224" s="7">
        <v>318824</v>
      </c>
      <c r="J224" s="7" t="s">
        <v>287</v>
      </c>
      <c r="K224" s="24">
        <v>16</v>
      </c>
      <c r="L224" s="24">
        <v>2</v>
      </c>
      <c r="M224" s="24">
        <v>5</v>
      </c>
      <c r="N224" s="8" t="s">
        <v>308</v>
      </c>
      <c r="O224" s="8" t="s">
        <v>117</v>
      </c>
      <c r="P224" s="8" t="s">
        <v>119</v>
      </c>
      <c r="Q224" s="8"/>
    </row>
    <row r="225" spans="1:17" x14ac:dyDescent="0.25">
      <c r="A225" s="1">
        <v>36</v>
      </c>
      <c r="C225" s="7" t="s">
        <v>309</v>
      </c>
      <c r="D225" s="17">
        <v>27970</v>
      </c>
      <c r="E225" s="7" t="s">
        <v>14</v>
      </c>
      <c r="F225" s="7" t="s">
        <v>88</v>
      </c>
      <c r="G225" s="7" t="s">
        <v>127</v>
      </c>
      <c r="H225" s="7" t="s">
        <v>35</v>
      </c>
      <c r="I225" s="7">
        <v>318824</v>
      </c>
      <c r="J225" s="7" t="s">
        <v>287</v>
      </c>
      <c r="K225" s="24">
        <v>16</v>
      </c>
      <c r="L225" s="24">
        <v>2</v>
      </c>
      <c r="M225" s="24">
        <v>6</v>
      </c>
      <c r="N225" s="8" t="s">
        <v>310</v>
      </c>
      <c r="O225" s="8" t="s">
        <v>311</v>
      </c>
      <c r="P225" s="8" t="s">
        <v>119</v>
      </c>
      <c r="Q225" s="8"/>
    </row>
    <row r="226" spans="1:17" x14ac:dyDescent="0.25">
      <c r="A226" s="1">
        <v>37</v>
      </c>
      <c r="C226" s="7" t="s">
        <v>312</v>
      </c>
      <c r="D226" s="17">
        <v>29854</v>
      </c>
      <c r="E226" s="7" t="s">
        <v>14</v>
      </c>
      <c r="F226" s="7" t="s">
        <v>313</v>
      </c>
      <c r="G226" s="7" t="s">
        <v>40</v>
      </c>
      <c r="H226" s="7" t="s">
        <v>35</v>
      </c>
      <c r="I226" s="7">
        <v>328559</v>
      </c>
      <c r="J226" s="7" t="s">
        <v>314</v>
      </c>
      <c r="K226" s="24">
        <v>24</v>
      </c>
      <c r="L226" s="24">
        <v>3</v>
      </c>
      <c r="M226" s="24">
        <v>3</v>
      </c>
      <c r="N226" s="8" t="s">
        <v>310</v>
      </c>
      <c r="O226" s="8" t="s">
        <v>123</v>
      </c>
      <c r="P226" s="8" t="s">
        <v>119</v>
      </c>
      <c r="Q226" s="8"/>
    </row>
    <row r="227" spans="1:17" x14ac:dyDescent="0.25">
      <c r="A227" s="1">
        <v>38</v>
      </c>
      <c r="C227" s="7" t="s">
        <v>285</v>
      </c>
      <c r="D227" s="17">
        <v>27820</v>
      </c>
      <c r="E227" s="7" t="s">
        <v>14</v>
      </c>
      <c r="F227" s="7" t="s">
        <v>88</v>
      </c>
      <c r="G227" s="7" t="s">
        <v>89</v>
      </c>
      <c r="H227" s="7" t="s">
        <v>35</v>
      </c>
      <c r="I227" s="7">
        <v>318824</v>
      </c>
      <c r="J227" s="7" t="s">
        <v>287</v>
      </c>
      <c r="K227" s="24">
        <v>16</v>
      </c>
      <c r="L227" s="24">
        <v>2</v>
      </c>
      <c r="M227" s="24">
        <v>5</v>
      </c>
      <c r="N227" s="8" t="s">
        <v>120</v>
      </c>
      <c r="O227" s="8" t="s">
        <v>121</v>
      </c>
      <c r="P227" s="8" t="s">
        <v>119</v>
      </c>
      <c r="Q227" s="8"/>
    </row>
    <row r="228" spans="1:17" x14ac:dyDescent="0.25">
      <c r="A228" s="1">
        <v>39</v>
      </c>
      <c r="C228" s="7" t="s">
        <v>276</v>
      </c>
      <c r="D228" s="17">
        <v>30818</v>
      </c>
      <c r="E228" s="7" t="s">
        <v>14</v>
      </c>
      <c r="F228" s="7" t="s">
        <v>269</v>
      </c>
      <c r="G228" s="7" t="s">
        <v>89</v>
      </c>
      <c r="H228" s="7" t="s">
        <v>35</v>
      </c>
      <c r="I228" s="7">
        <v>197260</v>
      </c>
      <c r="J228" s="7" t="s">
        <v>277</v>
      </c>
      <c r="K228" s="24">
        <v>16</v>
      </c>
      <c r="L228" s="24">
        <v>2</v>
      </c>
      <c r="M228" s="24">
        <v>10</v>
      </c>
      <c r="N228" s="8" t="s">
        <v>120</v>
      </c>
      <c r="O228" s="8" t="s">
        <v>121</v>
      </c>
      <c r="P228" s="8" t="s">
        <v>119</v>
      </c>
      <c r="Q228" s="8"/>
    </row>
    <row r="229" spans="1:17" x14ac:dyDescent="0.25">
      <c r="A229" s="1">
        <v>40</v>
      </c>
      <c r="C229" s="7" t="s">
        <v>309</v>
      </c>
      <c r="D229" s="17">
        <v>27971</v>
      </c>
      <c r="E229" s="7" t="s">
        <v>14</v>
      </c>
      <c r="F229" s="7" t="s">
        <v>88</v>
      </c>
      <c r="G229" s="7" t="s">
        <v>127</v>
      </c>
      <c r="H229" s="7" t="s">
        <v>35</v>
      </c>
      <c r="I229" s="7">
        <v>318824</v>
      </c>
      <c r="J229" s="7" t="s">
        <v>287</v>
      </c>
      <c r="K229" s="24">
        <v>16</v>
      </c>
      <c r="L229" s="24">
        <v>2</v>
      </c>
      <c r="M229" s="24">
        <v>4</v>
      </c>
      <c r="N229" s="8" t="s">
        <v>126</v>
      </c>
      <c r="O229" s="8" t="s">
        <v>315</v>
      </c>
      <c r="P229" s="8" t="s">
        <v>119</v>
      </c>
      <c r="Q229" s="8"/>
    </row>
    <row r="230" spans="1:17" x14ac:dyDescent="0.25">
      <c r="A230" s="1">
        <v>41</v>
      </c>
      <c r="C230" s="7" t="s">
        <v>312</v>
      </c>
      <c r="D230" s="17">
        <v>29721</v>
      </c>
      <c r="E230" s="7" t="s">
        <v>14</v>
      </c>
      <c r="F230" s="7" t="s">
        <v>313</v>
      </c>
      <c r="G230" s="7" t="s">
        <v>89</v>
      </c>
      <c r="H230" s="7" t="s">
        <v>35</v>
      </c>
      <c r="I230" s="7">
        <v>374049</v>
      </c>
      <c r="J230" s="7" t="s">
        <v>316</v>
      </c>
      <c r="K230" s="24">
        <v>16</v>
      </c>
      <c r="L230" s="24">
        <v>2</v>
      </c>
      <c r="M230" s="24">
        <v>2</v>
      </c>
      <c r="N230" s="8" t="s">
        <v>126</v>
      </c>
      <c r="O230" s="8" t="s">
        <v>315</v>
      </c>
      <c r="P230" s="8" t="s">
        <v>119</v>
      </c>
      <c r="Q230" s="8"/>
    </row>
    <row r="231" spans="1:17" x14ac:dyDescent="0.25">
      <c r="A231" s="1">
        <v>42</v>
      </c>
      <c r="C231" s="7" t="s">
        <v>273</v>
      </c>
      <c r="D231" s="17">
        <v>24684</v>
      </c>
      <c r="E231" s="7" t="s">
        <v>14</v>
      </c>
      <c r="F231" s="7" t="s">
        <v>263</v>
      </c>
      <c r="G231" s="7" t="s">
        <v>317</v>
      </c>
      <c r="H231" s="7" t="s">
        <v>35</v>
      </c>
      <c r="I231" s="7">
        <v>203699</v>
      </c>
      <c r="J231" s="7" t="s">
        <v>283</v>
      </c>
      <c r="K231" s="24">
        <v>16</v>
      </c>
      <c r="L231" s="24">
        <v>2</v>
      </c>
      <c r="M231" s="24">
        <v>10</v>
      </c>
      <c r="N231" s="8" t="s">
        <v>318</v>
      </c>
      <c r="O231" s="8" t="s">
        <v>129</v>
      </c>
      <c r="P231" s="8" t="s">
        <v>119</v>
      </c>
      <c r="Q231" s="8"/>
    </row>
    <row r="232" spans="1:17" x14ac:dyDescent="0.25">
      <c r="A232" s="1">
        <v>43</v>
      </c>
      <c r="C232" s="7" t="s">
        <v>319</v>
      </c>
      <c r="D232" s="17">
        <v>29720</v>
      </c>
      <c r="E232" s="7" t="s">
        <v>14</v>
      </c>
      <c r="F232" s="7" t="s">
        <v>313</v>
      </c>
      <c r="G232" s="7" t="s">
        <v>89</v>
      </c>
      <c r="H232" s="7" t="s">
        <v>35</v>
      </c>
      <c r="I232" s="7">
        <v>374049</v>
      </c>
      <c r="J232" s="7" t="s">
        <v>316</v>
      </c>
      <c r="K232" s="24">
        <v>16</v>
      </c>
      <c r="L232" s="24">
        <v>2</v>
      </c>
      <c r="M232" s="24">
        <v>4</v>
      </c>
      <c r="N232" s="8" t="s">
        <v>134</v>
      </c>
      <c r="O232" s="8" t="s">
        <v>135</v>
      </c>
      <c r="P232" s="8" t="s">
        <v>119</v>
      </c>
      <c r="Q232" s="8"/>
    </row>
    <row r="233" spans="1:17" x14ac:dyDescent="0.25">
      <c r="A233" s="1">
        <v>44</v>
      </c>
      <c r="C233" s="7" t="s">
        <v>262</v>
      </c>
      <c r="D233" s="17">
        <v>29236</v>
      </c>
      <c r="E233" s="7" t="s">
        <v>14</v>
      </c>
      <c r="F233" s="7" t="s">
        <v>263</v>
      </c>
      <c r="G233" s="7" t="s">
        <v>159</v>
      </c>
      <c r="H233" s="7" t="s">
        <v>35</v>
      </c>
      <c r="I233" s="7">
        <v>686135</v>
      </c>
      <c r="J233" s="7" t="s">
        <v>265</v>
      </c>
      <c r="K233" s="24">
        <v>16</v>
      </c>
      <c r="L233" s="24">
        <v>2</v>
      </c>
      <c r="M233" s="24">
        <v>6</v>
      </c>
      <c r="N233" s="8" t="s">
        <v>134</v>
      </c>
      <c r="O233" s="8" t="s">
        <v>135</v>
      </c>
      <c r="P233" s="8" t="s">
        <v>119</v>
      </c>
      <c r="Q233" s="8"/>
    </row>
    <row r="234" spans="1:17" x14ac:dyDescent="0.25">
      <c r="A234" s="1">
        <v>45</v>
      </c>
      <c r="C234" s="7" t="s">
        <v>273</v>
      </c>
      <c r="D234" s="17">
        <v>23201</v>
      </c>
      <c r="E234" s="7" t="s">
        <v>14</v>
      </c>
      <c r="F234" s="7" t="s">
        <v>263</v>
      </c>
      <c r="G234" s="7" t="s">
        <v>264</v>
      </c>
      <c r="H234" s="7" t="s">
        <v>35</v>
      </c>
      <c r="I234" s="7">
        <v>413600</v>
      </c>
      <c r="J234" s="7" t="s">
        <v>320</v>
      </c>
      <c r="K234" s="24">
        <v>8</v>
      </c>
      <c r="L234" s="24">
        <v>1</v>
      </c>
      <c r="M234" s="24">
        <v>10</v>
      </c>
      <c r="N234" s="8" t="s">
        <v>137</v>
      </c>
      <c r="O234" s="8" t="s">
        <v>137</v>
      </c>
      <c r="P234" s="8" t="s">
        <v>119</v>
      </c>
      <c r="Q234" s="8"/>
    </row>
    <row r="235" spans="1:17" x14ac:dyDescent="0.25">
      <c r="A235" s="1">
        <v>46</v>
      </c>
      <c r="C235" s="7" t="s">
        <v>262</v>
      </c>
      <c r="D235" s="17">
        <v>23204</v>
      </c>
      <c r="E235" s="7" t="s">
        <v>14</v>
      </c>
      <c r="F235" s="7" t="s">
        <v>263</v>
      </c>
      <c r="G235" s="7" t="s">
        <v>264</v>
      </c>
      <c r="H235" s="7" t="s">
        <v>35</v>
      </c>
      <c r="I235" s="7">
        <v>686135</v>
      </c>
      <c r="J235" s="7" t="s">
        <v>265</v>
      </c>
      <c r="K235" s="24">
        <v>8</v>
      </c>
      <c r="L235" s="24">
        <v>1</v>
      </c>
      <c r="M235" s="24">
        <v>10</v>
      </c>
      <c r="N235" s="8" t="s">
        <v>139</v>
      </c>
      <c r="O235" s="8" t="s">
        <v>139</v>
      </c>
      <c r="P235" s="8" t="s">
        <v>141</v>
      </c>
      <c r="Q235" s="8"/>
    </row>
    <row r="236" spans="1:17" x14ac:dyDescent="0.25">
      <c r="A236" s="1">
        <v>47</v>
      </c>
      <c r="C236" s="7" t="s">
        <v>278</v>
      </c>
      <c r="D236" s="17">
        <v>25701</v>
      </c>
      <c r="E236" s="7" t="s">
        <v>14</v>
      </c>
      <c r="F236" s="7" t="s">
        <v>269</v>
      </c>
      <c r="G236" s="7" t="s">
        <v>321</v>
      </c>
      <c r="H236" s="7" t="s">
        <v>35</v>
      </c>
      <c r="I236" s="7">
        <v>679358</v>
      </c>
      <c r="J236" s="7" t="s">
        <v>280</v>
      </c>
      <c r="K236" s="24">
        <v>16</v>
      </c>
      <c r="L236" s="24">
        <v>2</v>
      </c>
      <c r="M236" s="24">
        <v>3</v>
      </c>
      <c r="N236" s="8" t="s">
        <v>139</v>
      </c>
      <c r="O236" s="8" t="s">
        <v>140</v>
      </c>
      <c r="P236" s="8" t="s">
        <v>141</v>
      </c>
      <c r="Q236" s="8"/>
    </row>
    <row r="237" spans="1:17" x14ac:dyDescent="0.25">
      <c r="A237" s="1">
        <v>48</v>
      </c>
      <c r="C237" s="7" t="s">
        <v>276</v>
      </c>
      <c r="D237" s="17">
        <v>27975</v>
      </c>
      <c r="E237" s="7" t="s">
        <v>14</v>
      </c>
      <c r="F237" s="7" t="s">
        <v>88</v>
      </c>
      <c r="G237" s="7" t="s">
        <v>294</v>
      </c>
      <c r="H237" s="7" t="s">
        <v>35</v>
      </c>
      <c r="I237" s="7">
        <v>318824</v>
      </c>
      <c r="J237" s="7" t="s">
        <v>287</v>
      </c>
      <c r="K237" s="24">
        <v>8</v>
      </c>
      <c r="L237" s="24">
        <v>1</v>
      </c>
      <c r="M237" s="24">
        <v>10</v>
      </c>
      <c r="N237" s="8" t="s">
        <v>143</v>
      </c>
      <c r="O237" s="8" t="s">
        <v>143</v>
      </c>
      <c r="P237" s="8" t="s">
        <v>141</v>
      </c>
      <c r="Q237" s="8"/>
    </row>
    <row r="238" spans="1:17" x14ac:dyDescent="0.25">
      <c r="A238" s="1">
        <v>49</v>
      </c>
      <c r="C238" s="7" t="s">
        <v>276</v>
      </c>
      <c r="D238" s="17">
        <v>27977</v>
      </c>
      <c r="E238" s="7" t="s">
        <v>14</v>
      </c>
      <c r="F238" s="7" t="s">
        <v>88</v>
      </c>
      <c r="G238" s="7" t="s">
        <v>294</v>
      </c>
      <c r="H238" s="7" t="s">
        <v>35</v>
      </c>
      <c r="I238" s="7">
        <v>318824</v>
      </c>
      <c r="J238" s="7" t="s">
        <v>287</v>
      </c>
      <c r="K238" s="24">
        <v>8</v>
      </c>
      <c r="L238" s="24">
        <v>1</v>
      </c>
      <c r="M238" s="24">
        <v>8</v>
      </c>
      <c r="N238" s="8" t="s">
        <v>145</v>
      </c>
      <c r="O238" s="8" t="s">
        <v>145</v>
      </c>
      <c r="P238" s="8" t="s">
        <v>141</v>
      </c>
      <c r="Q238" s="8"/>
    </row>
    <row r="239" spans="1:17" x14ac:dyDescent="0.25">
      <c r="A239" s="1">
        <v>50</v>
      </c>
      <c r="C239" s="7" t="s">
        <v>276</v>
      </c>
      <c r="D239" s="17">
        <v>30817</v>
      </c>
      <c r="E239" s="7" t="s">
        <v>14</v>
      </c>
      <c r="F239" s="7" t="s">
        <v>269</v>
      </c>
      <c r="G239" s="7" t="s">
        <v>89</v>
      </c>
      <c r="H239" s="7" t="s">
        <v>35</v>
      </c>
      <c r="I239" s="7">
        <v>197260</v>
      </c>
      <c r="J239" s="7" t="s">
        <v>277</v>
      </c>
      <c r="K239" s="24">
        <v>16</v>
      </c>
      <c r="L239" s="24">
        <v>2</v>
      </c>
      <c r="M239" s="24">
        <v>10</v>
      </c>
      <c r="N239" s="8" t="s">
        <v>145</v>
      </c>
      <c r="O239" s="8" t="s">
        <v>146</v>
      </c>
      <c r="P239" s="8" t="s">
        <v>141</v>
      </c>
      <c r="Q239" s="8"/>
    </row>
    <row r="240" spans="1:17" x14ac:dyDescent="0.25">
      <c r="A240" s="1">
        <v>51</v>
      </c>
      <c r="C240" s="7" t="s">
        <v>285</v>
      </c>
      <c r="D240" s="17">
        <v>24846</v>
      </c>
      <c r="E240" s="7" t="s">
        <v>14</v>
      </c>
      <c r="F240" s="7" t="s">
        <v>88</v>
      </c>
      <c r="G240" s="7" t="s">
        <v>68</v>
      </c>
      <c r="H240" s="7" t="s">
        <v>35</v>
      </c>
      <c r="I240" s="7">
        <v>365499</v>
      </c>
      <c r="J240" s="7" t="s">
        <v>291</v>
      </c>
      <c r="K240" s="24">
        <v>24</v>
      </c>
      <c r="L240" s="24">
        <v>3</v>
      </c>
      <c r="M240" s="24">
        <v>4</v>
      </c>
      <c r="N240" s="8" t="s">
        <v>153</v>
      </c>
      <c r="O240" s="8" t="s">
        <v>322</v>
      </c>
      <c r="P240" s="8" t="s">
        <v>141</v>
      </c>
      <c r="Q240" s="8"/>
    </row>
    <row r="241" spans="1:17" x14ac:dyDescent="0.25">
      <c r="A241" s="1">
        <v>52</v>
      </c>
      <c r="C241" s="7" t="s">
        <v>285</v>
      </c>
      <c r="D241" s="17">
        <v>28056</v>
      </c>
      <c r="E241" s="7" t="s">
        <v>14</v>
      </c>
      <c r="F241" s="7" t="s">
        <v>88</v>
      </c>
      <c r="G241" s="7" t="s">
        <v>62</v>
      </c>
      <c r="H241" s="7" t="s">
        <v>35</v>
      </c>
      <c r="I241" s="7">
        <v>365499</v>
      </c>
      <c r="J241" s="7" t="s">
        <v>291</v>
      </c>
      <c r="K241" s="24">
        <v>24</v>
      </c>
      <c r="L241" s="24">
        <v>3</v>
      </c>
      <c r="M241" s="24">
        <v>5</v>
      </c>
      <c r="N241" s="8" t="s">
        <v>154</v>
      </c>
      <c r="O241" s="8" t="s">
        <v>156</v>
      </c>
      <c r="P241" s="8" t="s">
        <v>141</v>
      </c>
      <c r="Q241" s="8"/>
    </row>
    <row r="242" spans="1:17" x14ac:dyDescent="0.25">
      <c r="A242" s="1">
        <v>53</v>
      </c>
      <c r="C242" s="7" t="s">
        <v>285</v>
      </c>
      <c r="D242" s="17">
        <v>28067</v>
      </c>
      <c r="E242" s="7" t="s">
        <v>14</v>
      </c>
      <c r="F242" s="7" t="s">
        <v>88</v>
      </c>
      <c r="G242" s="7" t="s">
        <v>159</v>
      </c>
      <c r="H242" s="7" t="s">
        <v>35</v>
      </c>
      <c r="I242" s="7">
        <v>365499</v>
      </c>
      <c r="J242" s="7" t="s">
        <v>291</v>
      </c>
      <c r="K242" s="24">
        <v>16</v>
      </c>
      <c r="L242" s="24">
        <v>2</v>
      </c>
      <c r="M242" s="24">
        <v>5</v>
      </c>
      <c r="N242" s="8" t="s">
        <v>167</v>
      </c>
      <c r="O242" s="8" t="s">
        <v>323</v>
      </c>
      <c r="P242" s="8" t="s">
        <v>141</v>
      </c>
      <c r="Q242" s="8"/>
    </row>
    <row r="243" spans="1:17" x14ac:dyDescent="0.25">
      <c r="A243" s="1">
        <v>54</v>
      </c>
      <c r="C243" s="7" t="s">
        <v>276</v>
      </c>
      <c r="D243" s="17">
        <v>30819</v>
      </c>
      <c r="E243" s="7" t="s">
        <v>14</v>
      </c>
      <c r="F243" s="7" t="s">
        <v>269</v>
      </c>
      <c r="G243" s="7" t="s">
        <v>89</v>
      </c>
      <c r="H243" s="7" t="s">
        <v>35</v>
      </c>
      <c r="I243" s="7">
        <v>197260</v>
      </c>
      <c r="J243" s="7" t="s">
        <v>277</v>
      </c>
      <c r="K243" s="24">
        <v>16</v>
      </c>
      <c r="L243" s="24">
        <v>2</v>
      </c>
      <c r="M243" s="24">
        <v>10</v>
      </c>
      <c r="N243" s="8" t="s">
        <v>172</v>
      </c>
      <c r="O243" s="8" t="s">
        <v>174</v>
      </c>
      <c r="P243" s="8" t="s">
        <v>173</v>
      </c>
      <c r="Q243" s="8"/>
    </row>
    <row r="244" spans="1:17" x14ac:dyDescent="0.25">
      <c r="A244" s="1">
        <v>55</v>
      </c>
      <c r="C244" s="7" t="s">
        <v>262</v>
      </c>
      <c r="D244" s="17">
        <v>23206</v>
      </c>
      <c r="E244" s="7" t="s">
        <v>14</v>
      </c>
      <c r="F244" s="7" t="s">
        <v>263</v>
      </c>
      <c r="G244" s="7" t="s">
        <v>264</v>
      </c>
      <c r="H244" s="7" t="s">
        <v>35</v>
      </c>
      <c r="I244" s="7">
        <v>686135</v>
      </c>
      <c r="J244" s="7" t="s">
        <v>265</v>
      </c>
      <c r="K244" s="24">
        <v>8</v>
      </c>
      <c r="L244" s="24">
        <v>1</v>
      </c>
      <c r="M244" s="24">
        <v>10</v>
      </c>
      <c r="N244" s="8" t="s">
        <v>181</v>
      </c>
      <c r="O244" s="8" t="s">
        <v>181</v>
      </c>
      <c r="P244" s="8" t="s">
        <v>173</v>
      </c>
      <c r="Q244" s="8"/>
    </row>
    <row r="245" spans="1:17" x14ac:dyDescent="0.25">
      <c r="A245" s="1">
        <v>56</v>
      </c>
      <c r="C245" s="7" t="s">
        <v>273</v>
      </c>
      <c r="D245" s="17">
        <v>24689</v>
      </c>
      <c r="E245" s="7" t="s">
        <v>14</v>
      </c>
      <c r="F245" s="7" t="s">
        <v>263</v>
      </c>
      <c r="G245" s="7" t="s">
        <v>40</v>
      </c>
      <c r="H245" s="7" t="s">
        <v>35</v>
      </c>
      <c r="I245" s="7">
        <v>413600</v>
      </c>
      <c r="J245" s="7" t="s">
        <v>320</v>
      </c>
      <c r="K245" s="24">
        <v>24</v>
      </c>
      <c r="L245" s="24">
        <v>3</v>
      </c>
      <c r="M245" s="24">
        <v>9</v>
      </c>
      <c r="N245" s="8" t="s">
        <v>180</v>
      </c>
      <c r="O245" s="8" t="s">
        <v>183</v>
      </c>
      <c r="P245" s="8" t="s">
        <v>173</v>
      </c>
      <c r="Q245" s="8"/>
    </row>
    <row r="246" spans="1:17" x14ac:dyDescent="0.25">
      <c r="A246" s="1">
        <v>57</v>
      </c>
      <c r="C246" s="7" t="s">
        <v>273</v>
      </c>
      <c r="D246" s="17">
        <v>28016</v>
      </c>
      <c r="E246" s="7" t="s">
        <v>14</v>
      </c>
      <c r="F246" s="7" t="s">
        <v>88</v>
      </c>
      <c r="G246" s="7" t="s">
        <v>40</v>
      </c>
      <c r="H246" s="7" t="s">
        <v>35</v>
      </c>
      <c r="I246" s="7">
        <v>214350</v>
      </c>
      <c r="J246" s="7" t="s">
        <v>324</v>
      </c>
      <c r="K246" s="24">
        <v>24</v>
      </c>
      <c r="L246" s="24">
        <v>3</v>
      </c>
      <c r="M246" s="24">
        <v>7</v>
      </c>
      <c r="N246" s="8" t="s">
        <v>180</v>
      </c>
      <c r="O246" s="8" t="s">
        <v>183</v>
      </c>
      <c r="P246" s="8" t="s">
        <v>173</v>
      </c>
      <c r="Q246" s="8"/>
    </row>
    <row r="247" spans="1:17" x14ac:dyDescent="0.25">
      <c r="A247" s="1">
        <v>58</v>
      </c>
      <c r="C247" s="7" t="s">
        <v>273</v>
      </c>
      <c r="D247" s="17">
        <v>28017</v>
      </c>
      <c r="E247" s="7" t="s">
        <v>14</v>
      </c>
      <c r="F247" s="7" t="s">
        <v>88</v>
      </c>
      <c r="G247" s="7" t="s">
        <v>40</v>
      </c>
      <c r="H247" s="7" t="s">
        <v>35</v>
      </c>
      <c r="I247" s="7">
        <v>214350</v>
      </c>
      <c r="J247" s="7" t="s">
        <v>324</v>
      </c>
      <c r="K247" s="24">
        <v>24</v>
      </c>
      <c r="L247" s="24">
        <v>3</v>
      </c>
      <c r="M247" s="24">
        <v>7</v>
      </c>
      <c r="N247" s="8" t="s">
        <v>184</v>
      </c>
      <c r="O247" s="8" t="s">
        <v>187</v>
      </c>
      <c r="P247" s="8" t="s">
        <v>173</v>
      </c>
      <c r="Q247" s="8"/>
    </row>
    <row r="248" spans="1:17" x14ac:dyDescent="0.25">
      <c r="A248" s="1">
        <v>59</v>
      </c>
      <c r="C248" s="7" t="s">
        <v>273</v>
      </c>
      <c r="D248" s="17">
        <v>24903</v>
      </c>
      <c r="E248" s="7" t="s">
        <v>14</v>
      </c>
      <c r="F248" s="7" t="s">
        <v>263</v>
      </c>
      <c r="G248" s="7" t="s">
        <v>84</v>
      </c>
      <c r="H248" s="7" t="s">
        <v>35</v>
      </c>
      <c r="I248" s="7">
        <v>413600</v>
      </c>
      <c r="J248" s="7" t="s">
        <v>320</v>
      </c>
      <c r="K248" s="24">
        <v>16</v>
      </c>
      <c r="L248" s="24">
        <v>2</v>
      </c>
      <c r="M248" s="24">
        <v>10</v>
      </c>
      <c r="N248" s="8" t="s">
        <v>188</v>
      </c>
      <c r="O248" s="8" t="s">
        <v>189</v>
      </c>
      <c r="P248" s="8" t="s">
        <v>173</v>
      </c>
      <c r="Q248" s="8"/>
    </row>
    <row r="249" spans="1:17" x14ac:dyDescent="0.25">
      <c r="A249" s="1">
        <v>60</v>
      </c>
      <c r="C249" s="7" t="s">
        <v>273</v>
      </c>
      <c r="D249" s="17">
        <v>28018</v>
      </c>
      <c r="E249" s="7" t="s">
        <v>14</v>
      </c>
      <c r="F249" s="7" t="s">
        <v>88</v>
      </c>
      <c r="G249" s="7" t="s">
        <v>40</v>
      </c>
      <c r="H249" s="7" t="s">
        <v>35</v>
      </c>
      <c r="I249" s="7">
        <v>214350</v>
      </c>
      <c r="J249" s="7" t="s">
        <v>324</v>
      </c>
      <c r="K249" s="24">
        <v>24</v>
      </c>
      <c r="L249" s="24">
        <v>3</v>
      </c>
      <c r="M249" s="24">
        <v>7</v>
      </c>
      <c r="N249" s="8" t="s">
        <v>188</v>
      </c>
      <c r="O249" s="8" t="s">
        <v>325</v>
      </c>
      <c r="P249" s="8" t="s">
        <v>173</v>
      </c>
      <c r="Q249" s="8"/>
    </row>
    <row r="250" spans="1:17" x14ac:dyDescent="0.25">
      <c r="A250" s="1">
        <v>61</v>
      </c>
      <c r="C250" s="7" t="s">
        <v>273</v>
      </c>
      <c r="D250" s="17">
        <v>28020</v>
      </c>
      <c r="E250" s="7" t="s">
        <v>14</v>
      </c>
      <c r="F250" s="7" t="s">
        <v>88</v>
      </c>
      <c r="G250" s="7" t="s">
        <v>40</v>
      </c>
      <c r="H250" s="7" t="s">
        <v>35</v>
      </c>
      <c r="I250" s="7">
        <v>214350</v>
      </c>
      <c r="J250" s="7" t="s">
        <v>324</v>
      </c>
      <c r="K250" s="24">
        <v>24</v>
      </c>
      <c r="L250" s="24">
        <v>3</v>
      </c>
      <c r="M250" s="24">
        <v>8</v>
      </c>
      <c r="N250" s="8" t="s">
        <v>192</v>
      </c>
      <c r="O250" s="8" t="s">
        <v>194</v>
      </c>
      <c r="P250" s="8" t="s">
        <v>173</v>
      </c>
      <c r="Q250" s="8"/>
    </row>
    <row r="251" spans="1:17" x14ac:dyDescent="0.25">
      <c r="A251" s="1">
        <v>62</v>
      </c>
      <c r="C251" s="7" t="s">
        <v>273</v>
      </c>
      <c r="D251" s="17">
        <v>28021</v>
      </c>
      <c r="E251" s="7" t="s">
        <v>14</v>
      </c>
      <c r="F251" s="7" t="s">
        <v>88</v>
      </c>
      <c r="G251" s="7" t="s">
        <v>40</v>
      </c>
      <c r="H251" s="7" t="s">
        <v>35</v>
      </c>
      <c r="I251" s="7">
        <v>214350</v>
      </c>
      <c r="J251" s="7" t="s">
        <v>324</v>
      </c>
      <c r="K251" s="24">
        <v>24</v>
      </c>
      <c r="L251" s="24">
        <v>3</v>
      </c>
      <c r="M251" s="24">
        <v>5</v>
      </c>
      <c r="N251" s="8" t="s">
        <v>195</v>
      </c>
      <c r="O251" s="8" t="s">
        <v>197</v>
      </c>
      <c r="P251" s="8" t="s">
        <v>173</v>
      </c>
      <c r="Q251" s="8"/>
    </row>
    <row r="252" spans="1:17" x14ac:dyDescent="0.25">
      <c r="A252" s="1">
        <v>63</v>
      </c>
      <c r="C252" s="7" t="s">
        <v>262</v>
      </c>
      <c r="D252" s="17">
        <v>29235</v>
      </c>
      <c r="E252" s="7" t="s">
        <v>14</v>
      </c>
      <c r="F252" s="7" t="s">
        <v>263</v>
      </c>
      <c r="G252" s="7" t="s">
        <v>159</v>
      </c>
      <c r="H252" s="7" t="s">
        <v>35</v>
      </c>
      <c r="I252" s="7">
        <v>686135</v>
      </c>
      <c r="J252" s="7" t="s">
        <v>265</v>
      </c>
      <c r="K252" s="24">
        <v>16</v>
      </c>
      <c r="L252" s="24">
        <v>2</v>
      </c>
      <c r="M252" s="24">
        <v>9</v>
      </c>
      <c r="N252" s="8" t="s">
        <v>196</v>
      </c>
      <c r="O252" s="8" t="s">
        <v>197</v>
      </c>
      <c r="P252" s="8" t="s">
        <v>173</v>
      </c>
      <c r="Q252" s="8"/>
    </row>
    <row r="253" spans="1:17" x14ac:dyDescent="0.25">
      <c r="A253" s="1">
        <v>64</v>
      </c>
      <c r="C253" s="7" t="s">
        <v>319</v>
      </c>
      <c r="D253" s="17">
        <v>29403</v>
      </c>
      <c r="E253" s="7" t="s">
        <v>14</v>
      </c>
      <c r="F253" s="7" t="s">
        <v>313</v>
      </c>
      <c r="G253" s="7" t="s">
        <v>127</v>
      </c>
      <c r="H253" s="7" t="s">
        <v>35</v>
      </c>
      <c r="I253" s="7">
        <v>374049</v>
      </c>
      <c r="J253" s="7" t="s">
        <v>316</v>
      </c>
      <c r="K253" s="24">
        <v>16</v>
      </c>
      <c r="L253" s="24">
        <v>2</v>
      </c>
      <c r="M253" s="24">
        <v>1</v>
      </c>
      <c r="N253" s="8" t="s">
        <v>196</v>
      </c>
      <c r="O253" s="8" t="s">
        <v>197</v>
      </c>
      <c r="P253" s="8" t="s">
        <v>173</v>
      </c>
      <c r="Q253" s="8"/>
    </row>
    <row r="254" spans="1:17" x14ac:dyDescent="0.25">
      <c r="A254" s="1">
        <v>65</v>
      </c>
      <c r="C254" s="7" t="s">
        <v>273</v>
      </c>
      <c r="D254" s="17">
        <v>28022</v>
      </c>
      <c r="E254" s="7" t="s">
        <v>14</v>
      </c>
      <c r="F254" s="7" t="s">
        <v>88</v>
      </c>
      <c r="G254" s="7" t="s">
        <v>40</v>
      </c>
      <c r="H254" s="7" t="s">
        <v>35</v>
      </c>
      <c r="I254" s="7">
        <v>214350</v>
      </c>
      <c r="J254" s="7" t="s">
        <v>324</v>
      </c>
      <c r="K254" s="24">
        <v>24</v>
      </c>
      <c r="L254" s="24">
        <v>3</v>
      </c>
      <c r="M254" s="24">
        <v>8</v>
      </c>
      <c r="N254" s="8" t="s">
        <v>198</v>
      </c>
      <c r="O254" s="8" t="s">
        <v>201</v>
      </c>
      <c r="P254" s="8" t="s">
        <v>173</v>
      </c>
      <c r="Q254" s="8"/>
    </row>
    <row r="255" spans="1:17" x14ac:dyDescent="0.25">
      <c r="A255" s="1">
        <v>66</v>
      </c>
      <c r="C255" s="7" t="s">
        <v>319</v>
      </c>
      <c r="D255" s="17">
        <v>29853</v>
      </c>
      <c r="E255" s="7" t="s">
        <v>14</v>
      </c>
      <c r="F255" s="7" t="s">
        <v>313</v>
      </c>
      <c r="G255" s="7" t="s">
        <v>40</v>
      </c>
      <c r="H255" s="7" t="s">
        <v>35</v>
      </c>
      <c r="I255" s="7">
        <v>329947</v>
      </c>
      <c r="J255" s="7" t="s">
        <v>326</v>
      </c>
      <c r="K255" s="24">
        <v>24</v>
      </c>
      <c r="L255" s="24">
        <v>3</v>
      </c>
      <c r="M255" s="24">
        <v>8</v>
      </c>
      <c r="N255" s="8" t="s">
        <v>327</v>
      </c>
      <c r="O255" s="8" t="s">
        <v>204</v>
      </c>
      <c r="P255" s="8" t="s">
        <v>202</v>
      </c>
      <c r="Q255" s="8"/>
    </row>
    <row r="256" spans="1:17" x14ac:dyDescent="0.25">
      <c r="A256" s="1">
        <v>67</v>
      </c>
      <c r="C256" s="7" t="s">
        <v>273</v>
      </c>
      <c r="D256" s="17">
        <v>28019</v>
      </c>
      <c r="E256" s="7" t="s">
        <v>14</v>
      </c>
      <c r="F256" s="7" t="s">
        <v>88</v>
      </c>
      <c r="G256" s="7" t="s">
        <v>40</v>
      </c>
      <c r="H256" s="7" t="s">
        <v>35</v>
      </c>
      <c r="I256" s="7">
        <v>214350</v>
      </c>
      <c r="J256" s="7" t="s">
        <v>324</v>
      </c>
      <c r="K256" s="24">
        <v>24</v>
      </c>
      <c r="L256" s="24">
        <v>3</v>
      </c>
      <c r="M256" s="24">
        <v>8</v>
      </c>
      <c r="N256" s="8" t="s">
        <v>327</v>
      </c>
      <c r="O256" s="8" t="s">
        <v>204</v>
      </c>
      <c r="P256" s="8" t="s">
        <v>202</v>
      </c>
      <c r="Q256" s="8"/>
    </row>
    <row r="257" spans="1:17" x14ac:dyDescent="0.25">
      <c r="A257" s="1">
        <v>68</v>
      </c>
      <c r="C257" s="7" t="s">
        <v>297</v>
      </c>
      <c r="D257" s="17">
        <v>27822</v>
      </c>
      <c r="E257" s="7" t="s">
        <v>14</v>
      </c>
      <c r="F257" s="7" t="s">
        <v>88</v>
      </c>
      <c r="G257" s="7" t="s">
        <v>89</v>
      </c>
      <c r="H257" s="7" t="s">
        <v>35</v>
      </c>
      <c r="I257" s="7">
        <v>318824</v>
      </c>
      <c r="J257" s="7" t="s">
        <v>287</v>
      </c>
      <c r="K257" s="24">
        <v>16</v>
      </c>
      <c r="L257" s="24">
        <v>2</v>
      </c>
      <c r="M257" s="24">
        <v>6</v>
      </c>
      <c r="N257" s="8" t="s">
        <v>205</v>
      </c>
      <c r="O257" s="8" t="s">
        <v>206</v>
      </c>
      <c r="P257" s="8" t="s">
        <v>202</v>
      </c>
      <c r="Q257" s="8"/>
    </row>
    <row r="258" spans="1:17" x14ac:dyDescent="0.25">
      <c r="A258" s="1">
        <v>69</v>
      </c>
      <c r="C258" s="7" t="s">
        <v>273</v>
      </c>
      <c r="D258" s="17">
        <v>28015</v>
      </c>
      <c r="E258" s="7" t="s">
        <v>14</v>
      </c>
      <c r="F258" s="7" t="s">
        <v>88</v>
      </c>
      <c r="G258" s="7" t="s">
        <v>40</v>
      </c>
      <c r="H258" s="7" t="s">
        <v>35</v>
      </c>
      <c r="I258" s="7">
        <v>214350</v>
      </c>
      <c r="J258" s="7" t="s">
        <v>324</v>
      </c>
      <c r="K258" s="24">
        <v>24</v>
      </c>
      <c r="L258" s="24">
        <v>3</v>
      </c>
      <c r="M258" s="24">
        <v>8</v>
      </c>
      <c r="N258" s="8" t="s">
        <v>205</v>
      </c>
      <c r="O258" s="8" t="s">
        <v>328</v>
      </c>
      <c r="P258" s="8" t="s">
        <v>202</v>
      </c>
      <c r="Q258" s="8"/>
    </row>
    <row r="259" spans="1:17" x14ac:dyDescent="0.25">
      <c r="A259" s="1">
        <v>70</v>
      </c>
      <c r="C259" s="7" t="s">
        <v>268</v>
      </c>
      <c r="D259" s="17">
        <v>25648</v>
      </c>
      <c r="E259" s="7" t="s">
        <v>14</v>
      </c>
      <c r="F259" s="7" t="s">
        <v>269</v>
      </c>
      <c r="G259" s="7" t="s">
        <v>127</v>
      </c>
      <c r="H259" s="7" t="s">
        <v>35</v>
      </c>
      <c r="I259" s="7">
        <v>324620</v>
      </c>
      <c r="J259" s="7" t="s">
        <v>329</v>
      </c>
      <c r="K259" s="24">
        <v>16</v>
      </c>
      <c r="L259" s="24">
        <v>2</v>
      </c>
      <c r="M259" s="24">
        <v>7</v>
      </c>
      <c r="N259" s="8" t="s">
        <v>208</v>
      </c>
      <c r="O259" s="8" t="s">
        <v>330</v>
      </c>
      <c r="P259" s="8" t="s">
        <v>202</v>
      </c>
      <c r="Q259" s="8"/>
    </row>
    <row r="260" spans="1:17" x14ac:dyDescent="0.25">
      <c r="A260" s="1">
        <v>71</v>
      </c>
      <c r="C260" s="7" t="s">
        <v>262</v>
      </c>
      <c r="D260" s="17">
        <v>29233</v>
      </c>
      <c r="E260" s="7" t="s">
        <v>14</v>
      </c>
      <c r="F260" s="7" t="s">
        <v>263</v>
      </c>
      <c r="G260" s="7" t="s">
        <v>159</v>
      </c>
      <c r="H260" s="7" t="s">
        <v>35</v>
      </c>
      <c r="I260" s="7">
        <v>686135</v>
      </c>
      <c r="J260" s="7" t="s">
        <v>265</v>
      </c>
      <c r="K260" s="24">
        <v>16</v>
      </c>
      <c r="L260" s="24">
        <v>2</v>
      </c>
      <c r="M260" s="24">
        <v>8</v>
      </c>
      <c r="N260" s="8" t="s">
        <v>330</v>
      </c>
      <c r="O260" s="8" t="s">
        <v>209</v>
      </c>
      <c r="P260" s="8" t="s">
        <v>202</v>
      </c>
      <c r="Q260" s="8"/>
    </row>
    <row r="261" spans="1:17" x14ac:dyDescent="0.25">
      <c r="A261" s="1">
        <v>72</v>
      </c>
      <c r="C261" s="7" t="s">
        <v>273</v>
      </c>
      <c r="D261" s="17">
        <v>24683</v>
      </c>
      <c r="E261" s="7" t="s">
        <v>14</v>
      </c>
      <c r="F261" s="7" t="s">
        <v>263</v>
      </c>
      <c r="G261" s="7" t="s">
        <v>317</v>
      </c>
      <c r="H261" s="7" t="s">
        <v>35</v>
      </c>
      <c r="I261" s="7">
        <v>203699</v>
      </c>
      <c r="J261" s="7" t="s">
        <v>283</v>
      </c>
      <c r="K261" s="24">
        <v>16</v>
      </c>
      <c r="L261" s="24">
        <v>2</v>
      </c>
      <c r="M261" s="24">
        <v>9</v>
      </c>
      <c r="N261" s="8" t="s">
        <v>210</v>
      </c>
      <c r="O261" s="8" t="s">
        <v>211</v>
      </c>
      <c r="P261" s="8" t="s">
        <v>202</v>
      </c>
      <c r="Q261" s="8"/>
    </row>
    <row r="262" spans="1:17" x14ac:dyDescent="0.25">
      <c r="A262" s="1">
        <v>73</v>
      </c>
      <c r="C262" s="7" t="s">
        <v>268</v>
      </c>
      <c r="D262" s="17">
        <v>25198</v>
      </c>
      <c r="E262" s="7" t="s">
        <v>14</v>
      </c>
      <c r="F262" s="7" t="s">
        <v>269</v>
      </c>
      <c r="G262" s="7" t="s">
        <v>331</v>
      </c>
      <c r="H262" s="7" t="s">
        <v>35</v>
      </c>
      <c r="I262" s="7">
        <v>576778</v>
      </c>
      <c r="J262" s="7" t="s">
        <v>332</v>
      </c>
      <c r="K262" s="24">
        <v>32</v>
      </c>
      <c r="L262" s="24">
        <v>4</v>
      </c>
      <c r="M262" s="24">
        <v>3</v>
      </c>
      <c r="N262" s="8" t="s">
        <v>333</v>
      </c>
      <c r="O262" s="8" t="s">
        <v>216</v>
      </c>
      <c r="P262" s="8" t="s">
        <v>202</v>
      </c>
      <c r="Q262" s="8"/>
    </row>
    <row r="263" spans="1:17" x14ac:dyDescent="0.25">
      <c r="A263" s="1">
        <v>74</v>
      </c>
      <c r="C263" s="7" t="s">
        <v>273</v>
      </c>
      <c r="D263" s="17">
        <v>23202</v>
      </c>
      <c r="E263" s="7" t="s">
        <v>14</v>
      </c>
      <c r="F263" s="7" t="s">
        <v>263</v>
      </c>
      <c r="G263" s="7" t="s">
        <v>264</v>
      </c>
      <c r="H263" s="7" t="s">
        <v>35</v>
      </c>
      <c r="I263" s="7">
        <v>413600</v>
      </c>
      <c r="J263" s="7" t="s">
        <v>320</v>
      </c>
      <c r="K263" s="24">
        <v>8</v>
      </c>
      <c r="L263" s="24">
        <v>1</v>
      </c>
      <c r="M263" s="24">
        <v>10</v>
      </c>
      <c r="N263" s="8" t="s">
        <v>224</v>
      </c>
      <c r="O263" s="8" t="s">
        <v>224</v>
      </c>
      <c r="P263" s="8" t="s">
        <v>202</v>
      </c>
      <c r="Q263" s="8"/>
    </row>
    <row r="264" spans="1:17" x14ac:dyDescent="0.25">
      <c r="A264" s="1">
        <v>75</v>
      </c>
      <c r="C264" s="7" t="s">
        <v>312</v>
      </c>
      <c r="D264" s="17">
        <v>27976</v>
      </c>
      <c r="E264" s="7" t="s">
        <v>14</v>
      </c>
      <c r="F264" s="7" t="s">
        <v>88</v>
      </c>
      <c r="G264" s="7" t="s">
        <v>294</v>
      </c>
      <c r="H264" s="7" t="s">
        <v>35</v>
      </c>
      <c r="I264" s="7">
        <v>202584</v>
      </c>
      <c r="J264" s="7" t="s">
        <v>334</v>
      </c>
      <c r="K264" s="24">
        <v>8</v>
      </c>
      <c r="L264" s="24">
        <v>1</v>
      </c>
      <c r="M264" s="24">
        <v>6</v>
      </c>
      <c r="N264" s="8" t="s">
        <v>239</v>
      </c>
      <c r="O264" s="8" t="s">
        <v>239</v>
      </c>
      <c r="P264" s="8" t="s">
        <v>227</v>
      </c>
      <c r="Q264" s="8"/>
    </row>
    <row r="265" spans="1:17" x14ac:dyDescent="0.25">
      <c r="A265" s="1">
        <v>76</v>
      </c>
      <c r="C265" s="7" t="s">
        <v>312</v>
      </c>
      <c r="D265" s="17">
        <v>27978</v>
      </c>
      <c r="E265" s="7" t="s">
        <v>14</v>
      </c>
      <c r="F265" s="7" t="s">
        <v>88</v>
      </c>
      <c r="G265" s="7" t="s">
        <v>294</v>
      </c>
      <c r="H265" s="7" t="s">
        <v>35</v>
      </c>
      <c r="I265" s="7">
        <v>202584</v>
      </c>
      <c r="J265" s="7" t="s">
        <v>334</v>
      </c>
      <c r="K265" s="24">
        <v>8</v>
      </c>
      <c r="L265" s="24">
        <v>1</v>
      </c>
      <c r="M265" s="24">
        <v>8</v>
      </c>
      <c r="N265" s="8" t="s">
        <v>240</v>
      </c>
      <c r="O265" s="8" t="s">
        <v>240</v>
      </c>
      <c r="P265" s="8" t="s">
        <v>227</v>
      </c>
      <c r="Q265" s="8"/>
    </row>
    <row r="266" spans="1:17" x14ac:dyDescent="0.25">
      <c r="A266" s="1">
        <v>77</v>
      </c>
      <c r="C266" s="7" t="s">
        <v>273</v>
      </c>
      <c r="D266" s="17">
        <v>24902</v>
      </c>
      <c r="E266" s="7" t="s">
        <v>14</v>
      </c>
      <c r="F266" s="7" t="s">
        <v>263</v>
      </c>
      <c r="G266" s="7" t="s">
        <v>84</v>
      </c>
      <c r="H266" s="7" t="s">
        <v>35</v>
      </c>
      <c r="I266" s="7">
        <v>520356</v>
      </c>
      <c r="J266" s="7" t="s">
        <v>274</v>
      </c>
      <c r="K266" s="24">
        <v>16</v>
      </c>
      <c r="L266" s="24">
        <v>2</v>
      </c>
      <c r="M266" s="24">
        <v>9</v>
      </c>
      <c r="N266" s="8" t="s">
        <v>239</v>
      </c>
      <c r="O266" s="8" t="s">
        <v>240</v>
      </c>
      <c r="P266" s="8" t="s">
        <v>227</v>
      </c>
      <c r="Q266" s="8"/>
    </row>
    <row r="267" spans="1:17" x14ac:dyDescent="0.25">
      <c r="A267" s="1">
        <v>78</v>
      </c>
      <c r="C267" s="7" t="s">
        <v>285</v>
      </c>
      <c r="D267" s="17">
        <v>28051</v>
      </c>
      <c r="E267" s="7" t="s">
        <v>14</v>
      </c>
      <c r="F267" s="7" t="s">
        <v>88</v>
      </c>
      <c r="G267" s="7" t="s">
        <v>199</v>
      </c>
      <c r="H267" s="7" t="s">
        <v>35</v>
      </c>
      <c r="I267" s="7">
        <v>433424</v>
      </c>
      <c r="J267" s="7" t="s">
        <v>286</v>
      </c>
      <c r="K267" s="24">
        <v>8</v>
      </c>
      <c r="L267" s="24">
        <v>1</v>
      </c>
      <c r="M267" s="24">
        <v>4</v>
      </c>
      <c r="N267" s="8" t="s">
        <v>241</v>
      </c>
      <c r="O267" s="8" t="s">
        <v>241</v>
      </c>
      <c r="P267" s="8" t="s">
        <v>227</v>
      </c>
      <c r="Q267" s="8"/>
    </row>
    <row r="268" spans="1:17" x14ac:dyDescent="0.25">
      <c r="A268" s="1">
        <v>79</v>
      </c>
      <c r="C268" s="7" t="s">
        <v>285</v>
      </c>
      <c r="D268" s="17">
        <v>28014</v>
      </c>
      <c r="E268" s="7" t="s">
        <v>14</v>
      </c>
      <c r="F268" s="7" t="s">
        <v>88</v>
      </c>
      <c r="G268" s="7" t="s">
        <v>40</v>
      </c>
      <c r="H268" s="7" t="s">
        <v>35</v>
      </c>
      <c r="I268" s="7">
        <v>433424</v>
      </c>
      <c r="J268" s="7" t="s">
        <v>286</v>
      </c>
      <c r="K268" s="24">
        <v>24</v>
      </c>
      <c r="L268" s="24">
        <v>3</v>
      </c>
      <c r="M268" s="24">
        <v>5</v>
      </c>
      <c r="N268" s="8" t="s">
        <v>335</v>
      </c>
      <c r="O268" s="8" t="s">
        <v>243</v>
      </c>
      <c r="P268" s="8" t="s">
        <v>227</v>
      </c>
      <c r="Q268" s="8"/>
    </row>
    <row r="269" spans="1:17" x14ac:dyDescent="0.25">
      <c r="A269" s="1">
        <v>80</v>
      </c>
      <c r="C269" s="7" t="s">
        <v>312</v>
      </c>
      <c r="D269" s="17">
        <v>27821</v>
      </c>
      <c r="E269" s="7" t="s">
        <v>14</v>
      </c>
      <c r="F269" s="7" t="s">
        <v>88</v>
      </c>
      <c r="G269" s="7" t="s">
        <v>89</v>
      </c>
      <c r="H269" s="7" t="s">
        <v>35</v>
      </c>
      <c r="I269" s="7">
        <v>202584</v>
      </c>
      <c r="J269" s="7" t="s">
        <v>334</v>
      </c>
      <c r="K269" s="24">
        <v>16</v>
      </c>
      <c r="L269" s="24">
        <v>2</v>
      </c>
      <c r="M269" s="24">
        <v>10</v>
      </c>
      <c r="N269" s="8" t="s">
        <v>243</v>
      </c>
      <c r="O269" s="8" t="s">
        <v>242</v>
      </c>
      <c r="P269" s="8" t="s">
        <v>227</v>
      </c>
      <c r="Q269" s="8"/>
    </row>
    <row r="270" spans="1:17" x14ac:dyDescent="0.25">
      <c r="A270" s="1">
        <v>81</v>
      </c>
      <c r="C270" s="7" t="s">
        <v>312</v>
      </c>
      <c r="D270" s="17">
        <v>27828</v>
      </c>
      <c r="E270" s="7" t="s">
        <v>14</v>
      </c>
      <c r="F270" s="7" t="s">
        <v>88</v>
      </c>
      <c r="G270" s="7" t="s">
        <v>89</v>
      </c>
      <c r="H270" s="7" t="s">
        <v>35</v>
      </c>
      <c r="I270" s="7">
        <v>202584</v>
      </c>
      <c r="J270" s="7" t="s">
        <v>334</v>
      </c>
      <c r="K270" s="24">
        <v>16</v>
      </c>
      <c r="L270" s="24">
        <v>2</v>
      </c>
      <c r="M270" s="24">
        <v>9</v>
      </c>
      <c r="N270" s="8" t="s">
        <v>252</v>
      </c>
      <c r="O270" s="8" t="s">
        <v>253</v>
      </c>
      <c r="P270" s="8" t="s">
        <v>249</v>
      </c>
      <c r="Q270" s="8"/>
    </row>
    <row r="271" spans="1:17" x14ac:dyDescent="0.25">
      <c r="A271" s="1">
        <v>1</v>
      </c>
      <c r="C271" s="7" t="s">
        <v>336</v>
      </c>
      <c r="D271" s="17">
        <v>20810</v>
      </c>
      <c r="E271" s="7" t="s">
        <v>15</v>
      </c>
      <c r="F271" s="7" t="s">
        <v>337</v>
      </c>
      <c r="G271" s="7" t="s">
        <v>105</v>
      </c>
      <c r="H271" s="7" t="s">
        <v>35</v>
      </c>
      <c r="I271" s="7">
        <v>196157</v>
      </c>
      <c r="J271" s="7" t="s">
        <v>338</v>
      </c>
      <c r="K271" s="20">
        <v>16</v>
      </c>
      <c r="L271" s="20">
        <v>2</v>
      </c>
      <c r="M271" s="20">
        <v>12</v>
      </c>
      <c r="N271" s="8" t="s">
        <v>49</v>
      </c>
      <c r="O271" s="18">
        <v>44257</v>
      </c>
      <c r="P271" s="8" t="s">
        <v>50</v>
      </c>
      <c r="Q271" s="8"/>
    </row>
    <row r="272" spans="1:17" x14ac:dyDescent="0.25">
      <c r="A272" s="1">
        <v>2</v>
      </c>
      <c r="C272" s="7" t="s">
        <v>336</v>
      </c>
      <c r="D272" s="17">
        <v>20811</v>
      </c>
      <c r="E272" s="7" t="s">
        <v>15</v>
      </c>
      <c r="F272" s="7" t="s">
        <v>337</v>
      </c>
      <c r="G272" s="7" t="s">
        <v>105</v>
      </c>
      <c r="H272" s="7" t="s">
        <v>35</v>
      </c>
      <c r="I272" s="7">
        <v>196157</v>
      </c>
      <c r="J272" s="7" t="s">
        <v>338</v>
      </c>
      <c r="K272" s="20">
        <v>16</v>
      </c>
      <c r="L272" s="20">
        <v>2</v>
      </c>
      <c r="M272" s="20">
        <v>12</v>
      </c>
      <c r="N272" s="8" t="s">
        <v>339</v>
      </c>
      <c r="O272" s="18">
        <v>44264</v>
      </c>
      <c r="P272" s="8" t="s">
        <v>50</v>
      </c>
      <c r="Q272" s="8"/>
    </row>
    <row r="273" spans="1:17" x14ac:dyDescent="0.25">
      <c r="A273" s="1">
        <v>3</v>
      </c>
      <c r="C273" s="7" t="s">
        <v>336</v>
      </c>
      <c r="D273" s="17">
        <v>20812</v>
      </c>
      <c r="E273" s="7" t="s">
        <v>15</v>
      </c>
      <c r="F273" s="7" t="s">
        <v>337</v>
      </c>
      <c r="G273" s="7" t="s">
        <v>105</v>
      </c>
      <c r="H273" s="7" t="s">
        <v>35</v>
      </c>
      <c r="I273" s="7">
        <v>196157</v>
      </c>
      <c r="J273" s="7" t="s">
        <v>338</v>
      </c>
      <c r="K273" s="20">
        <v>16</v>
      </c>
      <c r="L273" s="20">
        <v>2</v>
      </c>
      <c r="M273" s="20">
        <v>11</v>
      </c>
      <c r="N273" s="8" t="s">
        <v>340</v>
      </c>
      <c r="O273" s="18">
        <v>44267</v>
      </c>
      <c r="P273" s="8" t="s">
        <v>50</v>
      </c>
      <c r="Q273" s="8"/>
    </row>
    <row r="274" spans="1:17" x14ac:dyDescent="0.25">
      <c r="A274" s="1">
        <v>4</v>
      </c>
      <c r="C274" s="7" t="s">
        <v>336</v>
      </c>
      <c r="D274" s="17">
        <v>20813</v>
      </c>
      <c r="E274" s="7" t="s">
        <v>15</v>
      </c>
      <c r="F274" s="7" t="s">
        <v>337</v>
      </c>
      <c r="G274" s="7" t="s">
        <v>105</v>
      </c>
      <c r="H274" s="7" t="s">
        <v>35</v>
      </c>
      <c r="I274" s="7">
        <v>196157</v>
      </c>
      <c r="J274" s="7" t="s">
        <v>338</v>
      </c>
      <c r="K274" s="20">
        <v>16</v>
      </c>
      <c r="L274" s="20">
        <v>2</v>
      </c>
      <c r="M274" s="20">
        <v>11</v>
      </c>
      <c r="N274" s="8" t="s">
        <v>58</v>
      </c>
      <c r="O274" s="18">
        <v>44279</v>
      </c>
      <c r="P274" s="8" t="s">
        <v>50</v>
      </c>
      <c r="Q274" s="8"/>
    </row>
    <row r="275" spans="1:17" x14ac:dyDescent="0.25">
      <c r="A275" s="1">
        <v>5</v>
      </c>
      <c r="C275" s="7" t="s">
        <v>336</v>
      </c>
      <c r="D275" s="17">
        <v>20804</v>
      </c>
      <c r="E275" s="7" t="s">
        <v>15</v>
      </c>
      <c r="F275" s="7" t="s">
        <v>337</v>
      </c>
      <c r="G275" s="7" t="s">
        <v>264</v>
      </c>
      <c r="H275" s="7" t="s">
        <v>35</v>
      </c>
      <c r="I275" s="7">
        <v>226488</v>
      </c>
      <c r="J275" s="7" t="s">
        <v>341</v>
      </c>
      <c r="K275" s="20">
        <v>8</v>
      </c>
      <c r="L275" s="20">
        <v>1</v>
      </c>
      <c r="M275" s="20">
        <v>12</v>
      </c>
      <c r="N275" s="8" t="s">
        <v>342</v>
      </c>
      <c r="O275" s="18">
        <v>44284</v>
      </c>
      <c r="P275" s="8" t="s">
        <v>50</v>
      </c>
      <c r="Q275" s="8"/>
    </row>
    <row r="276" spans="1:17" x14ac:dyDescent="0.25">
      <c r="A276" s="1">
        <v>6</v>
      </c>
      <c r="C276" s="7" t="s">
        <v>336</v>
      </c>
      <c r="D276" s="17">
        <v>20814</v>
      </c>
      <c r="E276" s="7" t="s">
        <v>15</v>
      </c>
      <c r="F276" s="7" t="s">
        <v>337</v>
      </c>
      <c r="G276" s="7" t="s">
        <v>105</v>
      </c>
      <c r="H276" s="7" t="s">
        <v>35</v>
      </c>
      <c r="I276" s="7">
        <v>196157</v>
      </c>
      <c r="J276" s="7" t="s">
        <v>338</v>
      </c>
      <c r="K276" s="20">
        <v>16</v>
      </c>
      <c r="L276" s="20">
        <v>2</v>
      </c>
      <c r="M276" s="20">
        <v>12</v>
      </c>
      <c r="N276" s="8" t="s">
        <v>342</v>
      </c>
      <c r="O276" s="18">
        <v>44285</v>
      </c>
      <c r="P276" s="8" t="s">
        <v>50</v>
      </c>
      <c r="Q276" s="8"/>
    </row>
    <row r="277" spans="1:17" x14ac:dyDescent="0.25">
      <c r="A277" s="1">
        <v>7</v>
      </c>
      <c r="C277" s="7" t="s">
        <v>336</v>
      </c>
      <c r="D277" s="17">
        <v>20815</v>
      </c>
      <c r="E277" s="7" t="s">
        <v>15</v>
      </c>
      <c r="F277" s="7" t="s">
        <v>337</v>
      </c>
      <c r="G277" s="7" t="s">
        <v>105</v>
      </c>
      <c r="H277" s="7" t="s">
        <v>35</v>
      </c>
      <c r="I277" s="7">
        <v>196157</v>
      </c>
      <c r="J277" s="7" t="s">
        <v>338</v>
      </c>
      <c r="K277" s="20">
        <v>16</v>
      </c>
      <c r="L277" s="20">
        <v>2</v>
      </c>
      <c r="M277" s="20">
        <v>12</v>
      </c>
      <c r="N277" s="8" t="s">
        <v>266</v>
      </c>
      <c r="O277" s="18">
        <v>44292</v>
      </c>
      <c r="P277" s="8" t="s">
        <v>60</v>
      </c>
      <c r="Q277" s="8"/>
    </row>
    <row r="278" spans="1:17" x14ac:dyDescent="0.25">
      <c r="A278" s="1">
        <v>8</v>
      </c>
      <c r="C278" s="7" t="s">
        <v>336</v>
      </c>
      <c r="D278" s="17">
        <v>20921</v>
      </c>
      <c r="E278" s="7" t="s">
        <v>15</v>
      </c>
      <c r="F278" s="7" t="s">
        <v>337</v>
      </c>
      <c r="G278" s="7" t="s">
        <v>84</v>
      </c>
      <c r="H278" s="7" t="s">
        <v>35</v>
      </c>
      <c r="I278" s="7">
        <v>196157</v>
      </c>
      <c r="J278" s="7" t="s">
        <v>338</v>
      </c>
      <c r="K278" s="20">
        <v>16</v>
      </c>
      <c r="L278" s="20">
        <v>2</v>
      </c>
      <c r="M278" s="20">
        <v>9</v>
      </c>
      <c r="N278" s="8" t="s">
        <v>343</v>
      </c>
      <c r="O278" s="18">
        <v>44295</v>
      </c>
      <c r="P278" s="8" t="s">
        <v>60</v>
      </c>
      <c r="Q278" s="8"/>
    </row>
    <row r="279" spans="1:17" x14ac:dyDescent="0.25">
      <c r="A279" s="1">
        <v>9</v>
      </c>
      <c r="C279" s="7" t="s">
        <v>336</v>
      </c>
      <c r="D279" s="17">
        <v>20920</v>
      </c>
      <c r="E279" s="7" t="s">
        <v>15</v>
      </c>
      <c r="F279" s="7" t="s">
        <v>337</v>
      </c>
      <c r="G279" s="7" t="s">
        <v>84</v>
      </c>
      <c r="H279" s="7" t="s">
        <v>35</v>
      </c>
      <c r="I279" s="7">
        <v>196157</v>
      </c>
      <c r="J279" s="7" t="s">
        <v>338</v>
      </c>
      <c r="K279" s="20">
        <v>16</v>
      </c>
      <c r="L279" s="20">
        <v>2</v>
      </c>
      <c r="M279" s="20">
        <v>8</v>
      </c>
      <c r="N279" s="8" t="s">
        <v>344</v>
      </c>
      <c r="O279" s="18">
        <v>44299</v>
      </c>
      <c r="P279" s="8" t="s">
        <v>60</v>
      </c>
      <c r="Q279" s="8"/>
    </row>
    <row r="280" spans="1:17" x14ac:dyDescent="0.25">
      <c r="A280" s="1">
        <v>10</v>
      </c>
      <c r="C280" s="7" t="s">
        <v>336</v>
      </c>
      <c r="D280" s="17">
        <v>20824</v>
      </c>
      <c r="E280" s="7" t="s">
        <v>15</v>
      </c>
      <c r="F280" s="7" t="s">
        <v>337</v>
      </c>
      <c r="G280" s="7" t="s">
        <v>294</v>
      </c>
      <c r="H280" s="7" t="s">
        <v>35</v>
      </c>
      <c r="I280" s="7">
        <v>317251</v>
      </c>
      <c r="J280" s="7" t="s">
        <v>345</v>
      </c>
      <c r="K280" s="20">
        <v>8</v>
      </c>
      <c r="L280" s="20">
        <v>1</v>
      </c>
      <c r="M280" s="20">
        <v>5</v>
      </c>
      <c r="N280" s="8" t="s">
        <v>67</v>
      </c>
      <c r="O280" s="18">
        <v>44305</v>
      </c>
      <c r="P280" s="8" t="s">
        <v>60</v>
      </c>
      <c r="Q280" s="8"/>
    </row>
    <row r="281" spans="1:17" x14ac:dyDescent="0.25">
      <c r="A281" s="1">
        <v>11</v>
      </c>
      <c r="C281" s="7" t="s">
        <v>336</v>
      </c>
      <c r="D281" s="17">
        <v>20809</v>
      </c>
      <c r="E281" s="7" t="s">
        <v>15</v>
      </c>
      <c r="F281" s="7" t="s">
        <v>337</v>
      </c>
      <c r="G281" s="7" t="s">
        <v>105</v>
      </c>
      <c r="H281" s="7" t="s">
        <v>35</v>
      </c>
      <c r="I281" s="7">
        <v>196157</v>
      </c>
      <c r="J281" s="7" t="s">
        <v>338</v>
      </c>
      <c r="K281" s="20">
        <v>16</v>
      </c>
      <c r="L281" s="20">
        <v>2</v>
      </c>
      <c r="M281" s="20">
        <v>11</v>
      </c>
      <c r="N281" s="8" t="s">
        <v>67</v>
      </c>
      <c r="O281" s="18">
        <v>44306</v>
      </c>
      <c r="P281" s="8" t="s">
        <v>60</v>
      </c>
      <c r="Q281" s="8"/>
    </row>
    <row r="282" spans="1:17" x14ac:dyDescent="0.25">
      <c r="A282" s="1">
        <v>12</v>
      </c>
      <c r="C282" s="7" t="s">
        <v>336</v>
      </c>
      <c r="D282" s="17">
        <v>20816</v>
      </c>
      <c r="E282" s="7" t="s">
        <v>15</v>
      </c>
      <c r="F282" s="7" t="s">
        <v>337</v>
      </c>
      <c r="G282" s="7" t="s">
        <v>105</v>
      </c>
      <c r="H282" s="7" t="s">
        <v>35</v>
      </c>
      <c r="I282" s="7">
        <v>196157</v>
      </c>
      <c r="J282" s="7" t="s">
        <v>338</v>
      </c>
      <c r="K282" s="20">
        <v>16</v>
      </c>
      <c r="L282" s="20">
        <v>2</v>
      </c>
      <c r="M282" s="20">
        <v>9</v>
      </c>
      <c r="N282" s="18">
        <v>44312</v>
      </c>
      <c r="O282" s="18">
        <v>44313</v>
      </c>
      <c r="P282" s="8" t="s">
        <v>60</v>
      </c>
      <c r="Q282" s="8"/>
    </row>
    <row r="283" spans="1:17" x14ac:dyDescent="0.25">
      <c r="A283" s="1">
        <v>13</v>
      </c>
      <c r="C283" s="7" t="s">
        <v>336</v>
      </c>
      <c r="D283" s="17">
        <v>20926</v>
      </c>
      <c r="E283" s="7" t="s">
        <v>15</v>
      </c>
      <c r="F283" s="7" t="s">
        <v>337</v>
      </c>
      <c r="G283" s="7" t="s">
        <v>346</v>
      </c>
      <c r="H283" s="7" t="s">
        <v>35</v>
      </c>
      <c r="I283" s="7">
        <v>408659</v>
      </c>
      <c r="J283" s="7" t="s">
        <v>347</v>
      </c>
      <c r="K283" s="20">
        <v>16</v>
      </c>
      <c r="L283" s="20">
        <v>2</v>
      </c>
      <c r="M283" s="20">
        <v>13</v>
      </c>
      <c r="N283" s="8" t="s">
        <v>70</v>
      </c>
      <c r="O283" s="18">
        <v>44316</v>
      </c>
      <c r="P283" s="8" t="s">
        <v>60</v>
      </c>
      <c r="Q283" s="8"/>
    </row>
    <row r="284" spans="1:17" x14ac:dyDescent="0.25">
      <c r="A284" s="1">
        <v>14</v>
      </c>
      <c r="C284" s="7" t="s">
        <v>336</v>
      </c>
      <c r="D284" s="17">
        <v>23609</v>
      </c>
      <c r="E284" s="7" t="s">
        <v>15</v>
      </c>
      <c r="F284" s="7" t="s">
        <v>74</v>
      </c>
      <c r="G284" s="7" t="s">
        <v>302</v>
      </c>
      <c r="H284" s="7" t="s">
        <v>35</v>
      </c>
      <c r="I284" s="7">
        <v>410457</v>
      </c>
      <c r="J284" s="7" t="s">
        <v>348</v>
      </c>
      <c r="K284" s="20">
        <v>8</v>
      </c>
      <c r="L284" s="20">
        <v>1</v>
      </c>
      <c r="M284" s="20">
        <v>2</v>
      </c>
      <c r="N284" s="8" t="s">
        <v>87</v>
      </c>
      <c r="O284" s="18">
        <v>44335</v>
      </c>
      <c r="P284" s="8" t="s">
        <v>77</v>
      </c>
      <c r="Q284" s="8"/>
    </row>
    <row r="285" spans="1:17" x14ac:dyDescent="0.25">
      <c r="A285" s="1">
        <v>15</v>
      </c>
      <c r="C285" s="7" t="s">
        <v>336</v>
      </c>
      <c r="D285" s="17">
        <v>24454</v>
      </c>
      <c r="E285" s="7" t="s">
        <v>12</v>
      </c>
      <c r="F285" s="7" t="s">
        <v>349</v>
      </c>
      <c r="G285" s="7" t="s">
        <v>317</v>
      </c>
      <c r="H285" s="7" t="s">
        <v>35</v>
      </c>
      <c r="I285" s="7">
        <v>226488</v>
      </c>
      <c r="J285" s="7" t="s">
        <v>341</v>
      </c>
      <c r="K285" s="20">
        <v>16</v>
      </c>
      <c r="L285" s="20">
        <v>2</v>
      </c>
      <c r="M285" s="20">
        <v>6</v>
      </c>
      <c r="N285" s="8" t="s">
        <v>284</v>
      </c>
      <c r="O285" s="18">
        <v>44337</v>
      </c>
      <c r="P285" s="8" t="s">
        <v>77</v>
      </c>
      <c r="Q285" s="8"/>
    </row>
    <row r="286" spans="1:17" x14ac:dyDescent="0.25">
      <c r="A286" s="1">
        <v>16</v>
      </c>
      <c r="C286" s="7" t="s">
        <v>336</v>
      </c>
      <c r="D286" s="17">
        <v>20925</v>
      </c>
      <c r="E286" s="7" t="s">
        <v>15</v>
      </c>
      <c r="F286" s="7" t="s">
        <v>337</v>
      </c>
      <c r="G286" s="7" t="s">
        <v>346</v>
      </c>
      <c r="H286" s="7" t="s">
        <v>35</v>
      </c>
      <c r="I286" s="7">
        <v>408659</v>
      </c>
      <c r="J286" s="7" t="s">
        <v>347</v>
      </c>
      <c r="K286" s="20">
        <v>16</v>
      </c>
      <c r="L286" s="20">
        <v>2</v>
      </c>
      <c r="M286" s="20">
        <v>13</v>
      </c>
      <c r="N286" s="8" t="s">
        <v>97</v>
      </c>
      <c r="O286" s="18">
        <v>44344</v>
      </c>
      <c r="P286" s="8" t="s">
        <v>77</v>
      </c>
      <c r="Q286" s="8"/>
    </row>
    <row r="287" spans="1:17" x14ac:dyDescent="0.25">
      <c r="A287" s="1">
        <v>17</v>
      </c>
      <c r="C287" s="7" t="s">
        <v>336</v>
      </c>
      <c r="D287" s="17">
        <v>24401</v>
      </c>
      <c r="E287" s="7" t="s">
        <v>12</v>
      </c>
      <c r="F287" s="7" t="s">
        <v>349</v>
      </c>
      <c r="G287" s="7" t="s">
        <v>159</v>
      </c>
      <c r="H287" s="7" t="s">
        <v>35</v>
      </c>
      <c r="I287" s="7" t="s">
        <v>95</v>
      </c>
      <c r="J287" s="7" t="s">
        <v>96</v>
      </c>
      <c r="K287" s="20">
        <v>16</v>
      </c>
      <c r="L287" s="20">
        <v>2</v>
      </c>
      <c r="M287" s="20">
        <v>6</v>
      </c>
      <c r="N287" s="8" t="s">
        <v>350</v>
      </c>
      <c r="O287" s="18">
        <v>44348</v>
      </c>
      <c r="P287" s="8" t="s">
        <v>77</v>
      </c>
      <c r="Q287" s="8"/>
    </row>
    <row r="288" spans="1:17" x14ac:dyDescent="0.25">
      <c r="A288" s="1">
        <v>18</v>
      </c>
      <c r="C288" s="7" t="s">
        <v>336</v>
      </c>
      <c r="D288" s="17">
        <v>21280</v>
      </c>
      <c r="E288" s="7" t="s">
        <v>15</v>
      </c>
      <c r="F288" s="7" t="s">
        <v>337</v>
      </c>
      <c r="G288" s="7" t="s">
        <v>34</v>
      </c>
      <c r="H288" s="7" t="s">
        <v>35</v>
      </c>
      <c r="I288" s="7">
        <v>196157</v>
      </c>
      <c r="J288" s="7" t="s">
        <v>338</v>
      </c>
      <c r="K288" s="20">
        <v>8</v>
      </c>
      <c r="L288" s="20">
        <v>1</v>
      </c>
      <c r="M288" s="20">
        <v>5</v>
      </c>
      <c r="N288" s="8" t="s">
        <v>101</v>
      </c>
      <c r="O288" s="18">
        <v>44349</v>
      </c>
      <c r="P288" s="8" t="s">
        <v>100</v>
      </c>
      <c r="Q288" s="8"/>
    </row>
    <row r="289" spans="1:17" x14ac:dyDescent="0.25">
      <c r="A289" s="1">
        <v>19</v>
      </c>
      <c r="C289" s="7" t="s">
        <v>336</v>
      </c>
      <c r="D289" s="17">
        <v>24428</v>
      </c>
      <c r="E289" s="7" t="s">
        <v>12</v>
      </c>
      <c r="F289" s="7" t="s">
        <v>349</v>
      </c>
      <c r="G289" s="7" t="s">
        <v>127</v>
      </c>
      <c r="H289" s="7" t="s">
        <v>72</v>
      </c>
      <c r="I289" s="7">
        <v>375324</v>
      </c>
      <c r="J289" s="7" t="s">
        <v>351</v>
      </c>
      <c r="K289" s="20">
        <v>16</v>
      </c>
      <c r="L289" s="20">
        <v>2</v>
      </c>
      <c r="M289" s="20">
        <v>9</v>
      </c>
      <c r="N289" s="8" t="s">
        <v>99</v>
      </c>
      <c r="O289" s="8" t="s">
        <v>101</v>
      </c>
      <c r="P289" s="8" t="s">
        <v>100</v>
      </c>
      <c r="Q289" s="8"/>
    </row>
    <row r="290" spans="1:17" x14ac:dyDescent="0.25">
      <c r="A290" s="1">
        <v>20</v>
      </c>
      <c r="C290" s="7" t="s">
        <v>336</v>
      </c>
      <c r="D290" s="17">
        <v>26478</v>
      </c>
      <c r="E290" s="7" t="s">
        <v>6</v>
      </c>
      <c r="F290" s="7" t="s">
        <v>352</v>
      </c>
      <c r="G290" s="7" t="s">
        <v>294</v>
      </c>
      <c r="H290" s="7" t="s">
        <v>35</v>
      </c>
      <c r="I290" s="7">
        <v>196853</v>
      </c>
      <c r="J290" s="7" t="s">
        <v>353</v>
      </c>
      <c r="K290" s="20">
        <v>8</v>
      </c>
      <c r="L290" s="20">
        <v>1</v>
      </c>
      <c r="M290" s="20">
        <v>12</v>
      </c>
      <c r="N290" s="8" t="s">
        <v>290</v>
      </c>
      <c r="O290" s="8" t="s">
        <v>290</v>
      </c>
      <c r="P290" s="8" t="s">
        <v>100</v>
      </c>
      <c r="Q290" s="8"/>
    </row>
    <row r="291" spans="1:17" x14ac:dyDescent="0.25">
      <c r="A291" s="1">
        <v>21</v>
      </c>
      <c r="C291" s="7" t="s">
        <v>336</v>
      </c>
      <c r="D291" s="17">
        <v>23243</v>
      </c>
      <c r="E291" s="7" t="s">
        <v>15</v>
      </c>
      <c r="F291" s="7" t="s">
        <v>74</v>
      </c>
      <c r="G291" s="7" t="s">
        <v>34</v>
      </c>
      <c r="H291" s="7" t="s">
        <v>35</v>
      </c>
      <c r="I291" s="7">
        <v>196157</v>
      </c>
      <c r="J291" s="7" t="s">
        <v>338</v>
      </c>
      <c r="K291" s="20">
        <v>8</v>
      </c>
      <c r="L291" s="20">
        <v>1</v>
      </c>
      <c r="M291" s="20">
        <v>5</v>
      </c>
      <c r="N291" s="8" t="s">
        <v>103</v>
      </c>
      <c r="O291" s="8" t="s">
        <v>103</v>
      </c>
      <c r="P291" s="8" t="s">
        <v>100</v>
      </c>
      <c r="Q291" s="8"/>
    </row>
    <row r="292" spans="1:17" x14ac:dyDescent="0.25">
      <c r="A292" s="1">
        <v>22</v>
      </c>
      <c r="C292" s="7" t="s">
        <v>336</v>
      </c>
      <c r="D292" s="17">
        <v>29126</v>
      </c>
      <c r="E292" s="7" t="s">
        <v>12</v>
      </c>
      <c r="F292" s="7" t="s">
        <v>349</v>
      </c>
      <c r="G292" s="7" t="s">
        <v>288</v>
      </c>
      <c r="H292" s="7" t="s">
        <v>35</v>
      </c>
      <c r="I292" s="7">
        <v>336120</v>
      </c>
      <c r="J292" s="7" t="s">
        <v>354</v>
      </c>
      <c r="K292" s="20">
        <v>16</v>
      </c>
      <c r="L292" s="20">
        <v>2</v>
      </c>
      <c r="M292" s="20">
        <v>1</v>
      </c>
      <c r="N292" s="18">
        <v>44378</v>
      </c>
      <c r="O292" s="18">
        <v>44379</v>
      </c>
      <c r="P292" s="8" t="s">
        <v>119</v>
      </c>
      <c r="Q292" s="8"/>
    </row>
    <row r="293" spans="1:17" x14ac:dyDescent="0.25">
      <c r="A293" s="1">
        <v>23</v>
      </c>
      <c r="C293" s="7" t="s">
        <v>336</v>
      </c>
      <c r="D293" s="17">
        <v>20884</v>
      </c>
      <c r="E293" s="7" t="s">
        <v>15</v>
      </c>
      <c r="F293" s="7" t="s">
        <v>337</v>
      </c>
      <c r="G293" s="7" t="s">
        <v>148</v>
      </c>
      <c r="H293" s="7" t="s">
        <v>35</v>
      </c>
      <c r="I293" s="7">
        <v>408659</v>
      </c>
      <c r="J293" s="7" t="s">
        <v>347</v>
      </c>
      <c r="K293" s="20">
        <v>8</v>
      </c>
      <c r="L293" s="20">
        <v>1</v>
      </c>
      <c r="M293" s="20">
        <v>9</v>
      </c>
      <c r="N293" s="8" t="s">
        <v>308</v>
      </c>
      <c r="O293" s="8" t="s">
        <v>308</v>
      </c>
      <c r="P293" s="8" t="s">
        <v>119</v>
      </c>
      <c r="Q293" s="8"/>
    </row>
    <row r="294" spans="1:17" x14ac:dyDescent="0.25">
      <c r="A294" s="1">
        <v>24</v>
      </c>
      <c r="C294" s="7" t="s">
        <v>336</v>
      </c>
      <c r="D294" s="17">
        <v>20881</v>
      </c>
      <c r="E294" s="7" t="s">
        <v>15</v>
      </c>
      <c r="F294" s="7" t="s">
        <v>337</v>
      </c>
      <c r="G294" s="7" t="s">
        <v>148</v>
      </c>
      <c r="H294" s="7" t="s">
        <v>35</v>
      </c>
      <c r="I294" s="7">
        <v>408659</v>
      </c>
      <c r="J294" s="7" t="s">
        <v>347</v>
      </c>
      <c r="K294" s="20">
        <v>8</v>
      </c>
      <c r="L294" s="20">
        <v>1</v>
      </c>
      <c r="M294" s="20">
        <v>12</v>
      </c>
      <c r="N294" s="8" t="s">
        <v>117</v>
      </c>
      <c r="O294" s="8" t="s">
        <v>117</v>
      </c>
      <c r="P294" s="8" t="s">
        <v>119</v>
      </c>
      <c r="Q294" s="8"/>
    </row>
    <row r="295" spans="1:17" x14ac:dyDescent="0.25">
      <c r="A295" s="1">
        <v>25</v>
      </c>
      <c r="C295" s="7" t="s">
        <v>336</v>
      </c>
      <c r="D295" s="17">
        <v>20877</v>
      </c>
      <c r="E295" s="7" t="s">
        <v>15</v>
      </c>
      <c r="F295" s="7" t="s">
        <v>337</v>
      </c>
      <c r="G295" s="7" t="s">
        <v>148</v>
      </c>
      <c r="H295" s="7" t="s">
        <v>35</v>
      </c>
      <c r="I295" s="7">
        <v>408659</v>
      </c>
      <c r="J295" s="7" t="s">
        <v>347</v>
      </c>
      <c r="K295" s="20">
        <v>8</v>
      </c>
      <c r="L295" s="20">
        <v>1</v>
      </c>
      <c r="M295" s="20">
        <v>12</v>
      </c>
      <c r="N295" s="8" t="s">
        <v>310</v>
      </c>
      <c r="O295" s="8" t="s">
        <v>310</v>
      </c>
      <c r="P295" s="8" t="s">
        <v>119</v>
      </c>
      <c r="Q295" s="8"/>
    </row>
    <row r="296" spans="1:17" x14ac:dyDescent="0.25">
      <c r="A296" s="1">
        <v>26</v>
      </c>
      <c r="C296" s="7" t="s">
        <v>336</v>
      </c>
      <c r="D296" s="17">
        <v>20878</v>
      </c>
      <c r="E296" s="7" t="s">
        <v>15</v>
      </c>
      <c r="F296" s="7" t="s">
        <v>337</v>
      </c>
      <c r="G296" s="7" t="s">
        <v>148</v>
      </c>
      <c r="H296" s="7" t="s">
        <v>35</v>
      </c>
      <c r="I296" s="7">
        <v>408659</v>
      </c>
      <c r="J296" s="7" t="s">
        <v>347</v>
      </c>
      <c r="K296" s="20">
        <v>8</v>
      </c>
      <c r="L296" s="20">
        <v>1</v>
      </c>
      <c r="M296" s="20">
        <v>12</v>
      </c>
      <c r="N296" s="8" t="s">
        <v>311</v>
      </c>
      <c r="O296" s="8" t="s">
        <v>311</v>
      </c>
      <c r="P296" s="8" t="s">
        <v>119</v>
      </c>
      <c r="Q296" s="8"/>
    </row>
    <row r="297" spans="1:17" x14ac:dyDescent="0.25">
      <c r="A297" s="1">
        <v>27</v>
      </c>
      <c r="C297" s="7" t="s">
        <v>336</v>
      </c>
      <c r="D297" s="17">
        <v>26749</v>
      </c>
      <c r="E297" s="7" t="s">
        <v>6</v>
      </c>
      <c r="F297" s="7" t="s">
        <v>352</v>
      </c>
      <c r="G297" s="7" t="s">
        <v>89</v>
      </c>
      <c r="H297" s="7" t="s">
        <v>35</v>
      </c>
      <c r="I297" s="7">
        <v>107392</v>
      </c>
      <c r="J297" s="7" t="s">
        <v>355</v>
      </c>
      <c r="K297" s="20">
        <v>16</v>
      </c>
      <c r="L297" s="20">
        <v>2</v>
      </c>
      <c r="M297" s="20">
        <v>10</v>
      </c>
      <c r="N297" s="8" t="s">
        <v>310</v>
      </c>
      <c r="O297" s="8" t="s">
        <v>311</v>
      </c>
      <c r="P297" s="8" t="s">
        <v>119</v>
      </c>
      <c r="Q297" s="8"/>
    </row>
    <row r="298" spans="1:17" x14ac:dyDescent="0.25">
      <c r="A298" s="1">
        <v>28</v>
      </c>
      <c r="C298" s="7" t="s">
        <v>336</v>
      </c>
      <c r="D298" s="17">
        <v>20879</v>
      </c>
      <c r="E298" s="7" t="s">
        <v>15</v>
      </c>
      <c r="F298" s="7" t="s">
        <v>337</v>
      </c>
      <c r="G298" s="7" t="s">
        <v>148</v>
      </c>
      <c r="H298" s="7" t="s">
        <v>35</v>
      </c>
      <c r="I298" s="7">
        <v>408659</v>
      </c>
      <c r="J298" s="7" t="s">
        <v>347</v>
      </c>
      <c r="K298" s="20">
        <v>8</v>
      </c>
      <c r="L298" s="20">
        <v>1</v>
      </c>
      <c r="M298" s="20">
        <v>12</v>
      </c>
      <c r="N298" s="8" t="s">
        <v>123</v>
      </c>
      <c r="O298" s="8" t="s">
        <v>123</v>
      </c>
      <c r="P298" s="8" t="s">
        <v>119</v>
      </c>
      <c r="Q298" s="8"/>
    </row>
    <row r="299" spans="1:17" x14ac:dyDescent="0.25">
      <c r="A299" s="1">
        <v>29</v>
      </c>
      <c r="C299" s="7" t="s">
        <v>336</v>
      </c>
      <c r="D299" s="17">
        <v>20883</v>
      </c>
      <c r="E299" s="7" t="s">
        <v>15</v>
      </c>
      <c r="F299" s="7" t="s">
        <v>337</v>
      </c>
      <c r="G299" s="7" t="s">
        <v>148</v>
      </c>
      <c r="H299" s="7" t="s">
        <v>35</v>
      </c>
      <c r="I299" s="7">
        <v>408659</v>
      </c>
      <c r="J299" s="7" t="s">
        <v>347</v>
      </c>
      <c r="K299" s="20">
        <v>8</v>
      </c>
      <c r="L299" s="20">
        <v>1</v>
      </c>
      <c r="M299" s="20">
        <v>12</v>
      </c>
      <c r="N299" s="8" t="s">
        <v>121</v>
      </c>
      <c r="O299" s="8" t="s">
        <v>121</v>
      </c>
      <c r="P299" s="8" t="s">
        <v>119</v>
      </c>
      <c r="Q299" s="8"/>
    </row>
    <row r="300" spans="1:17" x14ac:dyDescent="0.25">
      <c r="A300" s="1">
        <v>30</v>
      </c>
      <c r="C300" s="7" t="s">
        <v>336</v>
      </c>
      <c r="D300" s="17">
        <v>24384</v>
      </c>
      <c r="E300" s="7" t="s">
        <v>12</v>
      </c>
      <c r="F300" s="7" t="s">
        <v>349</v>
      </c>
      <c r="G300" s="7" t="s">
        <v>68</v>
      </c>
      <c r="H300" s="7" t="s">
        <v>35</v>
      </c>
      <c r="I300" s="7">
        <v>486686</v>
      </c>
      <c r="J300" s="7" t="s">
        <v>356</v>
      </c>
      <c r="K300" s="20">
        <v>24</v>
      </c>
      <c r="L300" s="20">
        <v>3</v>
      </c>
      <c r="M300" s="20">
        <v>7</v>
      </c>
      <c r="N300" s="8" t="s">
        <v>318</v>
      </c>
      <c r="O300" s="8" t="s">
        <v>130</v>
      </c>
      <c r="P300" s="8" t="s">
        <v>119</v>
      </c>
      <c r="Q300" s="8"/>
    </row>
    <row r="301" spans="1:17" x14ac:dyDescent="0.25">
      <c r="A301" s="1">
        <v>31</v>
      </c>
      <c r="C301" s="7" t="s">
        <v>336</v>
      </c>
      <c r="D301" s="17">
        <v>20882</v>
      </c>
      <c r="E301" s="7" t="s">
        <v>15</v>
      </c>
      <c r="F301" s="7" t="s">
        <v>337</v>
      </c>
      <c r="G301" s="7" t="s">
        <v>148</v>
      </c>
      <c r="H301" s="7" t="s">
        <v>35</v>
      </c>
      <c r="I301" s="7">
        <v>408659</v>
      </c>
      <c r="J301" s="7" t="s">
        <v>347</v>
      </c>
      <c r="K301" s="20">
        <v>8</v>
      </c>
      <c r="L301" s="20">
        <v>1</v>
      </c>
      <c r="M301" s="20">
        <v>12</v>
      </c>
      <c r="N301" s="8" t="s">
        <v>357</v>
      </c>
      <c r="O301" s="8" t="s">
        <v>357</v>
      </c>
      <c r="P301" s="8" t="s">
        <v>119</v>
      </c>
      <c r="Q301" s="8"/>
    </row>
    <row r="302" spans="1:17" x14ac:dyDescent="0.25">
      <c r="A302" s="1">
        <v>32</v>
      </c>
      <c r="C302" s="7" t="s">
        <v>336</v>
      </c>
      <c r="D302" s="17">
        <v>24402</v>
      </c>
      <c r="E302" s="7" t="s">
        <v>12</v>
      </c>
      <c r="F302" s="7" t="s">
        <v>349</v>
      </c>
      <c r="G302" s="7" t="s">
        <v>159</v>
      </c>
      <c r="H302" s="7" t="s">
        <v>35</v>
      </c>
      <c r="I302" s="7" t="s">
        <v>95</v>
      </c>
      <c r="J302" s="7" t="s">
        <v>96</v>
      </c>
      <c r="K302" s="20">
        <v>16</v>
      </c>
      <c r="L302" s="20">
        <v>2</v>
      </c>
      <c r="M302" s="20">
        <v>4</v>
      </c>
      <c r="N302" s="8" t="s">
        <v>137</v>
      </c>
      <c r="O302" s="8" t="s">
        <v>358</v>
      </c>
      <c r="P302" s="8" t="s">
        <v>119</v>
      </c>
      <c r="Q302" s="8"/>
    </row>
    <row r="303" spans="1:17" x14ac:dyDescent="0.25">
      <c r="A303" s="1">
        <v>33</v>
      </c>
      <c r="C303" s="7" t="s">
        <v>336</v>
      </c>
      <c r="D303" s="17">
        <v>21242</v>
      </c>
      <c r="E303" s="7" t="s">
        <v>15</v>
      </c>
      <c r="F303" s="7" t="s">
        <v>337</v>
      </c>
      <c r="G303" s="7" t="s">
        <v>235</v>
      </c>
      <c r="H303" s="7" t="s">
        <v>35</v>
      </c>
      <c r="I303" s="7">
        <v>147188</v>
      </c>
      <c r="J303" s="7" t="s">
        <v>359</v>
      </c>
      <c r="K303" s="20">
        <v>8</v>
      </c>
      <c r="L303" s="20">
        <v>1</v>
      </c>
      <c r="M303" s="20">
        <v>19</v>
      </c>
      <c r="N303" s="8" t="s">
        <v>143</v>
      </c>
      <c r="O303" s="8" t="s">
        <v>143</v>
      </c>
      <c r="P303" s="8" t="s">
        <v>141</v>
      </c>
      <c r="Q303" s="8"/>
    </row>
    <row r="304" spans="1:17" x14ac:dyDescent="0.25">
      <c r="A304" s="1">
        <v>34</v>
      </c>
      <c r="C304" s="7" t="s">
        <v>336</v>
      </c>
      <c r="D304" s="17">
        <v>24455</v>
      </c>
      <c r="E304" s="7" t="s">
        <v>12</v>
      </c>
      <c r="F304" s="7" t="s">
        <v>349</v>
      </c>
      <c r="G304" s="7" t="s">
        <v>317</v>
      </c>
      <c r="H304" s="7" t="s">
        <v>35</v>
      </c>
      <c r="I304" s="7">
        <v>226488</v>
      </c>
      <c r="J304" s="7" t="s">
        <v>341</v>
      </c>
      <c r="K304" s="20">
        <v>16</v>
      </c>
      <c r="L304" s="20">
        <v>2</v>
      </c>
      <c r="M304" s="20">
        <v>4</v>
      </c>
      <c r="N304" s="8" t="s">
        <v>145</v>
      </c>
      <c r="O304" s="8" t="s">
        <v>146</v>
      </c>
      <c r="P304" s="8" t="s">
        <v>141</v>
      </c>
      <c r="Q304" s="8"/>
    </row>
    <row r="305" spans="1:17" x14ac:dyDescent="0.25">
      <c r="A305" s="1">
        <v>35</v>
      </c>
      <c r="C305" s="7" t="s">
        <v>336</v>
      </c>
      <c r="D305" s="17">
        <v>24983</v>
      </c>
      <c r="E305" s="7" t="s">
        <v>8</v>
      </c>
      <c r="F305" s="7" t="s">
        <v>142</v>
      </c>
      <c r="G305" s="7" t="s">
        <v>171</v>
      </c>
      <c r="H305" s="7" t="s">
        <v>35</v>
      </c>
      <c r="I305" s="7">
        <v>361756</v>
      </c>
      <c r="J305" s="7" t="s">
        <v>360</v>
      </c>
      <c r="K305" s="20">
        <v>8</v>
      </c>
      <c r="L305" s="20">
        <v>1</v>
      </c>
      <c r="M305" s="20">
        <v>3</v>
      </c>
      <c r="N305" s="8" t="s">
        <v>151</v>
      </c>
      <c r="O305" s="8" t="s">
        <v>151</v>
      </c>
      <c r="P305" s="8" t="s">
        <v>141</v>
      </c>
      <c r="Q305" s="8"/>
    </row>
    <row r="306" spans="1:17" x14ac:dyDescent="0.25">
      <c r="A306" s="1">
        <v>36</v>
      </c>
      <c r="C306" s="7" t="s">
        <v>336</v>
      </c>
      <c r="D306" s="17">
        <v>20820</v>
      </c>
      <c r="E306" s="7" t="s">
        <v>15</v>
      </c>
      <c r="F306" s="7" t="s">
        <v>337</v>
      </c>
      <c r="G306" s="7" t="s">
        <v>302</v>
      </c>
      <c r="H306" s="7" t="s">
        <v>35</v>
      </c>
      <c r="I306" s="7">
        <v>196157</v>
      </c>
      <c r="J306" s="7" t="s">
        <v>338</v>
      </c>
      <c r="K306" s="20">
        <v>8</v>
      </c>
      <c r="L306" s="20">
        <v>1</v>
      </c>
      <c r="M306" s="20">
        <v>11</v>
      </c>
      <c r="N306" s="8" t="s">
        <v>154</v>
      </c>
      <c r="O306" s="8" t="s">
        <v>154</v>
      </c>
      <c r="P306" s="8" t="s">
        <v>141</v>
      </c>
      <c r="Q306" s="8"/>
    </row>
    <row r="307" spans="1:17" x14ac:dyDescent="0.25">
      <c r="A307" s="1">
        <v>37</v>
      </c>
      <c r="C307" s="7" t="s">
        <v>336</v>
      </c>
      <c r="D307" s="17">
        <v>21243</v>
      </c>
      <c r="E307" s="7" t="s">
        <v>15</v>
      </c>
      <c r="F307" s="7" t="s">
        <v>337</v>
      </c>
      <c r="G307" s="7" t="s">
        <v>235</v>
      </c>
      <c r="H307" s="7" t="s">
        <v>35</v>
      </c>
      <c r="I307" s="7">
        <v>147188</v>
      </c>
      <c r="J307" s="7" t="s">
        <v>359</v>
      </c>
      <c r="K307" s="20">
        <v>8</v>
      </c>
      <c r="L307" s="20">
        <v>1</v>
      </c>
      <c r="M307" s="20">
        <v>20</v>
      </c>
      <c r="N307" s="8" t="s">
        <v>156</v>
      </c>
      <c r="O307" s="8" t="s">
        <v>156</v>
      </c>
      <c r="P307" s="8" t="s">
        <v>141</v>
      </c>
      <c r="Q307" s="8"/>
    </row>
    <row r="308" spans="1:17" x14ac:dyDescent="0.25">
      <c r="A308" s="1">
        <v>38</v>
      </c>
      <c r="C308" s="7" t="s">
        <v>336</v>
      </c>
      <c r="D308" s="17">
        <v>26146</v>
      </c>
      <c r="E308" s="7" t="s">
        <v>8</v>
      </c>
      <c r="F308" s="7" t="s">
        <v>142</v>
      </c>
      <c r="G308" s="7" t="s">
        <v>331</v>
      </c>
      <c r="H308" s="7" t="s">
        <v>35</v>
      </c>
      <c r="I308" s="7">
        <v>361756</v>
      </c>
      <c r="J308" s="7" t="s">
        <v>360</v>
      </c>
      <c r="K308" s="20">
        <v>32</v>
      </c>
      <c r="L308" s="20">
        <v>4</v>
      </c>
      <c r="M308" s="20">
        <v>1</v>
      </c>
      <c r="N308" s="8" t="s">
        <v>154</v>
      </c>
      <c r="O308" s="8" t="s">
        <v>157</v>
      </c>
      <c r="P308" s="8" t="s">
        <v>141</v>
      </c>
      <c r="Q308" s="8"/>
    </row>
    <row r="309" spans="1:17" x14ac:dyDescent="0.25">
      <c r="A309" s="1">
        <v>39</v>
      </c>
      <c r="C309" s="7" t="s">
        <v>336</v>
      </c>
      <c r="D309" s="17">
        <v>24385</v>
      </c>
      <c r="E309" s="7" t="s">
        <v>12</v>
      </c>
      <c r="F309" s="7" t="s">
        <v>349</v>
      </c>
      <c r="G309" s="7" t="s">
        <v>68</v>
      </c>
      <c r="H309" s="7" t="s">
        <v>35</v>
      </c>
      <c r="I309" s="7">
        <v>486686</v>
      </c>
      <c r="J309" s="7" t="s">
        <v>356</v>
      </c>
      <c r="K309" s="20">
        <v>24</v>
      </c>
      <c r="L309" s="20">
        <v>3</v>
      </c>
      <c r="M309" s="20">
        <v>5</v>
      </c>
      <c r="N309" s="8" t="s">
        <v>164</v>
      </c>
      <c r="O309" s="8" t="s">
        <v>166</v>
      </c>
      <c r="P309" s="8" t="s">
        <v>141</v>
      </c>
      <c r="Q309" s="8"/>
    </row>
    <row r="310" spans="1:17" x14ac:dyDescent="0.25">
      <c r="A310" s="1">
        <v>40</v>
      </c>
      <c r="C310" s="7" t="s">
        <v>336</v>
      </c>
      <c r="D310" s="17">
        <v>21244</v>
      </c>
      <c r="E310" s="7" t="s">
        <v>15</v>
      </c>
      <c r="F310" s="7" t="s">
        <v>337</v>
      </c>
      <c r="G310" s="7" t="s">
        <v>235</v>
      </c>
      <c r="H310" s="7" t="s">
        <v>35</v>
      </c>
      <c r="I310" s="7">
        <v>147188</v>
      </c>
      <c r="J310" s="7" t="s">
        <v>359</v>
      </c>
      <c r="K310" s="20">
        <v>8</v>
      </c>
      <c r="L310" s="20">
        <v>1</v>
      </c>
      <c r="M310" s="20">
        <v>20</v>
      </c>
      <c r="N310" s="8" t="s">
        <v>170</v>
      </c>
      <c r="O310" s="8" t="s">
        <v>170</v>
      </c>
      <c r="P310" s="8" t="s">
        <v>173</v>
      </c>
      <c r="Q310" s="8"/>
    </row>
    <row r="311" spans="1:17" x14ac:dyDescent="0.25">
      <c r="A311" s="1">
        <v>41</v>
      </c>
      <c r="C311" s="7" t="s">
        <v>336</v>
      </c>
      <c r="D311" s="17">
        <v>24386</v>
      </c>
      <c r="E311" s="7" t="s">
        <v>12</v>
      </c>
      <c r="F311" s="7" t="s">
        <v>349</v>
      </c>
      <c r="G311" s="7" t="s">
        <v>68</v>
      </c>
      <c r="H311" s="7" t="s">
        <v>35</v>
      </c>
      <c r="I311" s="7">
        <v>486686</v>
      </c>
      <c r="J311" s="7" t="s">
        <v>356</v>
      </c>
      <c r="K311" s="20">
        <v>24</v>
      </c>
      <c r="L311" s="20">
        <v>3</v>
      </c>
      <c r="M311" s="20">
        <v>11</v>
      </c>
      <c r="N311" s="8" t="s">
        <v>177</v>
      </c>
      <c r="O311" s="8" t="s">
        <v>179</v>
      </c>
      <c r="P311" s="8" t="s">
        <v>173</v>
      </c>
      <c r="Q311" s="8"/>
    </row>
    <row r="312" spans="1:17" x14ac:dyDescent="0.25">
      <c r="A312" s="1">
        <v>42</v>
      </c>
      <c r="C312" s="7" t="s">
        <v>336</v>
      </c>
      <c r="D312" s="17">
        <v>26536</v>
      </c>
      <c r="E312" s="7" t="s">
        <v>6</v>
      </c>
      <c r="F312" s="7" t="s">
        <v>352</v>
      </c>
      <c r="G312" s="7" t="s">
        <v>84</v>
      </c>
      <c r="H312" s="7" t="s">
        <v>35</v>
      </c>
      <c r="I312" s="7">
        <v>196157</v>
      </c>
      <c r="J312" s="7" t="s">
        <v>338</v>
      </c>
      <c r="K312" s="20">
        <v>16</v>
      </c>
      <c r="L312" s="20">
        <v>2</v>
      </c>
      <c r="M312" s="20">
        <v>16</v>
      </c>
      <c r="N312" s="8" t="s">
        <v>181</v>
      </c>
      <c r="O312" s="8" t="s">
        <v>179</v>
      </c>
      <c r="P312" s="8" t="s">
        <v>173</v>
      </c>
      <c r="Q312" s="8"/>
    </row>
    <row r="313" spans="1:17" x14ac:dyDescent="0.25">
      <c r="A313" s="1">
        <v>43</v>
      </c>
      <c r="C313" s="7" t="s">
        <v>336</v>
      </c>
      <c r="D313" s="17">
        <v>20808</v>
      </c>
      <c r="E313" s="7" t="s">
        <v>15</v>
      </c>
      <c r="F313" s="7" t="s">
        <v>337</v>
      </c>
      <c r="G313" s="7" t="s">
        <v>105</v>
      </c>
      <c r="H313" s="7" t="s">
        <v>35</v>
      </c>
      <c r="I313" s="7">
        <v>196157</v>
      </c>
      <c r="J313" s="7" t="s">
        <v>338</v>
      </c>
      <c r="K313" s="20">
        <v>16</v>
      </c>
      <c r="L313" s="20">
        <v>2</v>
      </c>
      <c r="M313" s="20">
        <v>12</v>
      </c>
      <c r="N313" s="8" t="s">
        <v>184</v>
      </c>
      <c r="O313" s="8" t="s">
        <v>185</v>
      </c>
      <c r="P313" s="8" t="s">
        <v>173</v>
      </c>
      <c r="Q313" s="8"/>
    </row>
    <row r="314" spans="1:17" x14ac:dyDescent="0.25">
      <c r="A314" s="1">
        <v>44</v>
      </c>
      <c r="C314" s="7" t="s">
        <v>336</v>
      </c>
      <c r="D314" s="17">
        <v>21245</v>
      </c>
      <c r="E314" s="7" t="s">
        <v>15</v>
      </c>
      <c r="F314" s="7" t="s">
        <v>337</v>
      </c>
      <c r="G314" s="7" t="s">
        <v>235</v>
      </c>
      <c r="H314" s="7" t="s">
        <v>35</v>
      </c>
      <c r="I314" s="7">
        <v>147188</v>
      </c>
      <c r="J314" s="7" t="s">
        <v>359</v>
      </c>
      <c r="K314" s="20">
        <v>8</v>
      </c>
      <c r="L314" s="20">
        <v>1</v>
      </c>
      <c r="M314" s="20">
        <v>19</v>
      </c>
      <c r="N314" s="8" t="s">
        <v>185</v>
      </c>
      <c r="O314" s="8" t="s">
        <v>185</v>
      </c>
      <c r="P314" s="8" t="s">
        <v>173</v>
      </c>
      <c r="Q314" s="8"/>
    </row>
    <row r="315" spans="1:17" x14ac:dyDescent="0.25">
      <c r="A315" s="1">
        <v>45</v>
      </c>
      <c r="C315" s="7" t="s">
        <v>336</v>
      </c>
      <c r="D315" s="17">
        <v>20880</v>
      </c>
      <c r="E315" s="7" t="s">
        <v>15</v>
      </c>
      <c r="F315" s="7" t="s">
        <v>337</v>
      </c>
      <c r="G315" s="7" t="s">
        <v>148</v>
      </c>
      <c r="H315" s="7" t="s">
        <v>35</v>
      </c>
      <c r="I315" s="7">
        <v>408659</v>
      </c>
      <c r="J315" s="7" t="s">
        <v>347</v>
      </c>
      <c r="K315" s="20">
        <v>8</v>
      </c>
      <c r="L315" s="20">
        <v>1</v>
      </c>
      <c r="M315" s="20">
        <v>12</v>
      </c>
      <c r="N315" s="8" t="s">
        <v>361</v>
      </c>
      <c r="O315" s="8" t="s">
        <v>361</v>
      </c>
      <c r="P315" s="8" t="s">
        <v>173</v>
      </c>
      <c r="Q315" s="8"/>
    </row>
    <row r="316" spans="1:17" x14ac:dyDescent="0.25">
      <c r="A316" s="1">
        <v>46</v>
      </c>
      <c r="C316" s="7" t="s">
        <v>336</v>
      </c>
      <c r="D316" s="17">
        <v>24456</v>
      </c>
      <c r="E316" s="7" t="s">
        <v>12</v>
      </c>
      <c r="F316" s="7" t="s">
        <v>349</v>
      </c>
      <c r="G316" s="7" t="s">
        <v>317</v>
      </c>
      <c r="H316" s="7" t="s">
        <v>35</v>
      </c>
      <c r="I316" s="7">
        <v>226488</v>
      </c>
      <c r="J316" s="7" t="s">
        <v>341</v>
      </c>
      <c r="K316" s="20">
        <v>16</v>
      </c>
      <c r="L316" s="20">
        <v>2</v>
      </c>
      <c r="M316" s="20">
        <v>8</v>
      </c>
      <c r="N316" s="8" t="s">
        <v>192</v>
      </c>
      <c r="O316" s="8" t="s">
        <v>193</v>
      </c>
      <c r="P316" s="8" t="s">
        <v>173</v>
      </c>
      <c r="Q316" s="8"/>
    </row>
    <row r="317" spans="1:17" x14ac:dyDescent="0.25">
      <c r="A317" s="1">
        <v>47</v>
      </c>
      <c r="C317" s="7" t="s">
        <v>336</v>
      </c>
      <c r="D317" s="17">
        <v>24877</v>
      </c>
      <c r="E317" s="7" t="s">
        <v>12</v>
      </c>
      <c r="F317" s="7" t="s">
        <v>349</v>
      </c>
      <c r="G317" s="7" t="s">
        <v>362</v>
      </c>
      <c r="H317" s="7" t="s">
        <v>72</v>
      </c>
      <c r="I317" s="7">
        <v>348492</v>
      </c>
      <c r="J317" s="7" t="s">
        <v>363</v>
      </c>
      <c r="K317" s="20">
        <v>24</v>
      </c>
      <c r="L317" s="20">
        <v>3</v>
      </c>
      <c r="M317" s="20">
        <v>5</v>
      </c>
      <c r="N317" s="8" t="s">
        <v>191</v>
      </c>
      <c r="O317" s="8" t="s">
        <v>197</v>
      </c>
      <c r="P317" s="8" t="s">
        <v>173</v>
      </c>
      <c r="Q317" s="8"/>
    </row>
    <row r="318" spans="1:17" x14ac:dyDescent="0.25">
      <c r="A318" s="1">
        <v>48</v>
      </c>
      <c r="C318" s="7" t="s">
        <v>336</v>
      </c>
      <c r="D318" s="17">
        <v>24403</v>
      </c>
      <c r="E318" s="7" t="s">
        <v>12</v>
      </c>
      <c r="F318" s="7" t="s">
        <v>349</v>
      </c>
      <c r="G318" s="7" t="s">
        <v>159</v>
      </c>
      <c r="H318" s="7" t="s">
        <v>35</v>
      </c>
      <c r="I318" s="7" t="s">
        <v>95</v>
      </c>
      <c r="J318" s="7" t="s">
        <v>96</v>
      </c>
      <c r="K318" s="20">
        <v>16</v>
      </c>
      <c r="L318" s="20">
        <v>2</v>
      </c>
      <c r="M318" s="20">
        <v>7</v>
      </c>
      <c r="N318" s="8" t="s">
        <v>198</v>
      </c>
      <c r="O318" s="8" t="s">
        <v>200</v>
      </c>
      <c r="P318" s="8" t="s">
        <v>173</v>
      </c>
      <c r="Q318" s="8"/>
    </row>
    <row r="319" spans="1:17" x14ac:dyDescent="0.25">
      <c r="A319" s="1">
        <v>49</v>
      </c>
      <c r="C319" s="7" t="s">
        <v>336</v>
      </c>
      <c r="D319" s="17">
        <v>21246</v>
      </c>
      <c r="E319" s="7" t="s">
        <v>15</v>
      </c>
      <c r="F319" s="7" t="s">
        <v>337</v>
      </c>
      <c r="G319" s="7" t="s">
        <v>235</v>
      </c>
      <c r="H319" s="7" t="s">
        <v>35</v>
      </c>
      <c r="I319" s="7">
        <v>147188</v>
      </c>
      <c r="J319" s="7" t="s">
        <v>359</v>
      </c>
      <c r="K319" s="20">
        <v>8</v>
      </c>
      <c r="L319" s="20">
        <v>1</v>
      </c>
      <c r="M319" s="20">
        <v>20</v>
      </c>
      <c r="N319" s="8" t="s">
        <v>204</v>
      </c>
      <c r="O319" s="8" t="s">
        <v>204</v>
      </c>
      <c r="P319" s="8" t="s">
        <v>202</v>
      </c>
      <c r="Q319" s="8"/>
    </row>
    <row r="320" spans="1:17" x14ac:dyDescent="0.25">
      <c r="A320" s="1">
        <v>50</v>
      </c>
      <c r="C320" s="7" t="s">
        <v>336</v>
      </c>
      <c r="D320" s="17">
        <v>24387</v>
      </c>
      <c r="E320" s="7" t="s">
        <v>12</v>
      </c>
      <c r="F320" s="7" t="s">
        <v>349</v>
      </c>
      <c r="G320" s="7" t="s">
        <v>68</v>
      </c>
      <c r="H320" s="7" t="s">
        <v>35</v>
      </c>
      <c r="I320" s="7">
        <v>486686</v>
      </c>
      <c r="J320" s="7" t="s">
        <v>356</v>
      </c>
      <c r="K320" s="20">
        <v>24</v>
      </c>
      <c r="L320" s="20">
        <v>3</v>
      </c>
      <c r="M320" s="20">
        <v>4</v>
      </c>
      <c r="N320" s="8" t="s">
        <v>327</v>
      </c>
      <c r="O320" s="8" t="s">
        <v>204</v>
      </c>
      <c r="P320" s="8" t="s">
        <v>202</v>
      </c>
      <c r="Q320" s="8"/>
    </row>
    <row r="321" spans="1:17" x14ac:dyDescent="0.25">
      <c r="A321" s="1">
        <v>51</v>
      </c>
      <c r="C321" s="7" t="s">
        <v>336</v>
      </c>
      <c r="D321" s="17">
        <v>24356</v>
      </c>
      <c r="E321" s="7" t="s">
        <v>12</v>
      </c>
      <c r="F321" s="7" t="s">
        <v>349</v>
      </c>
      <c r="G321" s="7" t="s">
        <v>171</v>
      </c>
      <c r="H321" s="7" t="s">
        <v>72</v>
      </c>
      <c r="I321" s="7">
        <v>332078</v>
      </c>
      <c r="J321" s="7" t="s">
        <v>364</v>
      </c>
      <c r="K321" s="20">
        <v>8</v>
      </c>
      <c r="L321" s="20">
        <v>1</v>
      </c>
      <c r="M321" s="20">
        <v>14</v>
      </c>
      <c r="N321" s="8" t="s">
        <v>209</v>
      </c>
      <c r="O321" s="8" t="s">
        <v>210</v>
      </c>
      <c r="P321" s="8" t="s">
        <v>202</v>
      </c>
      <c r="Q321" s="8"/>
    </row>
    <row r="322" spans="1:17" x14ac:dyDescent="0.25">
      <c r="A322" s="1">
        <v>52</v>
      </c>
      <c r="C322" s="7" t="s">
        <v>336</v>
      </c>
      <c r="D322" s="17">
        <v>20819</v>
      </c>
      <c r="E322" s="7" t="s">
        <v>15</v>
      </c>
      <c r="F322" s="7" t="s">
        <v>337</v>
      </c>
      <c r="G322" s="7" t="s">
        <v>302</v>
      </c>
      <c r="H322" s="7" t="s">
        <v>35</v>
      </c>
      <c r="I322" s="7">
        <v>196157</v>
      </c>
      <c r="J322" s="7" t="s">
        <v>338</v>
      </c>
      <c r="K322" s="20">
        <v>8</v>
      </c>
      <c r="L322" s="20">
        <v>1</v>
      </c>
      <c r="M322" s="20">
        <v>10</v>
      </c>
      <c r="N322" s="8" t="s">
        <v>211</v>
      </c>
      <c r="O322" s="8" t="s">
        <v>211</v>
      </c>
      <c r="P322" s="8" t="s">
        <v>202</v>
      </c>
      <c r="Q322" s="8"/>
    </row>
    <row r="323" spans="1:17" x14ac:dyDescent="0.25">
      <c r="A323" s="1">
        <v>53</v>
      </c>
      <c r="C323" s="7" t="s">
        <v>336</v>
      </c>
      <c r="D323" s="17">
        <v>21247</v>
      </c>
      <c r="E323" s="7" t="s">
        <v>15</v>
      </c>
      <c r="F323" s="7" t="s">
        <v>337</v>
      </c>
      <c r="G323" s="7" t="s">
        <v>235</v>
      </c>
      <c r="H323" s="7" t="s">
        <v>35</v>
      </c>
      <c r="I323" s="7">
        <v>147188</v>
      </c>
      <c r="J323" s="7" t="s">
        <v>359</v>
      </c>
      <c r="K323" s="20">
        <v>8</v>
      </c>
      <c r="L323" s="20">
        <v>1</v>
      </c>
      <c r="M323" s="20">
        <v>20</v>
      </c>
      <c r="N323" s="8" t="s">
        <v>215</v>
      </c>
      <c r="O323" s="8" t="s">
        <v>215</v>
      </c>
      <c r="P323" s="8" t="s">
        <v>202</v>
      </c>
      <c r="Q323" s="8"/>
    </row>
    <row r="324" spans="1:17" x14ac:dyDescent="0.25">
      <c r="A324" s="1">
        <v>54</v>
      </c>
      <c r="C324" s="7" t="s">
        <v>336</v>
      </c>
      <c r="D324" s="17">
        <v>21248</v>
      </c>
      <c r="E324" s="7" t="s">
        <v>15</v>
      </c>
      <c r="F324" s="7" t="s">
        <v>337</v>
      </c>
      <c r="G324" s="7" t="s">
        <v>235</v>
      </c>
      <c r="H324" s="7" t="s">
        <v>35</v>
      </c>
      <c r="I324" s="7">
        <v>147188</v>
      </c>
      <c r="J324" s="7" t="s">
        <v>359</v>
      </c>
      <c r="K324" s="20">
        <v>8</v>
      </c>
      <c r="L324" s="20">
        <v>1</v>
      </c>
      <c r="M324" s="20">
        <v>20</v>
      </c>
      <c r="N324" s="8" t="s">
        <v>365</v>
      </c>
      <c r="O324" s="8" t="s">
        <v>365</v>
      </c>
      <c r="P324" s="8" t="s">
        <v>227</v>
      </c>
      <c r="Q324" s="8"/>
    </row>
    <row r="325" spans="1:17" x14ac:dyDescent="0.25">
      <c r="A325" s="1">
        <v>55</v>
      </c>
      <c r="C325" s="7" t="s">
        <v>336</v>
      </c>
      <c r="D325" s="17">
        <v>24388</v>
      </c>
      <c r="E325" s="7" t="s">
        <v>12</v>
      </c>
      <c r="F325" s="7" t="s">
        <v>349</v>
      </c>
      <c r="G325" s="7" t="s">
        <v>68</v>
      </c>
      <c r="H325" s="7" t="s">
        <v>35</v>
      </c>
      <c r="I325" s="7">
        <v>486686</v>
      </c>
      <c r="J325" s="7" t="s">
        <v>356</v>
      </c>
      <c r="K325" s="20">
        <v>24</v>
      </c>
      <c r="L325" s="20">
        <v>3</v>
      </c>
      <c r="M325" s="20">
        <v>8</v>
      </c>
      <c r="N325" s="8" t="s">
        <v>230</v>
      </c>
      <c r="O325" s="8" t="s">
        <v>366</v>
      </c>
      <c r="P325" s="8" t="s">
        <v>227</v>
      </c>
      <c r="Q325" s="8"/>
    </row>
    <row r="326" spans="1:17" x14ac:dyDescent="0.25">
      <c r="A326" s="1">
        <v>56</v>
      </c>
      <c r="C326" s="7" t="s">
        <v>336</v>
      </c>
      <c r="D326" s="17">
        <v>21249</v>
      </c>
      <c r="E326" s="7" t="s">
        <v>15</v>
      </c>
      <c r="F326" s="7" t="s">
        <v>337</v>
      </c>
      <c r="G326" s="7" t="s">
        <v>235</v>
      </c>
      <c r="H326" s="7" t="s">
        <v>35</v>
      </c>
      <c r="I326" s="7">
        <v>147188</v>
      </c>
      <c r="J326" s="7" t="s">
        <v>359</v>
      </c>
      <c r="K326" s="20">
        <v>8</v>
      </c>
      <c r="L326" s="20">
        <v>1</v>
      </c>
      <c r="M326" s="20">
        <v>19</v>
      </c>
      <c r="N326" s="8" t="s">
        <v>238</v>
      </c>
      <c r="O326" s="8" t="s">
        <v>238</v>
      </c>
      <c r="P326" s="8" t="s">
        <v>227</v>
      </c>
      <c r="Q326" s="8"/>
    </row>
    <row r="327" spans="1:17" x14ac:dyDescent="0.25">
      <c r="A327" s="1">
        <v>1</v>
      </c>
      <c r="C327" s="8" t="s">
        <v>367</v>
      </c>
      <c r="D327" s="17">
        <v>21602</v>
      </c>
      <c r="E327" s="7" t="s">
        <v>15</v>
      </c>
      <c r="F327" s="7" t="s">
        <v>74</v>
      </c>
      <c r="G327" s="7" t="s">
        <v>199</v>
      </c>
      <c r="H327" s="7" t="s">
        <v>35</v>
      </c>
      <c r="I327" s="8">
        <v>203860</v>
      </c>
      <c r="J327" s="7" t="s">
        <v>368</v>
      </c>
      <c r="K327" s="38">
        <v>8</v>
      </c>
      <c r="L327" s="38">
        <v>1</v>
      </c>
      <c r="M327" s="38">
        <v>6</v>
      </c>
      <c r="N327" s="8" t="s">
        <v>340</v>
      </c>
      <c r="O327" s="18">
        <v>44266</v>
      </c>
      <c r="P327" s="8" t="s">
        <v>50</v>
      </c>
      <c r="Q327" s="8"/>
    </row>
    <row r="328" spans="1:17" x14ac:dyDescent="0.25">
      <c r="A328" s="1">
        <v>2</v>
      </c>
      <c r="C328" s="8" t="s">
        <v>367</v>
      </c>
      <c r="D328" s="17">
        <v>23655</v>
      </c>
      <c r="E328" s="7" t="s">
        <v>15</v>
      </c>
      <c r="F328" s="7" t="s">
        <v>369</v>
      </c>
      <c r="G328" s="7" t="s">
        <v>105</v>
      </c>
      <c r="H328" s="7" t="s">
        <v>35</v>
      </c>
      <c r="I328" s="8">
        <v>457409</v>
      </c>
      <c r="J328" s="7" t="s">
        <v>370</v>
      </c>
      <c r="K328" s="38">
        <v>16</v>
      </c>
      <c r="L328" s="38">
        <v>2</v>
      </c>
      <c r="M328" s="38">
        <v>6</v>
      </c>
      <c r="N328" s="8" t="s">
        <v>266</v>
      </c>
      <c r="O328" s="18">
        <v>44292</v>
      </c>
      <c r="P328" s="8" t="s">
        <v>60</v>
      </c>
      <c r="Q328" s="8"/>
    </row>
    <row r="329" spans="1:17" x14ac:dyDescent="0.25">
      <c r="A329" s="1">
        <v>3</v>
      </c>
      <c r="C329" s="8" t="s">
        <v>367</v>
      </c>
      <c r="D329" s="17">
        <v>23656</v>
      </c>
      <c r="E329" s="7" t="s">
        <v>15</v>
      </c>
      <c r="F329" s="7" t="s">
        <v>369</v>
      </c>
      <c r="G329" s="7" t="s">
        <v>105</v>
      </c>
      <c r="H329" s="7" t="s">
        <v>35</v>
      </c>
      <c r="I329" s="8">
        <v>457409</v>
      </c>
      <c r="J329" s="7" t="s">
        <v>370</v>
      </c>
      <c r="K329" s="38">
        <v>16</v>
      </c>
      <c r="L329" s="38">
        <v>2</v>
      </c>
      <c r="M329" s="38">
        <v>8</v>
      </c>
      <c r="N329" s="8" t="s">
        <v>371</v>
      </c>
      <c r="O329" s="18">
        <v>44294</v>
      </c>
      <c r="P329" s="8" t="s">
        <v>60</v>
      </c>
      <c r="Q329" s="8"/>
    </row>
    <row r="330" spans="1:17" x14ac:dyDescent="0.25">
      <c r="A330" s="1">
        <v>4</v>
      </c>
      <c r="C330" s="8" t="s">
        <v>367</v>
      </c>
      <c r="D330" s="17">
        <v>23717</v>
      </c>
      <c r="E330" s="7" t="s">
        <v>15</v>
      </c>
      <c r="F330" s="7" t="s">
        <v>369</v>
      </c>
      <c r="G330" s="7" t="s">
        <v>148</v>
      </c>
      <c r="H330" s="7" t="s">
        <v>35</v>
      </c>
      <c r="I330" s="8">
        <v>457409</v>
      </c>
      <c r="J330" s="7" t="s">
        <v>370</v>
      </c>
      <c r="K330" s="38">
        <v>8</v>
      </c>
      <c r="L330" s="38">
        <v>1</v>
      </c>
      <c r="M330" s="38">
        <v>12</v>
      </c>
      <c r="N330" s="8" t="s">
        <v>372</v>
      </c>
      <c r="O330" s="18">
        <v>44295</v>
      </c>
      <c r="P330" s="8" t="s">
        <v>60</v>
      </c>
      <c r="Q330" s="8"/>
    </row>
    <row r="331" spans="1:17" x14ac:dyDescent="0.25">
      <c r="A331" s="1">
        <v>5</v>
      </c>
      <c r="C331" s="8" t="s">
        <v>367</v>
      </c>
      <c r="D331" s="17">
        <v>24553</v>
      </c>
      <c r="E331" s="7" t="s">
        <v>15</v>
      </c>
      <c r="F331" s="7" t="s">
        <v>369</v>
      </c>
      <c r="G331" s="7" t="s">
        <v>264</v>
      </c>
      <c r="H331" s="7" t="s">
        <v>35</v>
      </c>
      <c r="I331" s="8">
        <v>457409</v>
      </c>
      <c r="J331" s="7" t="s">
        <v>370</v>
      </c>
      <c r="K331" s="38">
        <v>8</v>
      </c>
      <c r="L331" s="38">
        <v>1</v>
      </c>
      <c r="M331" s="38">
        <v>14</v>
      </c>
      <c r="N331" s="8" t="s">
        <v>344</v>
      </c>
      <c r="O331" s="18">
        <v>44298</v>
      </c>
      <c r="P331" s="8" t="s">
        <v>60</v>
      </c>
      <c r="Q331" s="8"/>
    </row>
    <row r="332" spans="1:17" x14ac:dyDescent="0.25">
      <c r="A332" s="106">
        <v>6</v>
      </c>
      <c r="B332" s="110"/>
      <c r="C332" s="46" t="s">
        <v>367</v>
      </c>
      <c r="D332" s="108">
        <v>23244</v>
      </c>
      <c r="E332" s="107" t="s">
        <v>15</v>
      </c>
      <c r="F332" s="107" t="s">
        <v>74</v>
      </c>
      <c r="G332" s="107" t="s">
        <v>34</v>
      </c>
      <c r="H332" s="107" t="s">
        <v>35</v>
      </c>
      <c r="I332" s="46">
        <v>352720</v>
      </c>
      <c r="J332" s="107" t="s">
        <v>373</v>
      </c>
      <c r="K332" s="126">
        <v>8</v>
      </c>
      <c r="L332" s="126">
        <v>1</v>
      </c>
      <c r="M332" s="126">
        <v>4</v>
      </c>
      <c r="N332" s="47">
        <v>44278</v>
      </c>
      <c r="O332" s="47">
        <v>44278</v>
      </c>
      <c r="P332" s="46" t="s">
        <v>50</v>
      </c>
      <c r="Q332" s="8"/>
    </row>
    <row r="333" spans="1:17" x14ac:dyDescent="0.25">
      <c r="A333" s="1">
        <v>7</v>
      </c>
      <c r="C333" s="8" t="s">
        <v>367</v>
      </c>
      <c r="D333" s="17">
        <v>24460</v>
      </c>
      <c r="E333" s="7" t="s">
        <v>12</v>
      </c>
      <c r="F333" s="7" t="s">
        <v>349</v>
      </c>
      <c r="G333" s="7" t="s">
        <v>148</v>
      </c>
      <c r="H333" s="7" t="s">
        <v>35</v>
      </c>
      <c r="I333" s="8">
        <v>317687</v>
      </c>
      <c r="J333" s="7" t="s">
        <v>374</v>
      </c>
      <c r="K333" s="38">
        <v>8</v>
      </c>
      <c r="L333" s="38">
        <v>1</v>
      </c>
      <c r="M333" s="38">
        <v>12</v>
      </c>
      <c r="N333" s="8" t="s">
        <v>67</v>
      </c>
      <c r="O333" s="18">
        <v>44305</v>
      </c>
      <c r="P333" s="8" t="s">
        <v>60</v>
      </c>
      <c r="Q333" s="8"/>
    </row>
    <row r="334" spans="1:17" x14ac:dyDescent="0.25">
      <c r="A334" s="1">
        <v>8</v>
      </c>
      <c r="C334" s="8" t="s">
        <v>367</v>
      </c>
      <c r="D334" s="17">
        <v>24432</v>
      </c>
      <c r="E334" s="7" t="s">
        <v>12</v>
      </c>
      <c r="F334" s="7" t="s">
        <v>349</v>
      </c>
      <c r="G334" s="7" t="s">
        <v>294</v>
      </c>
      <c r="H334" s="7" t="s">
        <v>35</v>
      </c>
      <c r="I334" s="8">
        <v>203860</v>
      </c>
      <c r="J334" s="7" t="s">
        <v>368</v>
      </c>
      <c r="K334" s="38">
        <v>8</v>
      </c>
      <c r="L334" s="38">
        <v>1</v>
      </c>
      <c r="M334" s="38">
        <v>9</v>
      </c>
      <c r="N334" s="8" t="s">
        <v>375</v>
      </c>
      <c r="O334" s="18">
        <v>44306</v>
      </c>
      <c r="P334" s="8" t="s">
        <v>60</v>
      </c>
      <c r="Q334" s="8"/>
    </row>
    <row r="335" spans="1:17" x14ac:dyDescent="0.25">
      <c r="A335" s="1">
        <v>9</v>
      </c>
      <c r="C335" s="8" t="s">
        <v>367</v>
      </c>
      <c r="D335" s="17">
        <v>26479</v>
      </c>
      <c r="E335" s="7" t="s">
        <v>6</v>
      </c>
      <c r="F335" s="7" t="s">
        <v>352</v>
      </c>
      <c r="G335" s="7" t="s">
        <v>294</v>
      </c>
      <c r="H335" s="7" t="s">
        <v>35</v>
      </c>
      <c r="I335" s="8">
        <v>312224</v>
      </c>
      <c r="J335" s="7" t="s">
        <v>376</v>
      </c>
      <c r="K335" s="38">
        <v>8</v>
      </c>
      <c r="L335" s="38">
        <v>1</v>
      </c>
      <c r="M335" s="38">
        <v>11</v>
      </c>
      <c r="N335" s="8" t="s">
        <v>377</v>
      </c>
      <c r="O335" s="18">
        <v>44312</v>
      </c>
      <c r="P335" s="8" t="s">
        <v>60</v>
      </c>
      <c r="Q335" s="8"/>
    </row>
    <row r="336" spans="1:17" x14ac:dyDescent="0.25">
      <c r="A336" s="1">
        <v>10</v>
      </c>
      <c r="C336" s="8" t="s">
        <v>367</v>
      </c>
      <c r="D336" s="17">
        <v>26774</v>
      </c>
      <c r="E336" s="7" t="s">
        <v>6</v>
      </c>
      <c r="F336" s="7" t="s">
        <v>352</v>
      </c>
      <c r="G336" s="7" t="s">
        <v>148</v>
      </c>
      <c r="H336" s="7" t="s">
        <v>35</v>
      </c>
      <c r="I336" s="8">
        <v>457409</v>
      </c>
      <c r="J336" s="7" t="s">
        <v>370</v>
      </c>
      <c r="K336" s="38">
        <v>8</v>
      </c>
      <c r="L336" s="38">
        <v>1</v>
      </c>
      <c r="M336" s="38">
        <v>8</v>
      </c>
      <c r="N336" s="8" t="s">
        <v>70</v>
      </c>
      <c r="O336" s="18">
        <v>44315</v>
      </c>
      <c r="P336" s="8" t="s">
        <v>60</v>
      </c>
      <c r="Q336" s="8"/>
    </row>
    <row r="337" spans="1:17" x14ac:dyDescent="0.25">
      <c r="A337" s="1">
        <v>11</v>
      </c>
      <c r="C337" s="8" t="s">
        <v>367</v>
      </c>
      <c r="D337" s="17">
        <v>26775</v>
      </c>
      <c r="E337" s="7" t="s">
        <v>6</v>
      </c>
      <c r="F337" s="7" t="s">
        <v>352</v>
      </c>
      <c r="G337" s="7" t="s">
        <v>148</v>
      </c>
      <c r="H337" s="7" t="s">
        <v>35</v>
      </c>
      <c r="I337" s="8">
        <v>457409</v>
      </c>
      <c r="J337" s="7" t="s">
        <v>370</v>
      </c>
      <c r="K337" s="38">
        <v>8</v>
      </c>
      <c r="L337" s="38">
        <v>1</v>
      </c>
      <c r="M337" s="38">
        <v>8</v>
      </c>
      <c r="N337" s="8" t="s">
        <v>267</v>
      </c>
      <c r="O337" s="18">
        <v>44316</v>
      </c>
      <c r="P337" s="8" t="s">
        <v>60</v>
      </c>
      <c r="Q337" s="8"/>
    </row>
    <row r="338" spans="1:17" x14ac:dyDescent="0.25">
      <c r="A338" s="1">
        <v>12</v>
      </c>
      <c r="C338" s="8" t="s">
        <v>367</v>
      </c>
      <c r="D338" s="17">
        <v>26743</v>
      </c>
      <c r="E338" s="7" t="s">
        <v>6</v>
      </c>
      <c r="F338" s="7" t="s">
        <v>352</v>
      </c>
      <c r="G338" s="7" t="s">
        <v>264</v>
      </c>
      <c r="H338" s="7" t="s">
        <v>35</v>
      </c>
      <c r="I338" s="8">
        <v>203860</v>
      </c>
      <c r="J338" s="7" t="s">
        <v>368</v>
      </c>
      <c r="K338" s="38">
        <v>8</v>
      </c>
      <c r="L338" s="38">
        <v>1</v>
      </c>
      <c r="M338" s="38">
        <v>7</v>
      </c>
      <c r="N338" s="8" t="s">
        <v>378</v>
      </c>
      <c r="O338" s="18">
        <v>44323</v>
      </c>
      <c r="P338" s="8" t="s">
        <v>77</v>
      </c>
      <c r="Q338" s="8"/>
    </row>
    <row r="339" spans="1:17" x14ac:dyDescent="0.25">
      <c r="A339" s="1">
        <v>13</v>
      </c>
      <c r="C339" s="8" t="s">
        <v>367</v>
      </c>
      <c r="D339" s="17">
        <v>26540</v>
      </c>
      <c r="E339" s="7" t="s">
        <v>6</v>
      </c>
      <c r="F339" s="7" t="s">
        <v>352</v>
      </c>
      <c r="G339" s="7" t="s">
        <v>346</v>
      </c>
      <c r="H339" s="7" t="s">
        <v>35</v>
      </c>
      <c r="I339" s="8">
        <v>124389</v>
      </c>
      <c r="J339" s="7" t="s">
        <v>379</v>
      </c>
      <c r="K339" s="38">
        <v>16</v>
      </c>
      <c r="L339" s="38">
        <v>2</v>
      </c>
      <c r="M339" s="38">
        <v>11</v>
      </c>
      <c r="N339" s="8" t="s">
        <v>80</v>
      </c>
      <c r="O339" s="18">
        <v>44328</v>
      </c>
      <c r="P339" s="8" t="s">
        <v>77</v>
      </c>
      <c r="Q339" s="8"/>
    </row>
    <row r="340" spans="1:17" x14ac:dyDescent="0.25">
      <c r="A340" s="1">
        <v>14</v>
      </c>
      <c r="C340" s="8" t="s">
        <v>367</v>
      </c>
      <c r="D340" s="17">
        <v>24473</v>
      </c>
      <c r="E340" s="7" t="s">
        <v>12</v>
      </c>
      <c r="F340" s="7" t="s">
        <v>349</v>
      </c>
      <c r="G340" s="7" t="s">
        <v>40</v>
      </c>
      <c r="H340" s="7" t="s">
        <v>35</v>
      </c>
      <c r="I340" s="8">
        <v>352720</v>
      </c>
      <c r="J340" s="7" t="s">
        <v>373</v>
      </c>
      <c r="K340" s="38">
        <v>24</v>
      </c>
      <c r="L340" s="38">
        <v>3</v>
      </c>
      <c r="M340" s="38">
        <v>8</v>
      </c>
      <c r="N340" s="8" t="s">
        <v>80</v>
      </c>
      <c r="O340" s="18">
        <v>44329</v>
      </c>
      <c r="P340" s="8" t="s">
        <v>77</v>
      </c>
      <c r="Q340" s="8"/>
    </row>
    <row r="341" spans="1:17" x14ac:dyDescent="0.25">
      <c r="A341" s="1">
        <v>15</v>
      </c>
      <c r="C341" s="8" t="s">
        <v>367</v>
      </c>
      <c r="D341" s="17">
        <v>28078</v>
      </c>
      <c r="E341" s="7" t="s">
        <v>12</v>
      </c>
      <c r="F341" s="7" t="s">
        <v>349</v>
      </c>
      <c r="G341" s="7" t="s">
        <v>199</v>
      </c>
      <c r="H341" s="7" t="s">
        <v>35</v>
      </c>
      <c r="I341" s="8">
        <v>352720</v>
      </c>
      <c r="J341" s="7" t="s">
        <v>373</v>
      </c>
      <c r="K341" s="38">
        <v>8</v>
      </c>
      <c r="L341" s="38">
        <v>1</v>
      </c>
      <c r="M341" s="38">
        <v>13</v>
      </c>
      <c r="N341" s="8" t="s">
        <v>380</v>
      </c>
      <c r="O341" s="18">
        <v>44330</v>
      </c>
      <c r="P341" s="8" t="s">
        <v>77</v>
      </c>
      <c r="Q341" s="8"/>
    </row>
    <row r="342" spans="1:17" x14ac:dyDescent="0.25">
      <c r="A342" s="1">
        <v>16</v>
      </c>
      <c r="C342" s="8" t="s">
        <v>367</v>
      </c>
      <c r="D342" s="17">
        <v>26541</v>
      </c>
      <c r="E342" s="7" t="s">
        <v>6</v>
      </c>
      <c r="F342" s="7" t="s">
        <v>352</v>
      </c>
      <c r="G342" s="7" t="s">
        <v>346</v>
      </c>
      <c r="H342" s="7" t="s">
        <v>35</v>
      </c>
      <c r="I342" s="8">
        <v>124389</v>
      </c>
      <c r="J342" s="7" t="s">
        <v>379</v>
      </c>
      <c r="K342" s="38">
        <v>16</v>
      </c>
      <c r="L342" s="38">
        <v>2</v>
      </c>
      <c r="M342" s="38">
        <v>11</v>
      </c>
      <c r="N342" s="8" t="s">
        <v>83</v>
      </c>
      <c r="O342" s="18">
        <v>44330</v>
      </c>
      <c r="P342" s="8" t="s">
        <v>77</v>
      </c>
      <c r="Q342" s="8"/>
    </row>
    <row r="343" spans="1:17" x14ac:dyDescent="0.25">
      <c r="A343" s="1">
        <v>17</v>
      </c>
      <c r="C343" s="8" t="s">
        <v>367</v>
      </c>
      <c r="D343" s="17">
        <v>21403</v>
      </c>
      <c r="E343" s="7" t="s">
        <v>15</v>
      </c>
      <c r="F343" s="7" t="s">
        <v>74</v>
      </c>
      <c r="G343" s="7" t="s">
        <v>294</v>
      </c>
      <c r="H343" s="7" t="s">
        <v>35</v>
      </c>
      <c r="I343" s="8">
        <v>312224</v>
      </c>
      <c r="J343" s="7" t="s">
        <v>376</v>
      </c>
      <c r="K343" s="38">
        <v>8</v>
      </c>
      <c r="L343" s="38">
        <v>1</v>
      </c>
      <c r="M343" s="38">
        <v>11</v>
      </c>
      <c r="N343" s="8" t="s">
        <v>87</v>
      </c>
      <c r="O343" s="18">
        <v>44335</v>
      </c>
      <c r="P343" s="8" t="s">
        <v>77</v>
      </c>
      <c r="Q343" s="8"/>
    </row>
    <row r="344" spans="1:17" x14ac:dyDescent="0.25">
      <c r="A344" s="1">
        <v>18</v>
      </c>
      <c r="C344" s="8" t="s">
        <v>367</v>
      </c>
      <c r="D344" s="17">
        <v>21402</v>
      </c>
      <c r="E344" s="7" t="s">
        <v>15</v>
      </c>
      <c r="F344" s="7" t="s">
        <v>74</v>
      </c>
      <c r="G344" s="7" t="s">
        <v>294</v>
      </c>
      <c r="H344" s="7" t="s">
        <v>35</v>
      </c>
      <c r="I344" s="8">
        <v>312224</v>
      </c>
      <c r="J344" s="7" t="s">
        <v>376</v>
      </c>
      <c r="K344" s="38">
        <v>8</v>
      </c>
      <c r="L344" s="38">
        <v>1</v>
      </c>
      <c r="M344" s="38">
        <v>11</v>
      </c>
      <c r="N344" s="8" t="s">
        <v>284</v>
      </c>
      <c r="O344" s="18">
        <v>44336</v>
      </c>
      <c r="P344" s="8" t="s">
        <v>77</v>
      </c>
      <c r="Q344" s="8"/>
    </row>
    <row r="345" spans="1:17" x14ac:dyDescent="0.25">
      <c r="A345" s="1">
        <v>19</v>
      </c>
      <c r="C345" s="8" t="s">
        <v>367</v>
      </c>
      <c r="D345" s="17">
        <v>24404</v>
      </c>
      <c r="E345" s="7" t="s">
        <v>12</v>
      </c>
      <c r="F345" s="7" t="s">
        <v>349</v>
      </c>
      <c r="G345" s="7" t="s">
        <v>159</v>
      </c>
      <c r="H345" s="7" t="s">
        <v>35</v>
      </c>
      <c r="I345" s="8">
        <v>449433</v>
      </c>
      <c r="J345" s="7" t="s">
        <v>381</v>
      </c>
      <c r="K345" s="38">
        <v>16</v>
      </c>
      <c r="L345" s="38">
        <v>2</v>
      </c>
      <c r="M345" s="38">
        <v>6</v>
      </c>
      <c r="N345" s="8" t="s">
        <v>284</v>
      </c>
      <c r="O345" s="18">
        <v>44337</v>
      </c>
      <c r="P345" s="8" t="s">
        <v>77</v>
      </c>
      <c r="Q345" s="8"/>
    </row>
    <row r="346" spans="1:17" x14ac:dyDescent="0.25">
      <c r="A346" s="1">
        <v>20</v>
      </c>
      <c r="C346" s="8" t="s">
        <v>367</v>
      </c>
      <c r="D346" s="17">
        <v>26553</v>
      </c>
      <c r="E346" s="7" t="s">
        <v>6</v>
      </c>
      <c r="F346" s="7" t="s">
        <v>352</v>
      </c>
      <c r="G346" s="7" t="s">
        <v>40</v>
      </c>
      <c r="H346" s="7" t="s">
        <v>35</v>
      </c>
      <c r="I346" s="8">
        <v>352720</v>
      </c>
      <c r="J346" s="7" t="s">
        <v>373</v>
      </c>
      <c r="K346" s="38">
        <v>24</v>
      </c>
      <c r="L346" s="38">
        <v>3</v>
      </c>
      <c r="M346" s="38">
        <v>6</v>
      </c>
      <c r="N346" s="8" t="s">
        <v>299</v>
      </c>
      <c r="O346" s="8" t="s">
        <v>107</v>
      </c>
      <c r="P346" s="8" t="s">
        <v>100</v>
      </c>
      <c r="Q346" s="8"/>
    </row>
    <row r="347" spans="1:17" x14ac:dyDescent="0.25">
      <c r="A347" s="1">
        <v>21</v>
      </c>
      <c r="C347" s="8" t="s">
        <v>367</v>
      </c>
      <c r="D347" s="17">
        <v>22349</v>
      </c>
      <c r="E347" s="7" t="s">
        <v>15</v>
      </c>
      <c r="F347" s="7" t="s">
        <v>74</v>
      </c>
      <c r="G347" s="7" t="s">
        <v>264</v>
      </c>
      <c r="H347" s="7" t="s">
        <v>35</v>
      </c>
      <c r="I347" s="8">
        <v>449433</v>
      </c>
      <c r="J347" s="7" t="s">
        <v>381</v>
      </c>
      <c r="K347" s="38">
        <v>8</v>
      </c>
      <c r="L347" s="38">
        <v>1</v>
      </c>
      <c r="M347" s="38">
        <v>9</v>
      </c>
      <c r="N347" s="8" t="s">
        <v>311</v>
      </c>
      <c r="O347" s="8" t="s">
        <v>311</v>
      </c>
      <c r="P347" s="8" t="s">
        <v>119</v>
      </c>
      <c r="Q347" s="8"/>
    </row>
    <row r="348" spans="1:17" x14ac:dyDescent="0.25">
      <c r="A348" s="1">
        <v>22</v>
      </c>
      <c r="C348" s="8" t="s">
        <v>367</v>
      </c>
      <c r="D348" s="17">
        <v>26754</v>
      </c>
      <c r="E348" s="7" t="s">
        <v>6</v>
      </c>
      <c r="F348" s="7" t="s">
        <v>352</v>
      </c>
      <c r="G348" s="7" t="s">
        <v>89</v>
      </c>
      <c r="H348" s="7" t="s">
        <v>35</v>
      </c>
      <c r="I348" s="8">
        <v>203860</v>
      </c>
      <c r="J348" s="7" t="s">
        <v>368</v>
      </c>
      <c r="K348" s="38">
        <v>16</v>
      </c>
      <c r="L348" s="38">
        <v>2</v>
      </c>
      <c r="M348" s="38">
        <v>2</v>
      </c>
      <c r="N348" s="8" t="s">
        <v>310</v>
      </c>
      <c r="O348" s="8" t="s">
        <v>311</v>
      </c>
      <c r="P348" s="8" t="s">
        <v>119</v>
      </c>
      <c r="Q348" s="8"/>
    </row>
    <row r="349" spans="1:17" x14ac:dyDescent="0.25">
      <c r="A349" s="1">
        <v>23</v>
      </c>
      <c r="C349" s="8" t="s">
        <v>367</v>
      </c>
      <c r="D349" s="17">
        <v>22348</v>
      </c>
      <c r="E349" s="7" t="s">
        <v>15</v>
      </c>
      <c r="F349" s="7" t="s">
        <v>74</v>
      </c>
      <c r="G349" s="7" t="s">
        <v>264</v>
      </c>
      <c r="H349" s="7" t="s">
        <v>35</v>
      </c>
      <c r="I349" s="8">
        <v>449433</v>
      </c>
      <c r="J349" s="7" t="s">
        <v>381</v>
      </c>
      <c r="K349" s="38">
        <v>8</v>
      </c>
      <c r="L349" s="38">
        <v>1</v>
      </c>
      <c r="M349" s="38">
        <v>10</v>
      </c>
      <c r="N349" s="8" t="s">
        <v>123</v>
      </c>
      <c r="O349" s="8" t="s">
        <v>123</v>
      </c>
      <c r="P349" s="8" t="s">
        <v>119</v>
      </c>
      <c r="Q349" s="8"/>
    </row>
    <row r="350" spans="1:17" x14ac:dyDescent="0.25">
      <c r="A350" s="1">
        <v>24</v>
      </c>
      <c r="C350" s="8" t="s">
        <v>367</v>
      </c>
      <c r="D350" s="17">
        <v>23729</v>
      </c>
      <c r="E350" s="7" t="s">
        <v>15</v>
      </c>
      <c r="F350" s="7" t="s">
        <v>74</v>
      </c>
      <c r="G350" s="7" t="s">
        <v>40</v>
      </c>
      <c r="H350" s="7" t="s">
        <v>35</v>
      </c>
      <c r="I350" s="8">
        <v>352720</v>
      </c>
      <c r="J350" s="7" t="s">
        <v>373</v>
      </c>
      <c r="K350" s="38">
        <v>24</v>
      </c>
      <c r="L350" s="38">
        <v>3</v>
      </c>
      <c r="M350" s="38">
        <v>4</v>
      </c>
      <c r="N350" s="8" t="s">
        <v>126</v>
      </c>
      <c r="O350" s="8" t="s">
        <v>128</v>
      </c>
      <c r="P350" s="8" t="s">
        <v>119</v>
      </c>
      <c r="Q350" s="8"/>
    </row>
    <row r="351" spans="1:17" x14ac:dyDescent="0.25">
      <c r="A351" s="1">
        <v>25</v>
      </c>
      <c r="C351" s="8" t="s">
        <v>367</v>
      </c>
      <c r="D351" s="17">
        <v>26450</v>
      </c>
      <c r="E351" s="7" t="s">
        <v>6</v>
      </c>
      <c r="F351" s="7" t="s">
        <v>352</v>
      </c>
      <c r="G351" s="7" t="s">
        <v>279</v>
      </c>
      <c r="H351" s="7" t="s">
        <v>35</v>
      </c>
      <c r="I351" s="8">
        <v>457409</v>
      </c>
      <c r="J351" s="7" t="s">
        <v>370</v>
      </c>
      <c r="K351" s="38">
        <v>16</v>
      </c>
      <c r="L351" s="38">
        <v>2</v>
      </c>
      <c r="M351" s="38">
        <v>9</v>
      </c>
      <c r="N351" s="8" t="s">
        <v>154</v>
      </c>
      <c r="O351" s="8" t="s">
        <v>155</v>
      </c>
      <c r="P351" s="8" t="s">
        <v>141</v>
      </c>
      <c r="Q351" s="8"/>
    </row>
    <row r="352" spans="1:17" x14ac:dyDescent="0.25">
      <c r="A352" s="1">
        <v>26</v>
      </c>
      <c r="C352" s="8" t="s">
        <v>367</v>
      </c>
      <c r="D352" s="17">
        <v>24395</v>
      </c>
      <c r="E352" s="7" t="s">
        <v>12</v>
      </c>
      <c r="F352" s="7" t="s">
        <v>349</v>
      </c>
      <c r="G352" s="7" t="s">
        <v>62</v>
      </c>
      <c r="H352" s="7" t="s">
        <v>35</v>
      </c>
      <c r="I352" s="8">
        <v>449433</v>
      </c>
      <c r="J352" s="7" t="s">
        <v>381</v>
      </c>
      <c r="K352" s="38">
        <v>24</v>
      </c>
      <c r="L352" s="38">
        <v>3</v>
      </c>
      <c r="M352" s="38">
        <v>9</v>
      </c>
      <c r="N352" s="8" t="s">
        <v>177</v>
      </c>
      <c r="O352" s="8" t="s">
        <v>179</v>
      </c>
      <c r="P352" s="8" t="s">
        <v>173</v>
      </c>
      <c r="Q352" s="8"/>
    </row>
    <row r="353" spans="1:17" x14ac:dyDescent="0.25">
      <c r="A353" s="1">
        <v>27</v>
      </c>
      <c r="C353" s="8" t="s">
        <v>367</v>
      </c>
      <c r="D353" s="17">
        <v>24351</v>
      </c>
      <c r="E353" s="7" t="s">
        <v>12</v>
      </c>
      <c r="F353" s="7" t="s">
        <v>349</v>
      </c>
      <c r="G353" s="7" t="s">
        <v>223</v>
      </c>
      <c r="H353" s="7" t="s">
        <v>35</v>
      </c>
      <c r="I353" s="8">
        <v>352720</v>
      </c>
      <c r="J353" s="7" t="s">
        <v>373</v>
      </c>
      <c r="K353" s="38">
        <v>16</v>
      </c>
      <c r="L353" s="38">
        <v>2</v>
      </c>
      <c r="M353" s="38">
        <v>5</v>
      </c>
      <c r="N353" s="8" t="s">
        <v>185</v>
      </c>
      <c r="O353" s="8" t="s">
        <v>187</v>
      </c>
      <c r="P353" s="8" t="s">
        <v>173</v>
      </c>
      <c r="Q353" s="8"/>
    </row>
    <row r="354" spans="1:17" x14ac:dyDescent="0.25">
      <c r="A354" s="1">
        <v>28</v>
      </c>
      <c r="C354" s="8" t="s">
        <v>367</v>
      </c>
      <c r="D354" s="17">
        <v>23617</v>
      </c>
      <c r="E354" s="7" t="s">
        <v>15</v>
      </c>
      <c r="F354" s="7" t="s">
        <v>74</v>
      </c>
      <c r="G354" s="7" t="s">
        <v>89</v>
      </c>
      <c r="H354" s="7" t="s">
        <v>35</v>
      </c>
      <c r="I354" s="8">
        <v>449433</v>
      </c>
      <c r="J354" s="7" t="s">
        <v>381</v>
      </c>
      <c r="K354" s="38">
        <v>16</v>
      </c>
      <c r="L354" s="38">
        <v>2</v>
      </c>
      <c r="M354" s="38">
        <v>11</v>
      </c>
      <c r="N354" s="8" t="s">
        <v>196</v>
      </c>
      <c r="O354" s="8" t="s">
        <v>197</v>
      </c>
      <c r="P354" s="8" t="s">
        <v>173</v>
      </c>
      <c r="Q354" s="8"/>
    </row>
    <row r="355" spans="1:17" x14ac:dyDescent="0.25">
      <c r="A355" s="1">
        <v>29</v>
      </c>
      <c r="C355" s="8" t="s">
        <v>367</v>
      </c>
      <c r="D355" s="17">
        <v>23618</v>
      </c>
      <c r="E355" s="7" t="s">
        <v>15</v>
      </c>
      <c r="F355" s="7" t="s">
        <v>74</v>
      </c>
      <c r="G355" s="7" t="s">
        <v>89</v>
      </c>
      <c r="H355" s="7" t="s">
        <v>35</v>
      </c>
      <c r="I355" s="8">
        <v>449433</v>
      </c>
      <c r="J355" s="7" t="s">
        <v>381</v>
      </c>
      <c r="K355" s="38">
        <v>16</v>
      </c>
      <c r="L355" s="38">
        <v>2</v>
      </c>
      <c r="M355" s="38">
        <v>12</v>
      </c>
      <c r="N355" s="8" t="s">
        <v>198</v>
      </c>
      <c r="O355" s="8" t="s">
        <v>200</v>
      </c>
      <c r="P355" s="8" t="s">
        <v>173</v>
      </c>
      <c r="Q355" s="8"/>
    </row>
    <row r="356" spans="1:17" x14ac:dyDescent="0.25">
      <c r="A356" s="1">
        <v>30</v>
      </c>
      <c r="C356" s="8" t="s">
        <v>367</v>
      </c>
      <c r="D356" s="17">
        <v>24471</v>
      </c>
      <c r="E356" s="7" t="s">
        <v>12</v>
      </c>
      <c r="F356" s="7" t="s">
        <v>349</v>
      </c>
      <c r="G356" s="7" t="s">
        <v>235</v>
      </c>
      <c r="H356" s="7" t="s">
        <v>35</v>
      </c>
      <c r="I356" s="8">
        <v>352720</v>
      </c>
      <c r="J356" s="7" t="s">
        <v>373</v>
      </c>
      <c r="K356" s="38">
        <v>8</v>
      </c>
      <c r="L356" s="38">
        <v>1</v>
      </c>
      <c r="M356" s="38">
        <v>8</v>
      </c>
      <c r="N356" s="8" t="s">
        <v>327</v>
      </c>
      <c r="O356" s="8" t="s">
        <v>327</v>
      </c>
      <c r="P356" s="8" t="s">
        <v>202</v>
      </c>
      <c r="Q356" s="8"/>
    </row>
    <row r="357" spans="1:17" x14ac:dyDescent="0.25">
      <c r="A357" s="1">
        <v>31</v>
      </c>
      <c r="C357" s="8" t="s">
        <v>367</v>
      </c>
      <c r="D357" s="17">
        <v>23619</v>
      </c>
      <c r="E357" s="7" t="s">
        <v>15</v>
      </c>
      <c r="F357" s="7" t="s">
        <v>74</v>
      </c>
      <c r="G357" s="7" t="s">
        <v>89</v>
      </c>
      <c r="H357" s="7" t="s">
        <v>35</v>
      </c>
      <c r="I357" s="8">
        <v>449433</v>
      </c>
      <c r="J357" s="7" t="s">
        <v>381</v>
      </c>
      <c r="K357" s="38">
        <v>16</v>
      </c>
      <c r="L357" s="38">
        <v>2</v>
      </c>
      <c r="M357" s="38">
        <v>12</v>
      </c>
      <c r="N357" s="8" t="s">
        <v>203</v>
      </c>
      <c r="O357" s="8" t="s">
        <v>204</v>
      </c>
      <c r="P357" s="8" t="s">
        <v>202</v>
      </c>
      <c r="Q357" s="8"/>
    </row>
    <row r="358" spans="1:17" x14ac:dyDescent="0.25">
      <c r="A358" s="1">
        <v>32</v>
      </c>
      <c r="C358" s="8" t="s">
        <v>367</v>
      </c>
      <c r="D358" s="17">
        <v>26467</v>
      </c>
      <c r="E358" s="7" t="s">
        <v>6</v>
      </c>
      <c r="F358" s="7" t="s">
        <v>352</v>
      </c>
      <c r="G358" s="7" t="s">
        <v>331</v>
      </c>
      <c r="H358" s="7" t="s">
        <v>35</v>
      </c>
      <c r="I358" s="8">
        <v>413244</v>
      </c>
      <c r="J358" s="7" t="s">
        <v>382</v>
      </c>
      <c r="K358" s="38">
        <v>32</v>
      </c>
      <c r="L358" s="38">
        <v>4</v>
      </c>
      <c r="M358" s="38">
        <v>3</v>
      </c>
      <c r="N358" s="8" t="s">
        <v>327</v>
      </c>
      <c r="O358" s="8" t="s">
        <v>205</v>
      </c>
      <c r="P358" s="8" t="s">
        <v>202</v>
      </c>
      <c r="Q358" s="8"/>
    </row>
    <row r="359" spans="1:17" x14ac:dyDescent="0.25">
      <c r="A359" s="1">
        <v>33</v>
      </c>
      <c r="C359" s="8" t="s">
        <v>367</v>
      </c>
      <c r="D359" s="17">
        <v>23620</v>
      </c>
      <c r="E359" s="7" t="s">
        <v>15</v>
      </c>
      <c r="F359" s="7" t="s">
        <v>74</v>
      </c>
      <c r="G359" s="7" t="s">
        <v>89</v>
      </c>
      <c r="H359" s="7" t="s">
        <v>35</v>
      </c>
      <c r="I359" s="8">
        <v>449433</v>
      </c>
      <c r="J359" s="7" t="s">
        <v>381</v>
      </c>
      <c r="K359" s="38">
        <v>16</v>
      </c>
      <c r="L359" s="38">
        <v>2</v>
      </c>
      <c r="M359" s="38">
        <v>12</v>
      </c>
      <c r="N359" s="8" t="s">
        <v>205</v>
      </c>
      <c r="O359" s="8" t="s">
        <v>206</v>
      </c>
      <c r="P359" s="8" t="s">
        <v>202</v>
      </c>
      <c r="Q359" s="8"/>
    </row>
    <row r="360" spans="1:17" x14ac:dyDescent="0.25">
      <c r="A360" s="1">
        <v>34</v>
      </c>
      <c r="C360" s="8" t="s">
        <v>367</v>
      </c>
      <c r="D360" s="17">
        <v>23616</v>
      </c>
      <c r="E360" s="7" t="s">
        <v>15</v>
      </c>
      <c r="F360" s="7" t="s">
        <v>74</v>
      </c>
      <c r="G360" s="7" t="s">
        <v>89</v>
      </c>
      <c r="H360" s="7" t="s">
        <v>35</v>
      </c>
      <c r="I360" s="8">
        <v>449433</v>
      </c>
      <c r="J360" s="7" t="s">
        <v>381</v>
      </c>
      <c r="K360" s="38">
        <v>16</v>
      </c>
      <c r="L360" s="38">
        <v>2</v>
      </c>
      <c r="M360" s="38">
        <v>11</v>
      </c>
      <c r="N360" s="8" t="s">
        <v>208</v>
      </c>
      <c r="O360" s="8" t="s">
        <v>330</v>
      </c>
      <c r="P360" s="8" t="s">
        <v>202</v>
      </c>
      <c r="Q360" s="8"/>
    </row>
    <row r="361" spans="1:17" x14ac:dyDescent="0.25">
      <c r="A361" s="1">
        <v>35</v>
      </c>
      <c r="C361" s="8" t="s">
        <v>367</v>
      </c>
      <c r="D361" s="17">
        <v>23615</v>
      </c>
      <c r="E361" s="7" t="s">
        <v>15</v>
      </c>
      <c r="F361" s="7" t="s">
        <v>74</v>
      </c>
      <c r="G361" s="7" t="s">
        <v>89</v>
      </c>
      <c r="H361" s="7" t="s">
        <v>35</v>
      </c>
      <c r="I361" s="8">
        <v>449433</v>
      </c>
      <c r="J361" s="7" t="s">
        <v>381</v>
      </c>
      <c r="K361" s="38">
        <v>16</v>
      </c>
      <c r="L361" s="38">
        <v>2</v>
      </c>
      <c r="M361" s="38">
        <v>12</v>
      </c>
      <c r="N361" s="8" t="s">
        <v>209</v>
      </c>
      <c r="O361" s="8" t="s">
        <v>210</v>
      </c>
      <c r="P361" s="8" t="s">
        <v>202</v>
      </c>
      <c r="Q361" s="8"/>
    </row>
    <row r="362" spans="1:17" x14ac:dyDescent="0.25">
      <c r="A362" s="1">
        <v>36</v>
      </c>
      <c r="C362" s="8" t="s">
        <v>367</v>
      </c>
      <c r="D362" s="17">
        <v>23614</v>
      </c>
      <c r="E362" s="7" t="s">
        <v>15</v>
      </c>
      <c r="F362" s="7" t="s">
        <v>74</v>
      </c>
      <c r="G362" s="7" t="s">
        <v>89</v>
      </c>
      <c r="H362" s="7" t="s">
        <v>35</v>
      </c>
      <c r="I362" s="8">
        <v>449433</v>
      </c>
      <c r="J362" s="7" t="s">
        <v>381</v>
      </c>
      <c r="K362" s="38">
        <v>16</v>
      </c>
      <c r="L362" s="38">
        <v>2</v>
      </c>
      <c r="M362" s="38">
        <v>11</v>
      </c>
      <c r="N362" s="8" t="s">
        <v>333</v>
      </c>
      <c r="O362" s="8" t="s">
        <v>217</v>
      </c>
      <c r="P362" s="8" t="s">
        <v>202</v>
      </c>
      <c r="Q362" s="8"/>
    </row>
    <row r="363" spans="1:17" x14ac:dyDescent="0.25">
      <c r="A363" s="1">
        <v>37</v>
      </c>
      <c r="C363" s="8" t="s">
        <v>367</v>
      </c>
      <c r="D363" s="17">
        <v>24438</v>
      </c>
      <c r="E363" s="7" t="s">
        <v>12</v>
      </c>
      <c r="F363" s="7" t="s">
        <v>349</v>
      </c>
      <c r="G363" s="7" t="s">
        <v>84</v>
      </c>
      <c r="H363" s="7" t="s">
        <v>35</v>
      </c>
      <c r="I363" s="8">
        <v>203860</v>
      </c>
      <c r="J363" s="7" t="s">
        <v>368</v>
      </c>
      <c r="K363" s="38">
        <v>16</v>
      </c>
      <c r="L363" s="38">
        <v>2</v>
      </c>
      <c r="M363" s="38">
        <v>11</v>
      </c>
      <c r="N363" s="8" t="s">
        <v>230</v>
      </c>
      <c r="O363" s="8" t="s">
        <v>231</v>
      </c>
      <c r="P363" s="8" t="s">
        <v>227</v>
      </c>
      <c r="Q363" s="8"/>
    </row>
    <row r="364" spans="1:17" x14ac:dyDescent="0.25">
      <c r="A364" s="1">
        <v>38</v>
      </c>
      <c r="C364" s="8" t="s">
        <v>367</v>
      </c>
      <c r="D364" s="17">
        <v>21112</v>
      </c>
      <c r="E364" s="7" t="s">
        <v>12</v>
      </c>
      <c r="F364" s="7" t="s">
        <v>349</v>
      </c>
      <c r="G364" s="7" t="s">
        <v>302</v>
      </c>
      <c r="H364" s="7" t="s">
        <v>35</v>
      </c>
      <c r="I364" s="8">
        <v>203860</v>
      </c>
      <c r="J364" s="7" t="s">
        <v>368</v>
      </c>
      <c r="K364" s="38">
        <v>8</v>
      </c>
      <c r="L364" s="38">
        <v>1</v>
      </c>
      <c r="M364" s="38">
        <v>10</v>
      </c>
      <c r="N364" s="8" t="s">
        <v>237</v>
      </c>
      <c r="O364" s="8" t="s">
        <v>237</v>
      </c>
      <c r="P364" s="8" t="s">
        <v>227</v>
      </c>
      <c r="Q364" s="8"/>
    </row>
    <row r="365" spans="1:17" x14ac:dyDescent="0.25">
      <c r="A365" s="1">
        <v>39</v>
      </c>
      <c r="C365" s="8" t="s">
        <v>367</v>
      </c>
      <c r="D365" s="17">
        <v>26546</v>
      </c>
      <c r="E365" s="7" t="s">
        <v>6</v>
      </c>
      <c r="F365" s="7" t="s">
        <v>352</v>
      </c>
      <c r="G365" s="7" t="s">
        <v>317</v>
      </c>
      <c r="H365" s="7" t="s">
        <v>35</v>
      </c>
      <c r="I365" s="8">
        <v>520919</v>
      </c>
      <c r="J365" s="7" t="s">
        <v>383</v>
      </c>
      <c r="K365" s="38">
        <v>16</v>
      </c>
      <c r="L365" s="38">
        <v>2</v>
      </c>
      <c r="M365" s="38">
        <v>10</v>
      </c>
      <c r="N365" s="8" t="s">
        <v>384</v>
      </c>
      <c r="O365" s="8" t="s">
        <v>246</v>
      </c>
      <c r="P365" s="8" t="s">
        <v>227</v>
      </c>
      <c r="Q365" s="8"/>
    </row>
    <row r="366" spans="1:17" x14ac:dyDescent="0.25">
      <c r="A366" s="1">
        <v>40</v>
      </c>
      <c r="C366" s="8" t="s">
        <v>367</v>
      </c>
      <c r="D366" s="17">
        <v>26537</v>
      </c>
      <c r="E366" s="7" t="s">
        <v>6</v>
      </c>
      <c r="F366" s="7" t="s">
        <v>352</v>
      </c>
      <c r="G366" s="7" t="s">
        <v>84</v>
      </c>
      <c r="H366" s="7" t="s">
        <v>35</v>
      </c>
      <c r="I366" s="8">
        <v>457409</v>
      </c>
      <c r="J366" s="7" t="s">
        <v>370</v>
      </c>
      <c r="K366" s="38">
        <v>16</v>
      </c>
      <c r="L366" s="38">
        <v>2</v>
      </c>
      <c r="M366" s="38">
        <v>5</v>
      </c>
      <c r="N366" s="8" t="s">
        <v>247</v>
      </c>
      <c r="O366" s="8" t="s">
        <v>385</v>
      </c>
      <c r="P366" s="8" t="s">
        <v>249</v>
      </c>
      <c r="Q366" s="8"/>
    </row>
    <row r="367" spans="1:17" x14ac:dyDescent="0.25">
      <c r="A367" s="1">
        <v>1</v>
      </c>
      <c r="C367" s="7" t="s">
        <v>386</v>
      </c>
      <c r="D367" s="17">
        <v>24457</v>
      </c>
      <c r="E367" s="7" t="s">
        <v>12</v>
      </c>
      <c r="F367" s="7" t="s">
        <v>349</v>
      </c>
      <c r="G367" s="7" t="s">
        <v>317</v>
      </c>
      <c r="H367" s="7" t="s">
        <v>35</v>
      </c>
      <c r="I367" s="8">
        <v>196853</v>
      </c>
      <c r="J367" s="7" t="s">
        <v>353</v>
      </c>
      <c r="K367" s="40">
        <v>16</v>
      </c>
      <c r="L367" s="40">
        <v>2</v>
      </c>
      <c r="M367" s="40">
        <v>10</v>
      </c>
      <c r="N367" s="8" t="s">
        <v>51</v>
      </c>
      <c r="O367" s="18">
        <v>44260</v>
      </c>
      <c r="P367" s="8" t="s">
        <v>50</v>
      </c>
      <c r="Q367" s="8"/>
    </row>
    <row r="368" spans="1:17" x14ac:dyDescent="0.25">
      <c r="A368" s="1">
        <v>2</v>
      </c>
      <c r="C368" s="7" t="s">
        <v>386</v>
      </c>
      <c r="D368" s="17">
        <v>24475</v>
      </c>
      <c r="E368" s="7" t="s">
        <v>12</v>
      </c>
      <c r="F368" s="7" t="s">
        <v>349</v>
      </c>
      <c r="G368" s="7" t="s">
        <v>40</v>
      </c>
      <c r="H368" s="7" t="s">
        <v>35</v>
      </c>
      <c r="I368" s="8">
        <v>352720</v>
      </c>
      <c r="J368" s="7" t="s">
        <v>373</v>
      </c>
      <c r="K368" s="40">
        <v>24</v>
      </c>
      <c r="L368" s="40">
        <v>3</v>
      </c>
      <c r="M368" s="40">
        <v>10</v>
      </c>
      <c r="N368" s="8" t="s">
        <v>387</v>
      </c>
      <c r="O368" s="18">
        <v>44266</v>
      </c>
      <c r="P368" s="8" t="s">
        <v>50</v>
      </c>
      <c r="Q368" s="8"/>
    </row>
    <row r="369" spans="1:17" x14ac:dyDescent="0.25">
      <c r="A369" s="1">
        <v>3</v>
      </c>
      <c r="C369" s="7" t="s">
        <v>388</v>
      </c>
      <c r="D369" s="17">
        <v>24458</v>
      </c>
      <c r="E369" s="7" t="s">
        <v>12</v>
      </c>
      <c r="F369" s="7" t="s">
        <v>349</v>
      </c>
      <c r="G369" s="7" t="s">
        <v>317</v>
      </c>
      <c r="H369" s="7" t="s">
        <v>35</v>
      </c>
      <c r="I369" s="8">
        <v>196853</v>
      </c>
      <c r="J369" s="7" t="s">
        <v>353</v>
      </c>
      <c r="K369" s="40">
        <v>16</v>
      </c>
      <c r="L369" s="40">
        <v>2</v>
      </c>
      <c r="M369" s="40">
        <v>5</v>
      </c>
      <c r="N369" s="8" t="s">
        <v>340</v>
      </c>
      <c r="O369" s="18">
        <v>44267</v>
      </c>
      <c r="P369" s="8" t="s">
        <v>50</v>
      </c>
      <c r="Q369" s="8"/>
    </row>
    <row r="370" spans="1:17" x14ac:dyDescent="0.25">
      <c r="A370" s="1">
        <v>4</v>
      </c>
      <c r="C370" s="7" t="s">
        <v>386</v>
      </c>
      <c r="D370" s="17">
        <v>24448</v>
      </c>
      <c r="E370" s="7" t="s">
        <v>12</v>
      </c>
      <c r="F370" s="7" t="s">
        <v>349</v>
      </c>
      <c r="G370" s="7" t="s">
        <v>346</v>
      </c>
      <c r="H370" s="7" t="s">
        <v>35</v>
      </c>
      <c r="I370" s="8">
        <v>352720</v>
      </c>
      <c r="J370" s="7" t="s">
        <v>373</v>
      </c>
      <c r="K370" s="40">
        <v>16</v>
      </c>
      <c r="L370" s="40">
        <v>2</v>
      </c>
      <c r="M370" s="40">
        <v>9</v>
      </c>
      <c r="N370" s="8" t="s">
        <v>53</v>
      </c>
      <c r="O370" s="18">
        <v>44272</v>
      </c>
      <c r="P370" s="8" t="s">
        <v>50</v>
      </c>
      <c r="Q370" s="8"/>
    </row>
    <row r="371" spans="1:17" x14ac:dyDescent="0.25">
      <c r="A371" s="1">
        <v>5</v>
      </c>
      <c r="C371" s="7" t="s">
        <v>386</v>
      </c>
      <c r="D371" s="17">
        <v>28077</v>
      </c>
      <c r="E371" s="7" t="s">
        <v>12</v>
      </c>
      <c r="F371" s="7" t="s">
        <v>349</v>
      </c>
      <c r="G371" s="7" t="s">
        <v>199</v>
      </c>
      <c r="H371" s="7" t="s">
        <v>35</v>
      </c>
      <c r="I371" s="8">
        <v>352720</v>
      </c>
      <c r="J371" s="7" t="s">
        <v>373</v>
      </c>
      <c r="K371" s="40">
        <v>8</v>
      </c>
      <c r="L371" s="40">
        <v>1</v>
      </c>
      <c r="M371" s="40">
        <v>9</v>
      </c>
      <c r="N371" s="8" t="s">
        <v>56</v>
      </c>
      <c r="O371" s="18">
        <v>44274</v>
      </c>
      <c r="P371" s="8" t="s">
        <v>50</v>
      </c>
      <c r="Q371" s="8"/>
    </row>
    <row r="372" spans="1:17" x14ac:dyDescent="0.25">
      <c r="A372" s="106">
        <v>6</v>
      </c>
      <c r="B372" s="110"/>
      <c r="C372" s="107" t="s">
        <v>386</v>
      </c>
      <c r="D372" s="108">
        <v>24476</v>
      </c>
      <c r="E372" s="107" t="s">
        <v>12</v>
      </c>
      <c r="F372" s="107" t="s">
        <v>349</v>
      </c>
      <c r="G372" s="107" t="s">
        <v>40</v>
      </c>
      <c r="H372" s="107" t="s">
        <v>35</v>
      </c>
      <c r="I372" s="46">
        <v>352720</v>
      </c>
      <c r="J372" s="107" t="s">
        <v>373</v>
      </c>
      <c r="K372" s="108">
        <v>24</v>
      </c>
      <c r="L372" s="108">
        <v>3</v>
      </c>
      <c r="M372" s="108">
        <v>11</v>
      </c>
      <c r="N372" s="46" t="s">
        <v>371</v>
      </c>
      <c r="O372" s="47">
        <v>44295</v>
      </c>
      <c r="P372" s="46" t="s">
        <v>60</v>
      </c>
      <c r="Q372" s="8"/>
    </row>
    <row r="373" spans="1:17" x14ac:dyDescent="0.25">
      <c r="A373" s="1">
        <v>7</v>
      </c>
      <c r="C373" s="7" t="s">
        <v>388</v>
      </c>
      <c r="D373" s="17">
        <v>26773</v>
      </c>
      <c r="E373" s="7" t="s">
        <v>6</v>
      </c>
      <c r="F373" s="7" t="s">
        <v>352</v>
      </c>
      <c r="G373" s="7" t="s">
        <v>148</v>
      </c>
      <c r="H373" s="7" t="s">
        <v>35</v>
      </c>
      <c r="I373" s="8">
        <v>228486</v>
      </c>
      <c r="J373" s="7" t="s">
        <v>389</v>
      </c>
      <c r="K373" s="40">
        <v>8</v>
      </c>
      <c r="L373" s="40">
        <v>1</v>
      </c>
      <c r="M373" s="40">
        <v>12</v>
      </c>
      <c r="N373" s="8" t="s">
        <v>67</v>
      </c>
      <c r="O373" s="18">
        <v>44305</v>
      </c>
      <c r="P373" s="8" t="s">
        <v>60</v>
      </c>
      <c r="Q373" s="8"/>
    </row>
    <row r="374" spans="1:17" x14ac:dyDescent="0.25">
      <c r="A374" s="1">
        <v>8</v>
      </c>
      <c r="C374" s="7" t="s">
        <v>386</v>
      </c>
      <c r="D374" s="17">
        <v>26477</v>
      </c>
      <c r="E374" s="7" t="s">
        <v>6</v>
      </c>
      <c r="F374" s="7" t="s">
        <v>352</v>
      </c>
      <c r="G374" s="7" t="s">
        <v>390</v>
      </c>
      <c r="H374" s="7" t="s">
        <v>35</v>
      </c>
      <c r="I374" s="8">
        <v>352720</v>
      </c>
      <c r="J374" s="7" t="s">
        <v>373</v>
      </c>
      <c r="K374" s="40">
        <v>8</v>
      </c>
      <c r="L374" s="40">
        <v>1</v>
      </c>
      <c r="M374" s="40">
        <v>9</v>
      </c>
      <c r="N374" s="8" t="s">
        <v>391</v>
      </c>
      <c r="O374" s="18">
        <v>44307</v>
      </c>
      <c r="P374" s="8" t="s">
        <v>60</v>
      </c>
      <c r="Q374" s="8"/>
    </row>
    <row r="375" spans="1:17" x14ac:dyDescent="0.25">
      <c r="A375" s="1">
        <v>9</v>
      </c>
      <c r="C375" s="7" t="s">
        <v>386</v>
      </c>
      <c r="D375" s="17">
        <v>24377</v>
      </c>
      <c r="E375" s="7" t="s">
        <v>12</v>
      </c>
      <c r="F375" s="7" t="s">
        <v>349</v>
      </c>
      <c r="G375" s="7" t="s">
        <v>89</v>
      </c>
      <c r="H375" s="7" t="s">
        <v>35</v>
      </c>
      <c r="I375" s="8">
        <v>372624</v>
      </c>
      <c r="J375" s="7" t="s">
        <v>392</v>
      </c>
      <c r="K375" s="40">
        <v>16</v>
      </c>
      <c r="L375" s="40">
        <v>2</v>
      </c>
      <c r="M375" s="40">
        <v>11</v>
      </c>
      <c r="N375" s="8" t="s">
        <v>70</v>
      </c>
      <c r="O375" s="18">
        <v>44316</v>
      </c>
      <c r="P375" s="8" t="s">
        <v>60</v>
      </c>
      <c r="Q375" s="8"/>
    </row>
    <row r="376" spans="1:17" x14ac:dyDescent="0.25">
      <c r="A376" s="1">
        <v>10</v>
      </c>
      <c r="C376" s="7" t="s">
        <v>386</v>
      </c>
      <c r="D376" s="17">
        <v>24466</v>
      </c>
      <c r="E376" s="7" t="s">
        <v>12</v>
      </c>
      <c r="F376" s="7" t="s">
        <v>349</v>
      </c>
      <c r="G376" s="7" t="s">
        <v>235</v>
      </c>
      <c r="H376" s="7" t="s">
        <v>35</v>
      </c>
      <c r="I376" s="8">
        <v>372624</v>
      </c>
      <c r="J376" s="7" t="s">
        <v>392</v>
      </c>
      <c r="K376" s="40">
        <v>8</v>
      </c>
      <c r="L376" s="40">
        <v>1</v>
      </c>
      <c r="M376" s="40">
        <v>8</v>
      </c>
      <c r="N376" s="8" t="s">
        <v>271</v>
      </c>
      <c r="O376" s="18">
        <v>44319</v>
      </c>
      <c r="P376" s="8" t="s">
        <v>77</v>
      </c>
      <c r="Q376" s="8"/>
    </row>
    <row r="377" spans="1:17" x14ac:dyDescent="0.25">
      <c r="A377" s="1">
        <v>11</v>
      </c>
      <c r="C377" s="7" t="s">
        <v>386</v>
      </c>
      <c r="D377" s="17">
        <v>24378</v>
      </c>
      <c r="E377" s="7" t="s">
        <v>12</v>
      </c>
      <c r="F377" s="7" t="s">
        <v>349</v>
      </c>
      <c r="G377" s="7" t="s">
        <v>89</v>
      </c>
      <c r="H377" s="7" t="s">
        <v>35</v>
      </c>
      <c r="I377" s="8">
        <v>196853</v>
      </c>
      <c r="J377" s="7" t="s">
        <v>353</v>
      </c>
      <c r="K377" s="40">
        <v>16</v>
      </c>
      <c r="L377" s="40">
        <v>2</v>
      </c>
      <c r="M377" s="40">
        <v>10</v>
      </c>
      <c r="N377" s="8" t="s">
        <v>275</v>
      </c>
      <c r="O377" s="18">
        <v>44323</v>
      </c>
      <c r="P377" s="8" t="s">
        <v>77</v>
      </c>
      <c r="Q377" s="8"/>
    </row>
    <row r="378" spans="1:17" x14ac:dyDescent="0.25">
      <c r="A378" s="1">
        <v>12</v>
      </c>
      <c r="C378" s="7" t="s">
        <v>386</v>
      </c>
      <c r="D378" s="17">
        <v>26480</v>
      </c>
      <c r="E378" s="7" t="s">
        <v>6</v>
      </c>
      <c r="F378" s="7" t="s">
        <v>352</v>
      </c>
      <c r="G378" s="7" t="s">
        <v>294</v>
      </c>
      <c r="H378" s="7" t="s">
        <v>35</v>
      </c>
      <c r="I378" s="8">
        <v>352720</v>
      </c>
      <c r="J378" s="7" t="s">
        <v>373</v>
      </c>
      <c r="K378" s="40">
        <v>8</v>
      </c>
      <c r="L378" s="40">
        <v>1</v>
      </c>
      <c r="M378" s="40">
        <v>6</v>
      </c>
      <c r="N378" s="8" t="s">
        <v>378</v>
      </c>
      <c r="O378" s="18">
        <v>44323</v>
      </c>
      <c r="P378" s="8" t="s">
        <v>77</v>
      </c>
      <c r="Q378" s="8"/>
    </row>
    <row r="379" spans="1:17" x14ac:dyDescent="0.25">
      <c r="A379" s="1">
        <v>13</v>
      </c>
      <c r="C379" s="7" t="s">
        <v>393</v>
      </c>
      <c r="D379" s="17">
        <v>25133</v>
      </c>
      <c r="E379" s="7" t="s">
        <v>15</v>
      </c>
      <c r="F379" s="7" t="s">
        <v>369</v>
      </c>
      <c r="G379" s="7" t="s">
        <v>89</v>
      </c>
      <c r="H379" s="7" t="s">
        <v>35</v>
      </c>
      <c r="I379" s="8">
        <v>372624</v>
      </c>
      <c r="J379" s="7" t="s">
        <v>392</v>
      </c>
      <c r="K379" s="40">
        <v>16</v>
      </c>
      <c r="L379" s="40">
        <v>2</v>
      </c>
      <c r="M379" s="40">
        <v>10</v>
      </c>
      <c r="N379" s="8" t="s">
        <v>76</v>
      </c>
      <c r="O379" s="18">
        <v>44329</v>
      </c>
      <c r="P379" s="8" t="s">
        <v>77</v>
      </c>
      <c r="Q379" s="8"/>
    </row>
    <row r="380" spans="1:17" x14ac:dyDescent="0.25">
      <c r="A380" s="1">
        <v>14</v>
      </c>
      <c r="C380" s="7" t="s">
        <v>386</v>
      </c>
      <c r="D380" s="17">
        <v>24469</v>
      </c>
      <c r="E380" s="7" t="s">
        <v>12</v>
      </c>
      <c r="F380" s="7" t="s">
        <v>349</v>
      </c>
      <c r="G380" s="7" t="s">
        <v>235</v>
      </c>
      <c r="H380" s="7" t="s">
        <v>35</v>
      </c>
      <c r="I380" s="8">
        <v>372624</v>
      </c>
      <c r="J380" s="7" t="s">
        <v>392</v>
      </c>
      <c r="K380" s="40">
        <v>8</v>
      </c>
      <c r="L380" s="40">
        <v>1</v>
      </c>
      <c r="M380" s="40">
        <v>7</v>
      </c>
      <c r="N380" s="8" t="s">
        <v>380</v>
      </c>
      <c r="O380" s="18">
        <v>44330</v>
      </c>
      <c r="P380" s="8" t="s">
        <v>77</v>
      </c>
      <c r="Q380" s="8"/>
    </row>
    <row r="381" spans="1:17" x14ac:dyDescent="0.25">
      <c r="A381" s="1">
        <v>15</v>
      </c>
      <c r="C381" s="7" t="s">
        <v>386</v>
      </c>
      <c r="D381" s="17">
        <v>23612</v>
      </c>
      <c r="E381" s="7" t="s">
        <v>15</v>
      </c>
      <c r="F381" s="7" t="s">
        <v>74</v>
      </c>
      <c r="G381" s="7" t="s">
        <v>89</v>
      </c>
      <c r="H381" s="7" t="s">
        <v>35</v>
      </c>
      <c r="I381" s="8">
        <v>372624</v>
      </c>
      <c r="J381" s="7" t="s">
        <v>392</v>
      </c>
      <c r="K381" s="40">
        <v>16</v>
      </c>
      <c r="L381" s="40">
        <v>2</v>
      </c>
      <c r="M381" s="40">
        <v>10</v>
      </c>
      <c r="N381" s="8" t="s">
        <v>281</v>
      </c>
      <c r="O381" s="18">
        <v>44334</v>
      </c>
      <c r="P381" s="8" t="s">
        <v>77</v>
      </c>
      <c r="Q381" s="8"/>
    </row>
    <row r="382" spans="1:17" x14ac:dyDescent="0.25">
      <c r="A382" s="1">
        <v>16</v>
      </c>
      <c r="C382" s="7" t="s">
        <v>388</v>
      </c>
      <c r="D382" s="17">
        <v>23613</v>
      </c>
      <c r="E382" s="7" t="s">
        <v>15</v>
      </c>
      <c r="F382" s="7" t="s">
        <v>74</v>
      </c>
      <c r="G382" s="7" t="s">
        <v>89</v>
      </c>
      <c r="H382" s="7" t="s">
        <v>35</v>
      </c>
      <c r="I382" s="8">
        <v>196853</v>
      </c>
      <c r="J382" s="7" t="s">
        <v>353</v>
      </c>
      <c r="K382" s="40">
        <v>16</v>
      </c>
      <c r="L382" s="40">
        <v>2</v>
      </c>
      <c r="M382" s="40">
        <v>10</v>
      </c>
      <c r="N382" s="8" t="s">
        <v>281</v>
      </c>
      <c r="O382" s="18">
        <v>44334</v>
      </c>
      <c r="P382" s="8" t="s">
        <v>77</v>
      </c>
      <c r="Q382" s="8"/>
    </row>
    <row r="383" spans="1:17" x14ac:dyDescent="0.25">
      <c r="A383" s="1">
        <v>17</v>
      </c>
      <c r="C383" s="7" t="s">
        <v>393</v>
      </c>
      <c r="D383" s="17">
        <v>24551</v>
      </c>
      <c r="E383" s="7" t="s">
        <v>15</v>
      </c>
      <c r="F383" s="7" t="s">
        <v>369</v>
      </c>
      <c r="G383" s="7" t="s">
        <v>264</v>
      </c>
      <c r="H383" s="7" t="s">
        <v>35</v>
      </c>
      <c r="I383" s="8">
        <v>372624</v>
      </c>
      <c r="J383" s="7" t="s">
        <v>392</v>
      </c>
      <c r="K383" s="40">
        <v>8</v>
      </c>
      <c r="L383" s="40">
        <v>1</v>
      </c>
      <c r="M383" s="40">
        <v>4</v>
      </c>
      <c r="N383" s="8" t="s">
        <v>90</v>
      </c>
      <c r="O383" s="18">
        <v>44337</v>
      </c>
      <c r="P383" s="8" t="s">
        <v>77</v>
      </c>
      <c r="Q383" s="8"/>
    </row>
    <row r="384" spans="1:17" x14ac:dyDescent="0.25">
      <c r="A384" s="1">
        <v>18</v>
      </c>
      <c r="C384" s="7" t="s">
        <v>393</v>
      </c>
      <c r="D384" s="17">
        <v>25136</v>
      </c>
      <c r="E384" s="7" t="s">
        <v>15</v>
      </c>
      <c r="F384" s="7" t="s">
        <v>369</v>
      </c>
      <c r="G384" s="7" t="s">
        <v>89</v>
      </c>
      <c r="H384" s="7" t="s">
        <v>35</v>
      </c>
      <c r="I384" s="8">
        <v>372624</v>
      </c>
      <c r="J384" s="7" t="s">
        <v>392</v>
      </c>
      <c r="K384" s="40">
        <v>16</v>
      </c>
      <c r="L384" s="40">
        <v>2</v>
      </c>
      <c r="M384" s="40">
        <v>7</v>
      </c>
      <c r="N384" s="8" t="s">
        <v>91</v>
      </c>
      <c r="O384" s="18">
        <v>44341</v>
      </c>
      <c r="P384" s="8" t="s">
        <v>77</v>
      </c>
      <c r="Q384" s="8"/>
    </row>
    <row r="385" spans="1:17" x14ac:dyDescent="0.25">
      <c r="A385" s="1">
        <v>19</v>
      </c>
      <c r="C385" s="7" t="s">
        <v>393</v>
      </c>
      <c r="D385" s="17">
        <v>24549</v>
      </c>
      <c r="E385" s="7" t="s">
        <v>15</v>
      </c>
      <c r="F385" s="7" t="s">
        <v>369</v>
      </c>
      <c r="G385" s="7" t="s">
        <v>264</v>
      </c>
      <c r="H385" s="7" t="s">
        <v>35</v>
      </c>
      <c r="I385" s="8">
        <v>372624</v>
      </c>
      <c r="J385" s="7" t="s">
        <v>392</v>
      </c>
      <c r="K385" s="40">
        <v>8</v>
      </c>
      <c r="L385" s="40">
        <v>1</v>
      </c>
      <c r="M385" s="40">
        <v>10</v>
      </c>
      <c r="N385" s="8" t="s">
        <v>97</v>
      </c>
      <c r="O385" s="18">
        <v>44343</v>
      </c>
      <c r="P385" s="8" t="s">
        <v>77</v>
      </c>
      <c r="Q385" s="8"/>
    </row>
    <row r="386" spans="1:17" x14ac:dyDescent="0.25">
      <c r="A386" s="1">
        <v>20</v>
      </c>
      <c r="C386" s="7" t="s">
        <v>388</v>
      </c>
      <c r="D386" s="17">
        <v>24391</v>
      </c>
      <c r="E386" s="7" t="s">
        <v>12</v>
      </c>
      <c r="F386" s="7" t="s">
        <v>349</v>
      </c>
      <c r="G386" s="7" t="s">
        <v>68</v>
      </c>
      <c r="H386" s="7" t="s">
        <v>35</v>
      </c>
      <c r="I386" s="8">
        <v>196853</v>
      </c>
      <c r="J386" s="7" t="s">
        <v>353</v>
      </c>
      <c r="K386" s="40">
        <v>24</v>
      </c>
      <c r="L386" s="40">
        <v>3</v>
      </c>
      <c r="M386" s="40">
        <v>6</v>
      </c>
      <c r="N386" s="8" t="s">
        <v>99</v>
      </c>
      <c r="O386" s="8" t="s">
        <v>289</v>
      </c>
      <c r="P386" s="8" t="s">
        <v>100</v>
      </c>
      <c r="Q386" s="8"/>
    </row>
    <row r="387" spans="1:17" x14ac:dyDescent="0.25">
      <c r="A387" s="1">
        <v>21</v>
      </c>
      <c r="C387" s="7" t="s">
        <v>386</v>
      </c>
      <c r="D387" s="17">
        <v>24470</v>
      </c>
      <c r="E387" s="7" t="s">
        <v>12</v>
      </c>
      <c r="F387" s="7" t="s">
        <v>349</v>
      </c>
      <c r="G387" s="7" t="s">
        <v>235</v>
      </c>
      <c r="H387" s="7" t="s">
        <v>35</v>
      </c>
      <c r="I387" s="8">
        <v>372624</v>
      </c>
      <c r="J387" s="7" t="s">
        <v>392</v>
      </c>
      <c r="K387" s="40">
        <v>8</v>
      </c>
      <c r="L387" s="40">
        <v>1</v>
      </c>
      <c r="M387" s="40">
        <v>7</v>
      </c>
      <c r="N387" s="8" t="s">
        <v>290</v>
      </c>
      <c r="O387" s="8" t="s">
        <v>290</v>
      </c>
      <c r="P387" s="8" t="s">
        <v>100</v>
      </c>
      <c r="Q387" s="8"/>
    </row>
    <row r="388" spans="1:17" x14ac:dyDescent="0.25">
      <c r="A388" s="1">
        <v>22</v>
      </c>
      <c r="C388" s="7" t="s">
        <v>386</v>
      </c>
      <c r="D388" s="17">
        <v>24433</v>
      </c>
      <c r="E388" s="7" t="s">
        <v>12</v>
      </c>
      <c r="F388" s="7" t="s">
        <v>349</v>
      </c>
      <c r="G388" s="7" t="s">
        <v>294</v>
      </c>
      <c r="H388" s="7" t="s">
        <v>35</v>
      </c>
      <c r="I388" s="8">
        <v>372624</v>
      </c>
      <c r="J388" s="7" t="s">
        <v>392</v>
      </c>
      <c r="K388" s="40">
        <v>8</v>
      </c>
      <c r="L388" s="40">
        <v>1</v>
      </c>
      <c r="M388" s="40">
        <v>6</v>
      </c>
      <c r="N388" s="8" t="s">
        <v>303</v>
      </c>
      <c r="O388" s="8" t="s">
        <v>303</v>
      </c>
      <c r="P388" s="8" t="s">
        <v>100</v>
      </c>
      <c r="Q388" s="8"/>
    </row>
    <row r="389" spans="1:17" x14ac:dyDescent="0.25">
      <c r="A389" s="1">
        <v>23</v>
      </c>
      <c r="C389" s="7" t="s">
        <v>388</v>
      </c>
      <c r="D389" s="17">
        <v>23730</v>
      </c>
      <c r="E389" s="7" t="s">
        <v>15</v>
      </c>
      <c r="F389" s="7" t="s">
        <v>74</v>
      </c>
      <c r="G389" s="7" t="s">
        <v>40</v>
      </c>
      <c r="H389" s="7" t="s">
        <v>35</v>
      </c>
      <c r="I389" s="8">
        <v>352720</v>
      </c>
      <c r="J389" s="7" t="s">
        <v>373</v>
      </c>
      <c r="K389" s="40">
        <v>24</v>
      </c>
      <c r="L389" s="40">
        <v>3</v>
      </c>
      <c r="M389" s="40">
        <v>11</v>
      </c>
      <c r="N389" s="8" t="s">
        <v>306</v>
      </c>
      <c r="O389" s="8" t="s">
        <v>116</v>
      </c>
      <c r="P389" s="8" t="s">
        <v>100</v>
      </c>
      <c r="Q389" s="8"/>
    </row>
    <row r="390" spans="1:17" x14ac:dyDescent="0.25">
      <c r="A390" s="1">
        <v>24</v>
      </c>
      <c r="C390" s="7" t="s">
        <v>388</v>
      </c>
      <c r="D390" s="17">
        <v>24396</v>
      </c>
      <c r="E390" s="7" t="s">
        <v>12</v>
      </c>
      <c r="F390" s="7" t="s">
        <v>349</v>
      </c>
      <c r="G390" s="7" t="s">
        <v>62</v>
      </c>
      <c r="H390" s="7" t="s">
        <v>35</v>
      </c>
      <c r="I390" s="8">
        <v>196853</v>
      </c>
      <c r="J390" s="7" t="s">
        <v>353</v>
      </c>
      <c r="K390" s="40">
        <v>24</v>
      </c>
      <c r="L390" s="40">
        <v>3</v>
      </c>
      <c r="M390" s="40">
        <v>8</v>
      </c>
      <c r="N390" s="8" t="s">
        <v>306</v>
      </c>
      <c r="O390" s="8" t="s">
        <v>116</v>
      </c>
      <c r="P390" s="8" t="s">
        <v>100</v>
      </c>
      <c r="Q390" s="8"/>
    </row>
    <row r="391" spans="1:17" x14ac:dyDescent="0.25">
      <c r="A391" s="1">
        <v>25</v>
      </c>
      <c r="C391" s="7" t="s">
        <v>386</v>
      </c>
      <c r="D391" s="17">
        <v>24440</v>
      </c>
      <c r="E391" s="7" t="s">
        <v>12</v>
      </c>
      <c r="F391" s="7" t="s">
        <v>349</v>
      </c>
      <c r="G391" s="7" t="s">
        <v>84</v>
      </c>
      <c r="H391" s="7" t="s">
        <v>35</v>
      </c>
      <c r="I391" s="8">
        <v>196853</v>
      </c>
      <c r="J391" s="7" t="s">
        <v>353</v>
      </c>
      <c r="K391" s="40">
        <v>16</v>
      </c>
      <c r="L391" s="40">
        <v>2</v>
      </c>
      <c r="M391" s="40">
        <v>10</v>
      </c>
      <c r="N391" s="8" t="s">
        <v>308</v>
      </c>
      <c r="O391" s="8" t="s">
        <v>117</v>
      </c>
      <c r="P391" s="8" t="s">
        <v>119</v>
      </c>
      <c r="Q391" s="8"/>
    </row>
    <row r="392" spans="1:17" x14ac:dyDescent="0.25">
      <c r="A392" s="1">
        <v>26</v>
      </c>
      <c r="C392" s="7" t="s">
        <v>388</v>
      </c>
      <c r="D392" s="17">
        <v>24405</v>
      </c>
      <c r="E392" s="7" t="s">
        <v>12</v>
      </c>
      <c r="F392" s="7" t="s">
        <v>349</v>
      </c>
      <c r="G392" s="7" t="s">
        <v>159</v>
      </c>
      <c r="H392" s="7" t="s">
        <v>35</v>
      </c>
      <c r="I392" s="8">
        <v>196853</v>
      </c>
      <c r="J392" s="7" t="s">
        <v>353</v>
      </c>
      <c r="K392" s="40">
        <v>16</v>
      </c>
      <c r="L392" s="40">
        <v>2</v>
      </c>
      <c r="M392" s="40">
        <v>7</v>
      </c>
      <c r="N392" s="8" t="s">
        <v>311</v>
      </c>
      <c r="O392" s="8" t="s">
        <v>123</v>
      </c>
      <c r="P392" s="8" t="s">
        <v>119</v>
      </c>
      <c r="Q392" s="8"/>
    </row>
    <row r="393" spans="1:17" x14ac:dyDescent="0.25">
      <c r="A393" s="1">
        <v>27</v>
      </c>
      <c r="C393" s="7" t="s">
        <v>388</v>
      </c>
      <c r="D393" s="17">
        <v>24406</v>
      </c>
      <c r="E393" s="7" t="s">
        <v>12</v>
      </c>
      <c r="F393" s="7" t="s">
        <v>349</v>
      </c>
      <c r="G393" s="7" t="s">
        <v>159</v>
      </c>
      <c r="H393" s="7" t="s">
        <v>35</v>
      </c>
      <c r="I393" s="8">
        <v>372624</v>
      </c>
      <c r="J393" s="7" t="s">
        <v>392</v>
      </c>
      <c r="K393" s="40">
        <v>16</v>
      </c>
      <c r="L393" s="40">
        <v>2</v>
      </c>
      <c r="M393" s="40">
        <v>5</v>
      </c>
      <c r="N393" s="8" t="s">
        <v>120</v>
      </c>
      <c r="O393" s="8" t="s">
        <v>121</v>
      </c>
      <c r="P393" s="8" t="s">
        <v>119</v>
      </c>
      <c r="Q393" s="8"/>
    </row>
    <row r="394" spans="1:17" x14ac:dyDescent="0.25">
      <c r="A394" s="1">
        <v>28</v>
      </c>
      <c r="C394" s="7" t="s">
        <v>386</v>
      </c>
      <c r="D394" s="17">
        <v>24442</v>
      </c>
      <c r="E394" s="7" t="s">
        <v>12</v>
      </c>
      <c r="F394" s="7" t="s">
        <v>349</v>
      </c>
      <c r="G394" s="7" t="s">
        <v>84</v>
      </c>
      <c r="H394" s="7" t="s">
        <v>35</v>
      </c>
      <c r="I394" s="8">
        <v>372624</v>
      </c>
      <c r="J394" s="7" t="s">
        <v>392</v>
      </c>
      <c r="K394" s="40">
        <v>16</v>
      </c>
      <c r="L394" s="40">
        <v>2</v>
      </c>
      <c r="M394" s="40">
        <v>9</v>
      </c>
      <c r="N394" s="8" t="s">
        <v>315</v>
      </c>
      <c r="O394" s="8" t="s">
        <v>128</v>
      </c>
      <c r="P394" s="8" t="s">
        <v>119</v>
      </c>
      <c r="Q394" s="8"/>
    </row>
    <row r="395" spans="1:17" x14ac:dyDescent="0.25">
      <c r="A395" s="1">
        <v>29</v>
      </c>
      <c r="C395" s="7" t="s">
        <v>386</v>
      </c>
      <c r="D395" s="17">
        <v>24443</v>
      </c>
      <c r="E395" s="7" t="s">
        <v>12</v>
      </c>
      <c r="F395" s="7" t="s">
        <v>349</v>
      </c>
      <c r="G395" s="7" t="s">
        <v>84</v>
      </c>
      <c r="H395" s="7" t="s">
        <v>35</v>
      </c>
      <c r="I395" s="8">
        <v>372624</v>
      </c>
      <c r="J395" s="7" t="s">
        <v>392</v>
      </c>
      <c r="K395" s="40">
        <v>16</v>
      </c>
      <c r="L395" s="40">
        <v>2</v>
      </c>
      <c r="M395" s="40">
        <v>8</v>
      </c>
      <c r="N395" s="8" t="s">
        <v>318</v>
      </c>
      <c r="O395" s="8" t="s">
        <v>129</v>
      </c>
      <c r="P395" s="8" t="s">
        <v>119</v>
      </c>
      <c r="Q395" s="8"/>
    </row>
    <row r="396" spans="1:17" x14ac:dyDescent="0.25">
      <c r="A396" s="1">
        <v>1</v>
      </c>
      <c r="C396" t="s">
        <v>394</v>
      </c>
      <c r="D396" s="17">
        <v>26256</v>
      </c>
      <c r="E396" s="7" t="s">
        <v>8</v>
      </c>
      <c r="F396" s="7" t="s">
        <v>395</v>
      </c>
      <c r="G396" s="7" t="s">
        <v>279</v>
      </c>
      <c r="H396" s="7" t="s">
        <v>35</v>
      </c>
      <c r="I396" s="8">
        <v>348492</v>
      </c>
      <c r="J396" s="7" t="s">
        <v>363</v>
      </c>
      <c r="K396" s="40">
        <v>16</v>
      </c>
      <c r="L396" s="40">
        <v>2</v>
      </c>
      <c r="M396" s="40">
        <v>10</v>
      </c>
      <c r="N396" s="8" t="s">
        <v>396</v>
      </c>
      <c r="O396" s="18">
        <v>44229</v>
      </c>
      <c r="P396" s="8" t="s">
        <v>38</v>
      </c>
      <c r="Q396" s="8"/>
    </row>
    <row r="397" spans="1:17" x14ac:dyDescent="0.25">
      <c r="A397" s="1">
        <v>2</v>
      </c>
      <c r="C397" t="s">
        <v>394</v>
      </c>
      <c r="D397" s="17">
        <v>26255</v>
      </c>
      <c r="E397" s="7" t="s">
        <v>8</v>
      </c>
      <c r="F397" s="7" t="s">
        <v>395</v>
      </c>
      <c r="G397" s="7" t="s">
        <v>279</v>
      </c>
      <c r="H397" s="7" t="s">
        <v>35</v>
      </c>
      <c r="I397" s="8">
        <v>348492</v>
      </c>
      <c r="J397" s="7" t="s">
        <v>363</v>
      </c>
      <c r="K397" s="40">
        <v>16</v>
      </c>
      <c r="L397" s="40">
        <v>2</v>
      </c>
      <c r="M397" s="40">
        <v>10</v>
      </c>
      <c r="N397" s="8" t="s">
        <v>397</v>
      </c>
      <c r="O397" s="18">
        <v>44236</v>
      </c>
      <c r="P397" s="8" t="s">
        <v>38</v>
      </c>
      <c r="Q397" s="8"/>
    </row>
    <row r="398" spans="1:17" x14ac:dyDescent="0.25">
      <c r="A398" s="1">
        <v>3</v>
      </c>
      <c r="C398" t="s">
        <v>394</v>
      </c>
      <c r="D398" s="17">
        <v>30250</v>
      </c>
      <c r="E398" s="7" t="s">
        <v>8</v>
      </c>
      <c r="F398" s="7" t="s">
        <v>398</v>
      </c>
      <c r="G398" s="7" t="s">
        <v>302</v>
      </c>
      <c r="H398" s="7" t="s">
        <v>35</v>
      </c>
      <c r="I398" s="8">
        <v>396482</v>
      </c>
      <c r="J398" s="7" t="s">
        <v>399</v>
      </c>
      <c r="K398" s="40">
        <v>8</v>
      </c>
      <c r="L398" s="40">
        <v>2</v>
      </c>
      <c r="M398" s="40">
        <v>2</v>
      </c>
      <c r="N398" s="8" t="s">
        <v>400</v>
      </c>
      <c r="O398" s="18">
        <v>44244</v>
      </c>
      <c r="P398" s="8" t="s">
        <v>38</v>
      </c>
      <c r="Q398" s="8"/>
    </row>
    <row r="399" spans="1:17" x14ac:dyDescent="0.25">
      <c r="A399" s="1">
        <v>4</v>
      </c>
      <c r="C399" t="s">
        <v>394</v>
      </c>
      <c r="D399" s="17">
        <v>30762</v>
      </c>
      <c r="E399" s="7" t="s">
        <v>8</v>
      </c>
      <c r="F399" s="7" t="s">
        <v>398</v>
      </c>
      <c r="G399" s="7" t="s">
        <v>235</v>
      </c>
      <c r="H399" s="7" t="s">
        <v>35</v>
      </c>
      <c r="I399" s="8">
        <v>374253</v>
      </c>
      <c r="J399" s="7" t="s">
        <v>41</v>
      </c>
      <c r="K399" s="40">
        <v>8</v>
      </c>
      <c r="L399" s="40">
        <v>2</v>
      </c>
      <c r="M399" s="40">
        <v>12</v>
      </c>
      <c r="N399" s="8" t="s">
        <v>47</v>
      </c>
      <c r="O399" s="18">
        <v>44250</v>
      </c>
      <c r="P399" s="8" t="s">
        <v>38</v>
      </c>
      <c r="Q399" s="8"/>
    </row>
    <row r="400" spans="1:17" x14ac:dyDescent="0.25">
      <c r="A400" s="1">
        <v>5</v>
      </c>
      <c r="C400" t="s">
        <v>394</v>
      </c>
      <c r="D400" s="17">
        <v>30251</v>
      </c>
      <c r="E400" s="7" t="s">
        <v>8</v>
      </c>
      <c r="F400" s="7" t="s">
        <v>398</v>
      </c>
      <c r="G400" s="7" t="s">
        <v>401</v>
      </c>
      <c r="H400" s="7" t="s">
        <v>35</v>
      </c>
      <c r="I400" s="8">
        <v>636204</v>
      </c>
      <c r="J400" s="7" t="s">
        <v>402</v>
      </c>
      <c r="K400" s="40">
        <v>16</v>
      </c>
      <c r="L400" s="40">
        <v>4</v>
      </c>
      <c r="M400" s="40">
        <v>1</v>
      </c>
      <c r="N400" s="8" t="s">
        <v>48</v>
      </c>
      <c r="O400" s="18">
        <v>44253</v>
      </c>
      <c r="P400" s="8" t="s">
        <v>38</v>
      </c>
      <c r="Q400" s="8"/>
    </row>
    <row r="401" spans="1:17" x14ac:dyDescent="0.25">
      <c r="A401" s="1">
        <v>6</v>
      </c>
      <c r="C401" t="s">
        <v>394</v>
      </c>
      <c r="D401" s="17">
        <v>30751</v>
      </c>
      <c r="E401" s="7" t="s">
        <v>8</v>
      </c>
      <c r="F401" s="7" t="s">
        <v>398</v>
      </c>
      <c r="G401" s="7" t="s">
        <v>159</v>
      </c>
      <c r="H401" s="7" t="s">
        <v>35</v>
      </c>
      <c r="I401" s="8">
        <v>365499</v>
      </c>
      <c r="J401" s="7" t="s">
        <v>291</v>
      </c>
      <c r="K401" s="40">
        <v>16</v>
      </c>
      <c r="L401" s="40">
        <v>4</v>
      </c>
      <c r="M401" s="40">
        <v>5</v>
      </c>
      <c r="N401" s="8" t="s">
        <v>49</v>
      </c>
      <c r="O401" s="18">
        <v>44259</v>
      </c>
      <c r="P401" s="8" t="s">
        <v>50</v>
      </c>
      <c r="Q401" s="8"/>
    </row>
    <row r="402" spans="1:17" x14ac:dyDescent="0.25">
      <c r="A402" s="1">
        <v>7</v>
      </c>
      <c r="C402" t="s">
        <v>394</v>
      </c>
      <c r="D402" s="17">
        <v>30218</v>
      </c>
      <c r="E402" s="7" t="s">
        <v>8</v>
      </c>
      <c r="F402" s="7" t="s">
        <v>398</v>
      </c>
      <c r="G402" s="7" t="s">
        <v>362</v>
      </c>
      <c r="H402" s="7" t="s">
        <v>35</v>
      </c>
      <c r="I402" s="8">
        <v>413600</v>
      </c>
      <c r="J402" s="7" t="s">
        <v>320</v>
      </c>
      <c r="K402" s="40">
        <v>24</v>
      </c>
      <c r="L402" s="40">
        <v>3</v>
      </c>
      <c r="M402" s="40">
        <v>10</v>
      </c>
      <c r="N402" s="8" t="s">
        <v>387</v>
      </c>
      <c r="O402" s="18">
        <v>44266</v>
      </c>
      <c r="P402" s="8" t="s">
        <v>50</v>
      </c>
      <c r="Q402" s="8"/>
    </row>
    <row r="403" spans="1:17" x14ac:dyDescent="0.25">
      <c r="A403" s="1">
        <v>8</v>
      </c>
      <c r="C403" t="s">
        <v>394</v>
      </c>
      <c r="D403" s="17">
        <v>30763</v>
      </c>
      <c r="E403" s="7" t="s">
        <v>8</v>
      </c>
      <c r="F403" s="7" t="s">
        <v>398</v>
      </c>
      <c r="G403" s="7" t="s">
        <v>235</v>
      </c>
      <c r="H403" s="7" t="s">
        <v>35</v>
      </c>
      <c r="I403" s="8">
        <v>354951</v>
      </c>
      <c r="J403" s="7" t="s">
        <v>63</v>
      </c>
      <c r="K403" s="40">
        <v>8</v>
      </c>
      <c r="L403" s="40">
        <v>2</v>
      </c>
      <c r="M403" s="40">
        <v>14</v>
      </c>
      <c r="N403" s="8" t="s">
        <v>403</v>
      </c>
      <c r="O403" s="18">
        <v>44271</v>
      </c>
      <c r="P403" s="8" t="s">
        <v>50</v>
      </c>
      <c r="Q403" s="8"/>
    </row>
    <row r="404" spans="1:17" x14ac:dyDescent="0.25">
      <c r="A404" s="1">
        <v>9</v>
      </c>
      <c r="C404" t="s">
        <v>394</v>
      </c>
      <c r="D404" s="17">
        <v>29726</v>
      </c>
      <c r="E404" s="7" t="s">
        <v>8</v>
      </c>
      <c r="F404" s="7" t="s">
        <v>398</v>
      </c>
      <c r="G404" s="7" t="s">
        <v>321</v>
      </c>
      <c r="H404" s="7" t="s">
        <v>35</v>
      </c>
      <c r="I404" s="8">
        <v>331056</v>
      </c>
      <c r="J404" s="7" t="s">
        <v>404</v>
      </c>
      <c r="K404" s="40">
        <v>16</v>
      </c>
      <c r="L404" s="40">
        <v>4</v>
      </c>
      <c r="M404" s="40">
        <v>2</v>
      </c>
      <c r="N404" s="8" t="s">
        <v>403</v>
      </c>
      <c r="O404" s="18">
        <v>44273</v>
      </c>
      <c r="P404" s="8" t="s">
        <v>50</v>
      </c>
      <c r="Q404" s="8"/>
    </row>
    <row r="405" spans="1:17" x14ac:dyDescent="0.25">
      <c r="A405" s="1">
        <v>10</v>
      </c>
      <c r="C405" t="s">
        <v>394</v>
      </c>
      <c r="D405" s="17">
        <v>22351</v>
      </c>
      <c r="E405" s="7" t="s">
        <v>15</v>
      </c>
      <c r="F405" s="7" t="s">
        <v>74</v>
      </c>
      <c r="G405" s="7" t="s">
        <v>264</v>
      </c>
      <c r="H405" s="7" t="s">
        <v>35</v>
      </c>
      <c r="I405" s="8">
        <v>352720</v>
      </c>
      <c r="J405" s="7" t="s">
        <v>373</v>
      </c>
      <c r="K405" s="40">
        <v>8</v>
      </c>
      <c r="L405" s="40">
        <v>1</v>
      </c>
      <c r="M405" s="40">
        <v>5</v>
      </c>
      <c r="N405" s="8" t="s">
        <v>405</v>
      </c>
      <c r="O405" s="18">
        <v>44279</v>
      </c>
      <c r="P405" s="8" t="s">
        <v>50</v>
      </c>
      <c r="Q405" s="8"/>
    </row>
    <row r="406" spans="1:17" x14ac:dyDescent="0.25">
      <c r="A406" s="1">
        <v>11</v>
      </c>
      <c r="C406" t="s">
        <v>394</v>
      </c>
      <c r="D406" s="17">
        <v>23710</v>
      </c>
      <c r="E406" s="7" t="s">
        <v>15</v>
      </c>
      <c r="F406" s="7" t="s">
        <v>369</v>
      </c>
      <c r="G406" s="7" t="s">
        <v>148</v>
      </c>
      <c r="H406" s="7" t="s">
        <v>35</v>
      </c>
      <c r="I406" s="8">
        <v>226483</v>
      </c>
      <c r="J406" s="7" t="s">
        <v>406</v>
      </c>
      <c r="K406" s="40">
        <v>8</v>
      </c>
      <c r="L406" s="40">
        <v>1</v>
      </c>
      <c r="M406" s="40">
        <v>11</v>
      </c>
      <c r="N406" s="8" t="s">
        <v>407</v>
      </c>
      <c r="O406" s="18">
        <v>44288</v>
      </c>
      <c r="P406" s="8" t="s">
        <v>60</v>
      </c>
      <c r="Q406" s="8"/>
    </row>
    <row r="407" spans="1:17" x14ac:dyDescent="0.25">
      <c r="A407" s="1">
        <v>12</v>
      </c>
      <c r="C407" t="s">
        <v>394</v>
      </c>
      <c r="D407" s="17">
        <v>24474</v>
      </c>
      <c r="E407" s="7" t="s">
        <v>12</v>
      </c>
      <c r="F407" s="7" t="s">
        <v>349</v>
      </c>
      <c r="G407" s="7" t="s">
        <v>40</v>
      </c>
      <c r="H407" s="7" t="s">
        <v>35</v>
      </c>
      <c r="I407" s="8">
        <v>352720</v>
      </c>
      <c r="J407" s="7" t="s">
        <v>373</v>
      </c>
      <c r="K407" s="40">
        <v>24</v>
      </c>
      <c r="L407" s="40">
        <v>3</v>
      </c>
      <c r="M407" s="40">
        <v>5</v>
      </c>
      <c r="N407" s="8" t="s">
        <v>408</v>
      </c>
      <c r="O407" s="18">
        <v>44288</v>
      </c>
      <c r="P407" s="8" t="s">
        <v>50</v>
      </c>
      <c r="Q407" s="8"/>
    </row>
    <row r="408" spans="1:17" x14ac:dyDescent="0.25">
      <c r="A408" s="1">
        <v>13</v>
      </c>
      <c r="C408" t="s">
        <v>394</v>
      </c>
      <c r="D408" s="17">
        <v>23706</v>
      </c>
      <c r="E408" s="7" t="s">
        <v>15</v>
      </c>
      <c r="F408" s="7" t="s">
        <v>369</v>
      </c>
      <c r="G408" s="7" t="s">
        <v>148</v>
      </c>
      <c r="H408" s="7" t="s">
        <v>35</v>
      </c>
      <c r="I408" s="8">
        <v>226483</v>
      </c>
      <c r="J408" s="7" t="s">
        <v>406</v>
      </c>
      <c r="K408" s="40">
        <v>8</v>
      </c>
      <c r="L408" s="40">
        <v>1</v>
      </c>
      <c r="M408" s="40">
        <v>10</v>
      </c>
      <c r="N408" s="8" t="s">
        <v>343</v>
      </c>
      <c r="O408" s="18">
        <v>44294</v>
      </c>
      <c r="P408" s="8" t="s">
        <v>60</v>
      </c>
      <c r="Q408" s="8"/>
    </row>
    <row r="409" spans="1:17" x14ac:dyDescent="0.25">
      <c r="A409" s="1">
        <v>14</v>
      </c>
      <c r="C409" t="s">
        <v>394</v>
      </c>
      <c r="D409" s="17">
        <v>23705</v>
      </c>
      <c r="E409" s="7" t="s">
        <v>15</v>
      </c>
      <c r="F409" s="7" t="s">
        <v>369</v>
      </c>
      <c r="G409" s="7" t="s">
        <v>148</v>
      </c>
      <c r="H409" s="7" t="s">
        <v>35</v>
      </c>
      <c r="I409" s="8">
        <v>455484</v>
      </c>
      <c r="J409" s="7" t="s">
        <v>409</v>
      </c>
      <c r="K409" s="40">
        <v>8</v>
      </c>
      <c r="L409" s="40">
        <v>1</v>
      </c>
      <c r="M409" s="40">
        <v>12</v>
      </c>
      <c r="N409" s="8" t="s">
        <v>372</v>
      </c>
      <c r="O409" s="18">
        <v>44295</v>
      </c>
      <c r="P409" s="8" t="s">
        <v>60</v>
      </c>
      <c r="Q409" s="8"/>
    </row>
    <row r="410" spans="1:17" x14ac:dyDescent="0.25">
      <c r="A410" s="1">
        <v>15</v>
      </c>
      <c r="C410" t="s">
        <v>394</v>
      </c>
      <c r="D410" s="17">
        <v>30255</v>
      </c>
      <c r="E410" s="7" t="s">
        <v>8</v>
      </c>
      <c r="F410" s="7" t="s">
        <v>398</v>
      </c>
      <c r="G410" s="7" t="s">
        <v>84</v>
      </c>
      <c r="H410" s="7" t="s">
        <v>35</v>
      </c>
      <c r="I410" s="8">
        <v>458886</v>
      </c>
      <c r="J410" s="7" t="s">
        <v>75</v>
      </c>
      <c r="K410" s="40">
        <v>16</v>
      </c>
      <c r="L410" s="40">
        <v>4</v>
      </c>
      <c r="M410" s="40">
        <v>1</v>
      </c>
      <c r="N410" s="8" t="s">
        <v>410</v>
      </c>
      <c r="O410" s="18">
        <v>44295</v>
      </c>
      <c r="P410" s="8" t="s">
        <v>60</v>
      </c>
      <c r="Q410" s="8"/>
    </row>
    <row r="411" spans="1:17" x14ac:dyDescent="0.25">
      <c r="A411" s="1">
        <v>16</v>
      </c>
      <c r="C411" t="s">
        <v>394</v>
      </c>
      <c r="D411" s="17">
        <v>23704</v>
      </c>
      <c r="E411" s="7" t="s">
        <v>15</v>
      </c>
      <c r="F411" s="7" t="s">
        <v>369</v>
      </c>
      <c r="G411" s="7" t="s">
        <v>148</v>
      </c>
      <c r="H411" s="7" t="s">
        <v>35</v>
      </c>
      <c r="I411" s="8">
        <v>455484</v>
      </c>
      <c r="J411" s="7" t="s">
        <v>409</v>
      </c>
      <c r="K411" s="40">
        <v>8</v>
      </c>
      <c r="L411" s="40">
        <v>1</v>
      </c>
      <c r="M411" s="40">
        <v>12</v>
      </c>
      <c r="N411" s="8" t="s">
        <v>344</v>
      </c>
      <c r="O411" s="18">
        <v>44298</v>
      </c>
      <c r="P411" s="8" t="s">
        <v>60</v>
      </c>
      <c r="Q411" s="8"/>
    </row>
    <row r="412" spans="1:17" x14ac:dyDescent="0.25">
      <c r="A412" s="1">
        <v>18</v>
      </c>
      <c r="C412" t="s">
        <v>394</v>
      </c>
      <c r="D412" s="17">
        <v>25143</v>
      </c>
      <c r="E412" s="7" t="s">
        <v>15</v>
      </c>
      <c r="F412" s="7" t="s">
        <v>369</v>
      </c>
      <c r="G412" s="7" t="s">
        <v>89</v>
      </c>
      <c r="H412" s="7" t="s">
        <v>35</v>
      </c>
      <c r="I412" s="8">
        <v>226483</v>
      </c>
      <c r="J412" s="7" t="s">
        <v>406</v>
      </c>
      <c r="K412" s="40">
        <v>16</v>
      </c>
      <c r="L412" s="40">
        <v>2</v>
      </c>
      <c r="M412" s="40">
        <v>6</v>
      </c>
      <c r="N412" s="8" t="s">
        <v>344</v>
      </c>
      <c r="O412" s="18">
        <v>44299</v>
      </c>
      <c r="P412" s="8" t="s">
        <v>60</v>
      </c>
      <c r="Q412" s="8"/>
    </row>
    <row r="413" spans="1:17" x14ac:dyDescent="0.25">
      <c r="A413" s="1">
        <v>19</v>
      </c>
      <c r="C413" t="s">
        <v>394</v>
      </c>
      <c r="D413" s="17">
        <v>23707</v>
      </c>
      <c r="E413" s="7" t="s">
        <v>15</v>
      </c>
      <c r="F413" s="7" t="s">
        <v>369</v>
      </c>
      <c r="G413" s="7" t="s">
        <v>148</v>
      </c>
      <c r="H413" s="7" t="s">
        <v>35</v>
      </c>
      <c r="I413" s="8">
        <v>455484</v>
      </c>
      <c r="J413" s="7" t="s">
        <v>409</v>
      </c>
      <c r="K413" s="40">
        <v>8</v>
      </c>
      <c r="L413" s="40">
        <v>1</v>
      </c>
      <c r="M413" s="40">
        <v>7</v>
      </c>
      <c r="N413" s="8" t="s">
        <v>411</v>
      </c>
      <c r="O413" s="18">
        <v>44299</v>
      </c>
      <c r="P413" s="8" t="s">
        <v>60</v>
      </c>
      <c r="Q413" s="8"/>
    </row>
    <row r="414" spans="1:17" x14ac:dyDescent="0.25">
      <c r="A414" s="106">
        <v>17</v>
      </c>
      <c r="B414" s="110"/>
      <c r="C414" s="110" t="s">
        <v>394</v>
      </c>
      <c r="D414" s="108">
        <v>26475</v>
      </c>
      <c r="E414" s="107" t="s">
        <v>6</v>
      </c>
      <c r="F414" s="107" t="s">
        <v>352</v>
      </c>
      <c r="G414" s="107" t="s">
        <v>390</v>
      </c>
      <c r="H414" s="107" t="s">
        <v>35</v>
      </c>
      <c r="I414" s="46">
        <v>352720</v>
      </c>
      <c r="J414" s="107" t="s">
        <v>373</v>
      </c>
      <c r="K414" s="108">
        <v>8</v>
      </c>
      <c r="L414" s="108">
        <v>1</v>
      </c>
      <c r="M414" s="108">
        <v>10</v>
      </c>
      <c r="N414" s="46" t="s">
        <v>344</v>
      </c>
      <c r="O414" s="47">
        <v>44298</v>
      </c>
      <c r="P414" s="46" t="s">
        <v>60</v>
      </c>
      <c r="Q414" s="8"/>
    </row>
    <row r="415" spans="1:17" x14ac:dyDescent="0.25">
      <c r="A415" s="1">
        <v>20</v>
      </c>
      <c r="C415" t="s">
        <v>394</v>
      </c>
      <c r="D415" s="17">
        <v>25521</v>
      </c>
      <c r="E415" s="7" t="s">
        <v>12</v>
      </c>
      <c r="F415" s="7" t="s">
        <v>349</v>
      </c>
      <c r="G415" s="7" t="s">
        <v>279</v>
      </c>
      <c r="H415" s="7" t="s">
        <v>35</v>
      </c>
      <c r="I415" s="8">
        <v>352720</v>
      </c>
      <c r="J415" s="7" t="s">
        <v>373</v>
      </c>
      <c r="K415" s="40">
        <v>16</v>
      </c>
      <c r="L415" s="40">
        <v>2</v>
      </c>
      <c r="M415" s="40">
        <v>10</v>
      </c>
      <c r="N415" s="8" t="s">
        <v>59</v>
      </c>
      <c r="O415" s="18">
        <v>44302</v>
      </c>
      <c r="P415" s="8" t="s">
        <v>60</v>
      </c>
      <c r="Q415" s="8"/>
    </row>
    <row r="416" spans="1:17" x14ac:dyDescent="0.25">
      <c r="A416" s="1">
        <v>21</v>
      </c>
      <c r="C416" t="s">
        <v>394</v>
      </c>
      <c r="D416" s="17">
        <v>30761</v>
      </c>
      <c r="E416" s="7" t="s">
        <v>8</v>
      </c>
      <c r="F416" s="7" t="s">
        <v>398</v>
      </c>
      <c r="G416" s="7" t="s">
        <v>235</v>
      </c>
      <c r="H416" s="7" t="s">
        <v>35</v>
      </c>
      <c r="I416" s="8">
        <v>354951</v>
      </c>
      <c r="J416" s="7" t="s">
        <v>63</v>
      </c>
      <c r="K416" s="40">
        <v>8</v>
      </c>
      <c r="L416" s="40">
        <v>2</v>
      </c>
      <c r="M416" s="40">
        <v>12</v>
      </c>
      <c r="N416" s="8" t="s">
        <v>67</v>
      </c>
      <c r="O416" s="18">
        <v>44306</v>
      </c>
      <c r="P416" s="8" t="s">
        <v>60</v>
      </c>
      <c r="Q416" s="8"/>
    </row>
    <row r="417" spans="1:17" x14ac:dyDescent="0.25">
      <c r="A417" s="1">
        <v>22</v>
      </c>
      <c r="C417" t="s">
        <v>394</v>
      </c>
      <c r="D417" s="17">
        <v>24430</v>
      </c>
      <c r="E417" s="7" t="s">
        <v>12</v>
      </c>
      <c r="F417" s="7" t="s">
        <v>349</v>
      </c>
      <c r="G417" s="7" t="s">
        <v>127</v>
      </c>
      <c r="H417" s="7" t="s">
        <v>72</v>
      </c>
      <c r="I417" s="8">
        <v>374123</v>
      </c>
      <c r="J417" s="7" t="s">
        <v>412</v>
      </c>
      <c r="K417" s="40">
        <v>16</v>
      </c>
      <c r="L417" s="40">
        <v>2</v>
      </c>
      <c r="M417" s="40">
        <v>13</v>
      </c>
      <c r="N417" s="8" t="s">
        <v>375</v>
      </c>
      <c r="O417" s="18">
        <v>44309</v>
      </c>
      <c r="P417" s="8" t="s">
        <v>60</v>
      </c>
      <c r="Q417" s="8"/>
    </row>
    <row r="418" spans="1:17" x14ac:dyDescent="0.25">
      <c r="A418" s="1">
        <v>23</v>
      </c>
      <c r="C418" t="s">
        <v>394</v>
      </c>
      <c r="D418" s="17">
        <v>26772</v>
      </c>
      <c r="E418" s="7" t="s">
        <v>6</v>
      </c>
      <c r="F418" s="7" t="s">
        <v>352</v>
      </c>
      <c r="G418" s="7" t="s">
        <v>148</v>
      </c>
      <c r="H418" s="7" t="s">
        <v>35</v>
      </c>
      <c r="I418" s="8">
        <v>228486</v>
      </c>
      <c r="J418" s="7" t="s">
        <v>389</v>
      </c>
      <c r="K418" s="40">
        <v>8</v>
      </c>
      <c r="L418" s="40">
        <v>1</v>
      </c>
      <c r="M418" s="40">
        <v>12</v>
      </c>
      <c r="N418" s="8" t="s">
        <v>413</v>
      </c>
      <c r="O418" s="18">
        <v>44313</v>
      </c>
      <c r="P418" s="8" t="s">
        <v>60</v>
      </c>
      <c r="Q418" s="8"/>
    </row>
    <row r="419" spans="1:17" x14ac:dyDescent="0.25">
      <c r="A419" s="1">
        <v>24</v>
      </c>
      <c r="C419" t="s">
        <v>394</v>
      </c>
      <c r="D419" s="17">
        <v>26552</v>
      </c>
      <c r="E419" s="7" t="s">
        <v>6</v>
      </c>
      <c r="F419" s="7" t="s">
        <v>352</v>
      </c>
      <c r="G419" s="7" t="s">
        <v>40</v>
      </c>
      <c r="H419" s="7" t="s">
        <v>35</v>
      </c>
      <c r="I419" s="8">
        <v>352720</v>
      </c>
      <c r="J419" s="7" t="s">
        <v>373</v>
      </c>
      <c r="K419" s="40">
        <v>24</v>
      </c>
      <c r="L419" s="40">
        <v>3</v>
      </c>
      <c r="M419" s="40">
        <v>11</v>
      </c>
      <c r="N419" s="8" t="s">
        <v>281</v>
      </c>
      <c r="O419" s="18">
        <v>44335</v>
      </c>
      <c r="P419" s="8" t="s">
        <v>77</v>
      </c>
      <c r="Q419" s="8"/>
    </row>
    <row r="420" spans="1:17" x14ac:dyDescent="0.25">
      <c r="A420" s="1">
        <v>25</v>
      </c>
      <c r="C420" t="s">
        <v>394</v>
      </c>
      <c r="D420" s="17">
        <v>25132</v>
      </c>
      <c r="E420" s="7" t="s">
        <v>15</v>
      </c>
      <c r="F420" s="7" t="s">
        <v>369</v>
      </c>
      <c r="G420" s="7" t="s">
        <v>89</v>
      </c>
      <c r="H420" s="7" t="s">
        <v>35</v>
      </c>
      <c r="I420" s="8">
        <v>226483</v>
      </c>
      <c r="J420" s="7" t="s">
        <v>406</v>
      </c>
      <c r="K420" s="40">
        <v>16</v>
      </c>
      <c r="L420" s="40">
        <v>2</v>
      </c>
      <c r="M420" s="40">
        <v>10</v>
      </c>
      <c r="N420" s="8" t="s">
        <v>91</v>
      </c>
      <c r="O420" s="18">
        <v>44341</v>
      </c>
      <c r="P420" s="8" t="s">
        <v>77</v>
      </c>
      <c r="Q420" s="8"/>
    </row>
    <row r="421" spans="1:17" x14ac:dyDescent="0.25">
      <c r="A421" s="1">
        <v>26</v>
      </c>
      <c r="C421" t="s">
        <v>394</v>
      </c>
      <c r="D421" s="17">
        <v>24439</v>
      </c>
      <c r="E421" s="7" t="s">
        <v>12</v>
      </c>
      <c r="F421" s="7" t="s">
        <v>349</v>
      </c>
      <c r="G421" s="7" t="s">
        <v>84</v>
      </c>
      <c r="H421" s="7" t="s">
        <v>35</v>
      </c>
      <c r="I421" s="8">
        <v>136596</v>
      </c>
      <c r="J421" s="7" t="s">
        <v>414</v>
      </c>
      <c r="K421" s="40">
        <v>16</v>
      </c>
      <c r="L421" s="40">
        <v>2</v>
      </c>
      <c r="M421" s="40">
        <v>13</v>
      </c>
      <c r="N421" s="8" t="s">
        <v>91</v>
      </c>
      <c r="O421" s="18">
        <v>44341</v>
      </c>
      <c r="P421" s="8" t="s">
        <v>77</v>
      </c>
      <c r="Q421" s="8"/>
    </row>
    <row r="422" spans="1:17" x14ac:dyDescent="0.25">
      <c r="A422" s="1">
        <v>27</v>
      </c>
      <c r="C422" t="s">
        <v>394</v>
      </c>
      <c r="D422" s="17">
        <v>25524</v>
      </c>
      <c r="E422" s="7" t="s">
        <v>12</v>
      </c>
      <c r="F422" s="7" t="s">
        <v>349</v>
      </c>
      <c r="G422" s="7" t="s">
        <v>279</v>
      </c>
      <c r="H422" s="7" t="s">
        <v>35</v>
      </c>
      <c r="I422" s="8">
        <v>352720</v>
      </c>
      <c r="J422" s="7" t="s">
        <v>373</v>
      </c>
      <c r="K422" s="40">
        <v>16</v>
      </c>
      <c r="L422" s="40">
        <v>2</v>
      </c>
      <c r="M422" s="40">
        <v>9</v>
      </c>
      <c r="N422" s="8" t="s">
        <v>91</v>
      </c>
      <c r="O422" s="18">
        <v>44341</v>
      </c>
      <c r="P422" s="8" t="s">
        <v>77</v>
      </c>
      <c r="Q422" s="8"/>
    </row>
    <row r="423" spans="1:17" x14ac:dyDescent="0.25">
      <c r="A423" s="1">
        <v>28</v>
      </c>
      <c r="C423" t="s">
        <v>394</v>
      </c>
      <c r="D423" s="17">
        <v>25525</v>
      </c>
      <c r="E423" s="7" t="s">
        <v>12</v>
      </c>
      <c r="F423" s="7" t="s">
        <v>349</v>
      </c>
      <c r="G423" s="7" t="s">
        <v>279</v>
      </c>
      <c r="H423" s="7" t="s">
        <v>35</v>
      </c>
      <c r="I423" s="8">
        <v>352720</v>
      </c>
      <c r="J423" s="7" t="s">
        <v>373</v>
      </c>
      <c r="K423" s="40">
        <v>16</v>
      </c>
      <c r="L423" s="40">
        <v>2</v>
      </c>
      <c r="M423" s="40">
        <v>7</v>
      </c>
      <c r="N423" s="8" t="s">
        <v>93</v>
      </c>
      <c r="O423" s="18">
        <v>44343</v>
      </c>
      <c r="P423" s="8" t="s">
        <v>77</v>
      </c>
      <c r="Q423" s="8"/>
    </row>
    <row r="424" spans="1:17" x14ac:dyDescent="0.25">
      <c r="A424" s="1">
        <v>29</v>
      </c>
      <c r="C424" t="s">
        <v>394</v>
      </c>
      <c r="D424" s="17">
        <v>25523</v>
      </c>
      <c r="E424" s="7" t="s">
        <v>12</v>
      </c>
      <c r="F424" s="7" t="s">
        <v>349</v>
      </c>
      <c r="G424" s="7" t="s">
        <v>279</v>
      </c>
      <c r="H424" s="7" t="s">
        <v>35</v>
      </c>
      <c r="I424" s="8">
        <v>352720</v>
      </c>
      <c r="J424" s="7" t="s">
        <v>373</v>
      </c>
      <c r="K424" s="40">
        <v>16</v>
      </c>
      <c r="L424" s="40">
        <v>2</v>
      </c>
      <c r="M424" s="40">
        <v>8</v>
      </c>
      <c r="N424" s="8" t="s">
        <v>99</v>
      </c>
      <c r="O424" s="8" t="s">
        <v>101</v>
      </c>
      <c r="P424" s="8" t="s">
        <v>100</v>
      </c>
      <c r="Q424" s="8"/>
    </row>
    <row r="425" spans="1:17" x14ac:dyDescent="0.25">
      <c r="A425" s="1">
        <v>30</v>
      </c>
      <c r="C425" t="s">
        <v>394</v>
      </c>
      <c r="D425" s="17">
        <v>24465</v>
      </c>
      <c r="E425" s="7" t="s">
        <v>12</v>
      </c>
      <c r="F425" s="7" t="s">
        <v>349</v>
      </c>
      <c r="G425" s="7" t="s">
        <v>235</v>
      </c>
      <c r="H425" s="7" t="s">
        <v>35</v>
      </c>
      <c r="I425" s="8">
        <v>352720</v>
      </c>
      <c r="J425" s="7" t="s">
        <v>373</v>
      </c>
      <c r="K425" s="40">
        <v>8</v>
      </c>
      <c r="L425" s="40">
        <v>1</v>
      </c>
      <c r="M425" s="40">
        <v>7</v>
      </c>
      <c r="N425" s="8" t="s">
        <v>102</v>
      </c>
      <c r="O425" s="8" t="s">
        <v>102</v>
      </c>
      <c r="P425" s="8" t="s">
        <v>100</v>
      </c>
      <c r="Q425" s="8"/>
    </row>
    <row r="426" spans="1:17" x14ac:dyDescent="0.25">
      <c r="A426" s="1">
        <v>31</v>
      </c>
      <c r="C426" t="s">
        <v>394</v>
      </c>
      <c r="D426" s="17">
        <v>24468</v>
      </c>
      <c r="E426" s="7" t="s">
        <v>12</v>
      </c>
      <c r="F426" s="7" t="s">
        <v>349</v>
      </c>
      <c r="G426" s="7" t="s">
        <v>235</v>
      </c>
      <c r="H426" s="7" t="s">
        <v>35</v>
      </c>
      <c r="I426" s="8">
        <v>352720</v>
      </c>
      <c r="J426" s="7" t="s">
        <v>373</v>
      </c>
      <c r="K426" s="40">
        <v>8</v>
      </c>
      <c r="L426" s="40">
        <v>1</v>
      </c>
      <c r="M426" s="40">
        <v>6</v>
      </c>
      <c r="N426" s="8" t="s">
        <v>103</v>
      </c>
      <c r="O426" s="8" t="s">
        <v>103</v>
      </c>
      <c r="P426" s="8" t="s">
        <v>100</v>
      </c>
      <c r="Q426" s="8"/>
    </row>
    <row r="427" spans="1:17" x14ac:dyDescent="0.25">
      <c r="A427" s="1">
        <v>32</v>
      </c>
      <c r="C427" t="s">
        <v>394</v>
      </c>
      <c r="D427" s="17">
        <v>24399</v>
      </c>
      <c r="E427" s="7" t="s">
        <v>12</v>
      </c>
      <c r="F427" s="7" t="s">
        <v>349</v>
      </c>
      <c r="G427" s="7" t="s">
        <v>62</v>
      </c>
      <c r="H427" s="7" t="s">
        <v>35</v>
      </c>
      <c r="I427" s="8">
        <v>228486</v>
      </c>
      <c r="J427" s="7" t="s">
        <v>389</v>
      </c>
      <c r="K427" s="40">
        <v>24</v>
      </c>
      <c r="L427" s="40">
        <v>3</v>
      </c>
      <c r="M427" s="40">
        <v>9</v>
      </c>
      <c r="N427" s="8" t="s">
        <v>295</v>
      </c>
      <c r="O427" s="8" t="s">
        <v>103</v>
      </c>
      <c r="P427" s="8" t="s">
        <v>100</v>
      </c>
      <c r="Q427" s="8"/>
    </row>
    <row r="428" spans="1:17" x14ac:dyDescent="0.25">
      <c r="A428" s="1">
        <v>33</v>
      </c>
      <c r="C428" t="s">
        <v>394</v>
      </c>
      <c r="D428" s="17">
        <v>24380</v>
      </c>
      <c r="E428" s="7" t="s">
        <v>12</v>
      </c>
      <c r="F428" s="7" t="s">
        <v>349</v>
      </c>
      <c r="G428" s="7" t="s">
        <v>89</v>
      </c>
      <c r="H428" s="7" t="s">
        <v>35</v>
      </c>
      <c r="I428" s="8">
        <v>352720</v>
      </c>
      <c r="J428" s="7" t="s">
        <v>373</v>
      </c>
      <c r="K428" s="40">
        <v>16</v>
      </c>
      <c r="L428" s="40">
        <v>2</v>
      </c>
      <c r="M428" s="40">
        <v>10</v>
      </c>
      <c r="N428" s="8" t="s">
        <v>104</v>
      </c>
      <c r="O428" s="8" t="s">
        <v>298</v>
      </c>
      <c r="P428" s="8" t="s">
        <v>100</v>
      </c>
      <c r="Q428" s="8"/>
    </row>
    <row r="429" spans="1:17" x14ac:dyDescent="0.25">
      <c r="A429" s="1">
        <v>34</v>
      </c>
      <c r="C429" t="s">
        <v>394</v>
      </c>
      <c r="D429" s="17">
        <v>23731</v>
      </c>
      <c r="E429" s="7" t="s">
        <v>15</v>
      </c>
      <c r="F429" s="7" t="s">
        <v>74</v>
      </c>
      <c r="G429" s="7" t="s">
        <v>40</v>
      </c>
      <c r="H429" s="7" t="s">
        <v>35</v>
      </c>
      <c r="I429" s="8">
        <v>226483</v>
      </c>
      <c r="J429" s="7" t="s">
        <v>406</v>
      </c>
      <c r="K429" s="40">
        <v>24</v>
      </c>
      <c r="L429" s="40">
        <v>3</v>
      </c>
      <c r="M429" s="40">
        <v>3</v>
      </c>
      <c r="N429" s="8" t="s">
        <v>299</v>
      </c>
      <c r="O429" s="8" t="s">
        <v>107</v>
      </c>
      <c r="P429" s="8" t="s">
        <v>100</v>
      </c>
      <c r="Q429" s="8"/>
    </row>
    <row r="430" spans="1:17" x14ac:dyDescent="0.25">
      <c r="A430" s="1">
        <v>35</v>
      </c>
      <c r="C430" t="s">
        <v>394</v>
      </c>
      <c r="D430" s="17">
        <v>25522</v>
      </c>
      <c r="E430" s="7" t="s">
        <v>12</v>
      </c>
      <c r="F430" s="7" t="s">
        <v>349</v>
      </c>
      <c r="G430" s="7" t="s">
        <v>279</v>
      </c>
      <c r="H430" s="7" t="s">
        <v>35</v>
      </c>
      <c r="I430" s="8">
        <v>352720</v>
      </c>
      <c r="J430" s="7" t="s">
        <v>373</v>
      </c>
      <c r="K430" s="40">
        <v>16</v>
      </c>
      <c r="L430" s="40">
        <v>2</v>
      </c>
      <c r="M430" s="40">
        <v>8</v>
      </c>
      <c r="N430" s="8" t="s">
        <v>108</v>
      </c>
      <c r="O430" s="8" t="s">
        <v>304</v>
      </c>
      <c r="P430" s="8" t="s">
        <v>100</v>
      </c>
      <c r="Q430" s="8"/>
    </row>
    <row r="431" spans="1:17" x14ac:dyDescent="0.25">
      <c r="A431" s="1">
        <v>36</v>
      </c>
      <c r="C431" t="s">
        <v>394</v>
      </c>
      <c r="D431" s="17">
        <v>24390</v>
      </c>
      <c r="E431" s="7" t="s">
        <v>12</v>
      </c>
      <c r="F431" s="7" t="s">
        <v>349</v>
      </c>
      <c r="G431" s="7" t="s">
        <v>68</v>
      </c>
      <c r="H431" s="7" t="s">
        <v>35</v>
      </c>
      <c r="I431" s="8">
        <v>228486</v>
      </c>
      <c r="J431" s="7" t="s">
        <v>389</v>
      </c>
      <c r="K431" s="40">
        <v>24</v>
      </c>
      <c r="L431" s="40">
        <v>3</v>
      </c>
      <c r="M431" s="40">
        <v>2</v>
      </c>
      <c r="N431" s="8" t="s">
        <v>108</v>
      </c>
      <c r="O431" s="8" t="s">
        <v>305</v>
      </c>
      <c r="P431" s="8" t="s">
        <v>100</v>
      </c>
      <c r="Q431" s="8"/>
    </row>
    <row r="432" spans="1:17" x14ac:dyDescent="0.25">
      <c r="A432" s="1">
        <v>37</v>
      </c>
      <c r="C432" t="s">
        <v>394</v>
      </c>
      <c r="D432" s="17">
        <v>21357</v>
      </c>
      <c r="E432" s="7" t="s">
        <v>15</v>
      </c>
      <c r="F432" s="7" t="s">
        <v>186</v>
      </c>
      <c r="G432" s="7" t="s">
        <v>331</v>
      </c>
      <c r="H432" s="7" t="s">
        <v>35</v>
      </c>
      <c r="I432" s="8">
        <v>374123</v>
      </c>
      <c r="J432" s="7" t="s">
        <v>412</v>
      </c>
      <c r="K432" s="40">
        <v>32</v>
      </c>
      <c r="L432" s="40">
        <v>4</v>
      </c>
      <c r="M432" s="40">
        <v>1</v>
      </c>
      <c r="N432" s="8" t="s">
        <v>108</v>
      </c>
      <c r="O432" s="8" t="s">
        <v>110</v>
      </c>
      <c r="P432" s="8" t="s">
        <v>100</v>
      </c>
      <c r="Q432" s="8"/>
    </row>
    <row r="433" spans="1:17" x14ac:dyDescent="0.25">
      <c r="A433" s="1">
        <v>38</v>
      </c>
      <c r="C433" t="s">
        <v>394</v>
      </c>
      <c r="D433" s="17">
        <v>25125</v>
      </c>
      <c r="E433" s="7" t="s">
        <v>15</v>
      </c>
      <c r="F433" s="7" t="s">
        <v>369</v>
      </c>
      <c r="G433" s="7" t="s">
        <v>89</v>
      </c>
      <c r="H433" s="7" t="s">
        <v>35</v>
      </c>
      <c r="I433" s="8">
        <v>455484</v>
      </c>
      <c r="J433" s="7" t="s">
        <v>409</v>
      </c>
      <c r="K433" s="40">
        <v>16</v>
      </c>
      <c r="L433" s="40">
        <v>2</v>
      </c>
      <c r="M433" s="40">
        <v>9</v>
      </c>
      <c r="N433" s="8" t="s">
        <v>305</v>
      </c>
      <c r="O433" s="8" t="s">
        <v>110</v>
      </c>
      <c r="P433" s="8" t="s">
        <v>100</v>
      </c>
      <c r="Q433" s="8"/>
    </row>
    <row r="434" spans="1:17" x14ac:dyDescent="0.25">
      <c r="A434" s="1">
        <v>39</v>
      </c>
      <c r="C434" t="s">
        <v>394</v>
      </c>
      <c r="D434" s="17">
        <v>24394</v>
      </c>
      <c r="E434" s="7" t="s">
        <v>12</v>
      </c>
      <c r="F434" s="7" t="s">
        <v>349</v>
      </c>
      <c r="G434" s="7" t="s">
        <v>68</v>
      </c>
      <c r="H434" s="7" t="s">
        <v>35</v>
      </c>
      <c r="I434" s="8">
        <v>228486</v>
      </c>
      <c r="J434" s="7" t="s">
        <v>389</v>
      </c>
      <c r="K434" s="40">
        <v>24</v>
      </c>
      <c r="L434" s="40">
        <v>3</v>
      </c>
      <c r="M434" s="40">
        <v>13</v>
      </c>
      <c r="N434" s="8" t="s">
        <v>110</v>
      </c>
      <c r="O434" s="8" t="s">
        <v>111</v>
      </c>
      <c r="P434" s="8" t="s">
        <v>100</v>
      </c>
      <c r="Q434" s="8"/>
    </row>
    <row r="435" spans="1:17" x14ac:dyDescent="0.25">
      <c r="A435" s="1">
        <v>40</v>
      </c>
      <c r="C435" t="s">
        <v>394</v>
      </c>
      <c r="D435" s="17">
        <v>25118</v>
      </c>
      <c r="E435" s="7" t="s">
        <v>15</v>
      </c>
      <c r="F435" s="7" t="s">
        <v>369</v>
      </c>
      <c r="G435" s="7" t="s">
        <v>89</v>
      </c>
      <c r="H435" s="7" t="s">
        <v>35</v>
      </c>
      <c r="I435" s="8">
        <v>455484</v>
      </c>
      <c r="J435" s="7" t="s">
        <v>409</v>
      </c>
      <c r="K435" s="40">
        <v>16</v>
      </c>
      <c r="L435" s="40">
        <v>2</v>
      </c>
      <c r="M435" s="40">
        <v>10</v>
      </c>
      <c r="N435" s="8" t="s">
        <v>310</v>
      </c>
      <c r="O435" s="8" t="s">
        <v>311</v>
      </c>
      <c r="P435" s="8" t="s">
        <v>119</v>
      </c>
      <c r="Q435" s="8"/>
    </row>
    <row r="436" spans="1:17" x14ac:dyDescent="0.25">
      <c r="A436" s="1">
        <v>41</v>
      </c>
      <c r="C436" t="s">
        <v>394</v>
      </c>
      <c r="D436" s="17">
        <v>24389</v>
      </c>
      <c r="E436" s="7" t="s">
        <v>12</v>
      </c>
      <c r="F436" s="7" t="s">
        <v>349</v>
      </c>
      <c r="G436" s="7" t="s">
        <v>68</v>
      </c>
      <c r="H436" s="7" t="s">
        <v>35</v>
      </c>
      <c r="I436" s="8">
        <v>228486</v>
      </c>
      <c r="J436" s="7" t="s">
        <v>389</v>
      </c>
      <c r="K436" s="40">
        <v>24</v>
      </c>
      <c r="L436" s="40">
        <v>3</v>
      </c>
      <c r="M436" s="40">
        <v>7</v>
      </c>
      <c r="N436" s="8" t="s">
        <v>310</v>
      </c>
      <c r="O436" s="8" t="s">
        <v>123</v>
      </c>
      <c r="P436" s="8" t="s">
        <v>119</v>
      </c>
      <c r="Q436" s="8"/>
    </row>
    <row r="437" spans="1:17" x14ac:dyDescent="0.25">
      <c r="A437" s="1">
        <v>42</v>
      </c>
      <c r="C437" t="s">
        <v>394</v>
      </c>
      <c r="D437" s="17">
        <v>25117</v>
      </c>
      <c r="E437" s="7" t="s">
        <v>15</v>
      </c>
      <c r="F437" s="7" t="s">
        <v>369</v>
      </c>
      <c r="G437" s="7" t="s">
        <v>89</v>
      </c>
      <c r="H437" s="7" t="s">
        <v>35</v>
      </c>
      <c r="I437" s="8">
        <v>455484</v>
      </c>
      <c r="J437" s="7" t="s">
        <v>409</v>
      </c>
      <c r="K437" s="40">
        <v>16</v>
      </c>
      <c r="L437" s="40">
        <v>2</v>
      </c>
      <c r="M437" s="40">
        <v>10</v>
      </c>
      <c r="N437" s="8" t="s">
        <v>123</v>
      </c>
      <c r="O437" s="8" t="s">
        <v>120</v>
      </c>
      <c r="P437" s="8" t="s">
        <v>119</v>
      </c>
      <c r="Q437" s="8"/>
    </row>
    <row r="438" spans="1:17" x14ac:dyDescent="0.25">
      <c r="A438" s="1">
        <v>43</v>
      </c>
      <c r="C438" t="s">
        <v>394</v>
      </c>
      <c r="D438" s="17">
        <v>25128</v>
      </c>
      <c r="E438" s="7" t="s">
        <v>15</v>
      </c>
      <c r="F438" s="7" t="s">
        <v>369</v>
      </c>
      <c r="G438" s="7" t="s">
        <v>89</v>
      </c>
      <c r="H438" s="7" t="s">
        <v>35</v>
      </c>
      <c r="I438" s="8">
        <v>226483</v>
      </c>
      <c r="J438" s="7" t="s">
        <v>406</v>
      </c>
      <c r="K438" s="40">
        <v>16</v>
      </c>
      <c r="L438" s="40">
        <v>2</v>
      </c>
      <c r="M438" s="40">
        <v>13</v>
      </c>
      <c r="N438" s="8" t="s">
        <v>120</v>
      </c>
      <c r="O438" s="8" t="s">
        <v>121</v>
      </c>
      <c r="P438" s="8" t="s">
        <v>119</v>
      </c>
      <c r="Q438" s="8"/>
    </row>
    <row r="439" spans="1:17" x14ac:dyDescent="0.25">
      <c r="A439" s="1">
        <v>44</v>
      </c>
      <c r="C439" t="s">
        <v>394</v>
      </c>
      <c r="D439" s="17">
        <v>24344</v>
      </c>
      <c r="E439" s="7" t="s">
        <v>12</v>
      </c>
      <c r="F439" s="7" t="s">
        <v>349</v>
      </c>
      <c r="G439" s="7" t="s">
        <v>71</v>
      </c>
      <c r="H439" s="7" t="s">
        <v>35</v>
      </c>
      <c r="I439" s="8">
        <v>315738</v>
      </c>
      <c r="J439" s="7" t="s">
        <v>415</v>
      </c>
      <c r="K439" s="40">
        <v>16</v>
      </c>
      <c r="L439" s="40">
        <v>2</v>
      </c>
      <c r="M439" s="40">
        <v>14</v>
      </c>
      <c r="N439" s="8" t="s">
        <v>311</v>
      </c>
      <c r="O439" s="8" t="s">
        <v>121</v>
      </c>
      <c r="P439" s="8" t="s">
        <v>119</v>
      </c>
      <c r="Q439" s="8"/>
    </row>
    <row r="440" spans="1:17" x14ac:dyDescent="0.25">
      <c r="A440" s="1">
        <v>45</v>
      </c>
      <c r="C440" t="s">
        <v>394</v>
      </c>
      <c r="D440" s="17">
        <v>24398</v>
      </c>
      <c r="E440" s="7" t="s">
        <v>12</v>
      </c>
      <c r="F440" s="7" t="s">
        <v>349</v>
      </c>
      <c r="G440" s="7" t="s">
        <v>62</v>
      </c>
      <c r="H440" s="7" t="s">
        <v>35</v>
      </c>
      <c r="I440" s="8">
        <v>228486</v>
      </c>
      <c r="J440" s="7" t="s">
        <v>389</v>
      </c>
      <c r="K440" s="40">
        <v>24</v>
      </c>
      <c r="L440" s="40">
        <v>3</v>
      </c>
      <c r="M440" s="40">
        <v>10</v>
      </c>
      <c r="N440" s="8" t="s">
        <v>120</v>
      </c>
      <c r="O440" s="8" t="s">
        <v>124</v>
      </c>
      <c r="P440" s="8" t="s">
        <v>119</v>
      </c>
      <c r="Q440" s="8"/>
    </row>
    <row r="441" spans="1:17" x14ac:dyDescent="0.25">
      <c r="A441" s="1">
        <v>46</v>
      </c>
      <c r="C441" t="s">
        <v>394</v>
      </c>
      <c r="D441" s="17">
        <v>25116</v>
      </c>
      <c r="E441" s="7" t="s">
        <v>15</v>
      </c>
      <c r="F441" s="7" t="s">
        <v>369</v>
      </c>
      <c r="G441" s="7" t="s">
        <v>89</v>
      </c>
      <c r="H441" s="7" t="s">
        <v>35</v>
      </c>
      <c r="I441" s="8">
        <v>455484</v>
      </c>
      <c r="J441" s="7" t="s">
        <v>409</v>
      </c>
      <c r="K441" s="40">
        <v>16</v>
      </c>
      <c r="L441" s="40">
        <v>2</v>
      </c>
      <c r="M441" s="40">
        <v>11</v>
      </c>
      <c r="N441" s="8" t="s">
        <v>126</v>
      </c>
      <c r="O441" s="8" t="s">
        <v>315</v>
      </c>
      <c r="P441" s="8" t="s">
        <v>119</v>
      </c>
      <c r="Q441" s="8"/>
    </row>
    <row r="442" spans="1:17" x14ac:dyDescent="0.25">
      <c r="A442" s="1">
        <v>47</v>
      </c>
      <c r="C442" t="s">
        <v>394</v>
      </c>
      <c r="D442" s="17">
        <v>24408</v>
      </c>
      <c r="E442" s="7" t="s">
        <v>12</v>
      </c>
      <c r="F442" s="7" t="s">
        <v>349</v>
      </c>
      <c r="G442" s="7" t="s">
        <v>159</v>
      </c>
      <c r="H442" s="7" t="s">
        <v>35</v>
      </c>
      <c r="I442" s="8">
        <v>228486</v>
      </c>
      <c r="J442" s="7" t="s">
        <v>389</v>
      </c>
      <c r="K442" s="40">
        <v>16</v>
      </c>
      <c r="L442" s="40">
        <v>2</v>
      </c>
      <c r="M442" s="40">
        <v>10</v>
      </c>
      <c r="N442" s="8" t="s">
        <v>126</v>
      </c>
      <c r="O442" s="8" t="s">
        <v>315</v>
      </c>
      <c r="P442" s="8" t="s">
        <v>119</v>
      </c>
      <c r="Q442" s="8"/>
    </row>
    <row r="443" spans="1:17" x14ac:dyDescent="0.25">
      <c r="A443" s="1">
        <v>48</v>
      </c>
      <c r="C443" t="s">
        <v>394</v>
      </c>
      <c r="D443" s="17">
        <v>24410</v>
      </c>
      <c r="E443" s="7" t="s">
        <v>12</v>
      </c>
      <c r="F443" s="7" t="s">
        <v>349</v>
      </c>
      <c r="G443" s="7" t="s">
        <v>159</v>
      </c>
      <c r="H443" s="7" t="s">
        <v>35</v>
      </c>
      <c r="I443" s="8">
        <v>228486</v>
      </c>
      <c r="J443" s="7" t="s">
        <v>389</v>
      </c>
      <c r="K443" s="40">
        <v>16</v>
      </c>
      <c r="L443" s="40">
        <v>2</v>
      </c>
      <c r="M443" s="40">
        <v>3</v>
      </c>
      <c r="N443" s="8" t="s">
        <v>128</v>
      </c>
      <c r="O443" s="8" t="s">
        <v>318</v>
      </c>
      <c r="P443" s="8" t="s">
        <v>119</v>
      </c>
      <c r="Q443" s="8"/>
    </row>
    <row r="444" spans="1:17" x14ac:dyDescent="0.25">
      <c r="A444" s="1">
        <v>49</v>
      </c>
      <c r="C444" t="s">
        <v>394</v>
      </c>
      <c r="D444" s="17">
        <v>24409</v>
      </c>
      <c r="E444" s="7" t="s">
        <v>12</v>
      </c>
      <c r="F444" s="7" t="s">
        <v>349</v>
      </c>
      <c r="G444" s="7" t="s">
        <v>159</v>
      </c>
      <c r="H444" s="7" t="s">
        <v>35</v>
      </c>
      <c r="I444" s="8">
        <v>228486</v>
      </c>
      <c r="J444" s="7" t="s">
        <v>389</v>
      </c>
      <c r="K444" s="40">
        <v>16</v>
      </c>
      <c r="L444" s="40">
        <v>2</v>
      </c>
      <c r="M444" s="40">
        <v>10</v>
      </c>
      <c r="N444" s="8" t="s">
        <v>129</v>
      </c>
      <c r="O444" s="8" t="s">
        <v>130</v>
      </c>
      <c r="P444" s="8" t="s">
        <v>119</v>
      </c>
      <c r="Q444" s="8"/>
    </row>
    <row r="445" spans="1:17" x14ac:dyDescent="0.25">
      <c r="A445" s="1">
        <v>50</v>
      </c>
      <c r="C445" t="s">
        <v>394</v>
      </c>
      <c r="D445" s="17">
        <v>25123</v>
      </c>
      <c r="E445" s="7" t="s">
        <v>15</v>
      </c>
      <c r="F445" s="7" t="s">
        <v>369</v>
      </c>
      <c r="G445" s="7" t="s">
        <v>89</v>
      </c>
      <c r="H445" s="7" t="s">
        <v>35</v>
      </c>
      <c r="I445" s="8">
        <v>455484</v>
      </c>
      <c r="J445" s="7" t="s">
        <v>409</v>
      </c>
      <c r="K445" s="40">
        <v>16</v>
      </c>
      <c r="L445" s="40">
        <v>2</v>
      </c>
      <c r="M445" s="40">
        <v>15</v>
      </c>
      <c r="N445" s="8" t="s">
        <v>134</v>
      </c>
      <c r="O445" s="8" t="s">
        <v>135</v>
      </c>
      <c r="P445" s="8" t="s">
        <v>119</v>
      </c>
      <c r="Q445" s="8"/>
    </row>
    <row r="446" spans="1:17" x14ac:dyDescent="0.25">
      <c r="A446" s="1">
        <v>51</v>
      </c>
      <c r="C446" t="s">
        <v>394</v>
      </c>
      <c r="D446" s="17">
        <v>21560</v>
      </c>
      <c r="E446" s="7" t="s">
        <v>15</v>
      </c>
      <c r="F446" s="7" t="s">
        <v>74</v>
      </c>
      <c r="G446" s="7" t="s">
        <v>171</v>
      </c>
      <c r="H446" s="7" t="s">
        <v>72</v>
      </c>
      <c r="I446" s="8">
        <v>374123</v>
      </c>
      <c r="J446" s="7" t="s">
        <v>412</v>
      </c>
      <c r="K446" s="40">
        <v>8</v>
      </c>
      <c r="L446" s="40">
        <v>1</v>
      </c>
      <c r="M446" s="40">
        <v>10</v>
      </c>
      <c r="N446" s="8" t="s">
        <v>136</v>
      </c>
      <c r="O446" s="8" t="s">
        <v>136</v>
      </c>
      <c r="P446" s="8" t="s">
        <v>119</v>
      </c>
      <c r="Q446" s="8"/>
    </row>
    <row r="447" spans="1:17" x14ac:dyDescent="0.25">
      <c r="A447" s="1">
        <v>52</v>
      </c>
      <c r="C447" t="s">
        <v>394</v>
      </c>
      <c r="D447" s="17">
        <v>22096</v>
      </c>
      <c r="E447" s="7" t="s">
        <v>15</v>
      </c>
      <c r="F447" s="7" t="s">
        <v>74</v>
      </c>
      <c r="G447" s="7" t="s">
        <v>148</v>
      </c>
      <c r="H447" s="7" t="s">
        <v>35</v>
      </c>
      <c r="I447" s="8">
        <v>226483</v>
      </c>
      <c r="J447" s="7" t="s">
        <v>406</v>
      </c>
      <c r="K447" s="40">
        <v>8</v>
      </c>
      <c r="L447" s="40">
        <v>1</v>
      </c>
      <c r="M447" s="40">
        <v>3</v>
      </c>
      <c r="N447" s="8" t="s">
        <v>154</v>
      </c>
      <c r="O447" s="8" t="s">
        <v>154</v>
      </c>
      <c r="P447" s="8" t="s">
        <v>141</v>
      </c>
      <c r="Q447" s="8"/>
    </row>
    <row r="448" spans="1:17" x14ac:dyDescent="0.25">
      <c r="A448" s="1">
        <v>53</v>
      </c>
      <c r="C448" t="s">
        <v>394</v>
      </c>
      <c r="D448" s="17">
        <v>21987</v>
      </c>
      <c r="E448" s="7" t="s">
        <v>8</v>
      </c>
      <c r="F448" s="7" t="s">
        <v>142</v>
      </c>
      <c r="G448" s="7" t="s">
        <v>105</v>
      </c>
      <c r="H448" s="7" t="s">
        <v>35</v>
      </c>
      <c r="I448" s="8">
        <v>343036</v>
      </c>
      <c r="J448" s="7" t="s">
        <v>416</v>
      </c>
      <c r="K448" s="40">
        <v>16</v>
      </c>
      <c r="L448" s="40">
        <v>2</v>
      </c>
      <c r="M448" s="40">
        <v>6</v>
      </c>
      <c r="N448" s="8" t="s">
        <v>154</v>
      </c>
      <c r="O448" s="8" t="s">
        <v>155</v>
      </c>
      <c r="P448" s="8" t="s">
        <v>141</v>
      </c>
      <c r="Q448" s="8"/>
    </row>
    <row r="449" spans="1:17" x14ac:dyDescent="0.25">
      <c r="A449" s="1">
        <v>54</v>
      </c>
      <c r="C449" t="s">
        <v>394</v>
      </c>
      <c r="D449" s="17">
        <v>26145</v>
      </c>
      <c r="E449" s="7" t="s">
        <v>8</v>
      </c>
      <c r="F449" s="7" t="s">
        <v>142</v>
      </c>
      <c r="G449" s="7" t="s">
        <v>331</v>
      </c>
      <c r="H449" s="7" t="s">
        <v>35</v>
      </c>
      <c r="I449" s="8">
        <v>279089</v>
      </c>
      <c r="J449" s="7" t="s">
        <v>417</v>
      </c>
      <c r="K449" s="40">
        <v>32</v>
      </c>
      <c r="L449" s="40">
        <v>4</v>
      </c>
      <c r="M449" s="40">
        <v>1</v>
      </c>
      <c r="N449" s="8" t="s">
        <v>155</v>
      </c>
      <c r="O449" s="8" t="s">
        <v>158</v>
      </c>
      <c r="P449" s="8" t="s">
        <v>141</v>
      </c>
      <c r="Q449" s="8"/>
    </row>
    <row r="450" spans="1:17" x14ac:dyDescent="0.25">
      <c r="A450" s="1">
        <v>55</v>
      </c>
      <c r="C450" t="s">
        <v>394</v>
      </c>
      <c r="D450" s="17">
        <v>24350</v>
      </c>
      <c r="E450" s="7" t="s">
        <v>12</v>
      </c>
      <c r="F450" s="7" t="s">
        <v>349</v>
      </c>
      <c r="G450" s="7" t="s">
        <v>223</v>
      </c>
      <c r="H450" s="7" t="s">
        <v>35</v>
      </c>
      <c r="I450" s="8">
        <v>812346</v>
      </c>
      <c r="J450" s="7" t="s">
        <v>418</v>
      </c>
      <c r="K450" s="40">
        <v>16</v>
      </c>
      <c r="L450" s="40">
        <v>2</v>
      </c>
      <c r="M450" s="40">
        <v>2</v>
      </c>
      <c r="N450" s="8" t="s">
        <v>166</v>
      </c>
      <c r="O450" s="8" t="s">
        <v>167</v>
      </c>
      <c r="P450" s="8" t="s">
        <v>141</v>
      </c>
      <c r="Q450" s="8"/>
    </row>
    <row r="451" spans="1:17" x14ac:dyDescent="0.25">
      <c r="A451" s="1">
        <v>56</v>
      </c>
      <c r="C451" t="s">
        <v>394</v>
      </c>
      <c r="D451" s="17">
        <v>24543</v>
      </c>
      <c r="E451" s="7" t="s">
        <v>15</v>
      </c>
      <c r="F451" s="7" t="s">
        <v>369</v>
      </c>
      <c r="G451" s="7" t="s">
        <v>264</v>
      </c>
      <c r="H451" s="7" t="s">
        <v>35</v>
      </c>
      <c r="I451" s="8">
        <v>226483</v>
      </c>
      <c r="J451" s="7" t="s">
        <v>406</v>
      </c>
      <c r="K451" s="40">
        <v>8</v>
      </c>
      <c r="L451" s="40">
        <v>1</v>
      </c>
      <c r="M451" s="40">
        <v>12</v>
      </c>
      <c r="N451" s="8" t="s">
        <v>177</v>
      </c>
      <c r="O451" s="8" t="s">
        <v>177</v>
      </c>
      <c r="P451" s="8" t="s">
        <v>173</v>
      </c>
      <c r="Q451" s="8"/>
    </row>
    <row r="452" spans="1:17" x14ac:dyDescent="0.25">
      <c r="A452" s="1">
        <v>57</v>
      </c>
      <c r="C452" t="s">
        <v>394</v>
      </c>
      <c r="D452" s="17">
        <v>24423</v>
      </c>
      <c r="E452" s="7" t="s">
        <v>12</v>
      </c>
      <c r="F452" s="7" t="s">
        <v>349</v>
      </c>
      <c r="G452" s="7" t="s">
        <v>401</v>
      </c>
      <c r="H452" s="7" t="s">
        <v>72</v>
      </c>
      <c r="I452" s="8">
        <v>812346</v>
      </c>
      <c r="J452" s="7" t="s">
        <v>418</v>
      </c>
      <c r="K452" s="40">
        <v>16</v>
      </c>
      <c r="L452" s="40">
        <v>2</v>
      </c>
      <c r="M452" s="40">
        <v>7</v>
      </c>
      <c r="N452" s="8" t="s">
        <v>190</v>
      </c>
      <c r="O452" s="8" t="s">
        <v>193</v>
      </c>
      <c r="P452" s="8" t="s">
        <v>173</v>
      </c>
      <c r="Q452" s="8"/>
    </row>
    <row r="453" spans="1:17" x14ac:dyDescent="0.25">
      <c r="A453" s="1">
        <v>58</v>
      </c>
      <c r="C453" t="s">
        <v>394</v>
      </c>
      <c r="D453" s="17">
        <v>21404</v>
      </c>
      <c r="E453" s="7" t="s">
        <v>15</v>
      </c>
      <c r="F453" s="7" t="s">
        <v>74</v>
      </c>
      <c r="G453" s="7" t="s">
        <v>294</v>
      </c>
      <c r="H453" s="7" t="s">
        <v>35</v>
      </c>
      <c r="I453" s="8">
        <v>226483</v>
      </c>
      <c r="J453" s="7" t="s">
        <v>406</v>
      </c>
      <c r="K453" s="40">
        <v>8</v>
      </c>
      <c r="L453" s="40">
        <v>1</v>
      </c>
      <c r="M453" s="40">
        <v>3</v>
      </c>
      <c r="N453" s="8" t="s">
        <v>203</v>
      </c>
      <c r="O453" s="8" t="s">
        <v>203</v>
      </c>
      <c r="P453" s="8" t="s">
        <v>202</v>
      </c>
      <c r="Q453" s="8"/>
    </row>
    <row r="454" spans="1:17" x14ac:dyDescent="0.25">
      <c r="A454" s="1">
        <v>59</v>
      </c>
      <c r="C454" t="s">
        <v>394</v>
      </c>
      <c r="D454" s="17">
        <v>29127</v>
      </c>
      <c r="E454" s="7" t="s">
        <v>12</v>
      </c>
      <c r="F454" s="7" t="s">
        <v>349</v>
      </c>
      <c r="G454" s="7" t="s">
        <v>288</v>
      </c>
      <c r="H454" s="7" t="s">
        <v>35</v>
      </c>
      <c r="I454" s="8">
        <v>352720</v>
      </c>
      <c r="J454" s="7" t="s">
        <v>373</v>
      </c>
      <c r="K454" s="40">
        <v>16</v>
      </c>
      <c r="L454" s="40">
        <v>2</v>
      </c>
      <c r="M454" s="40">
        <v>6</v>
      </c>
      <c r="N454" s="8" t="s">
        <v>210</v>
      </c>
      <c r="O454" s="8" t="s">
        <v>211</v>
      </c>
      <c r="P454" s="8" t="s">
        <v>202</v>
      </c>
      <c r="Q454" s="8"/>
    </row>
    <row r="455" spans="1:17" x14ac:dyDescent="0.25">
      <c r="A455" s="1">
        <v>60</v>
      </c>
      <c r="C455" t="s">
        <v>394</v>
      </c>
      <c r="D455" s="17">
        <v>21603</v>
      </c>
      <c r="E455" s="7" t="s">
        <v>15</v>
      </c>
      <c r="F455" s="7" t="s">
        <v>74</v>
      </c>
      <c r="G455" s="7" t="s">
        <v>199</v>
      </c>
      <c r="H455" s="7" t="s">
        <v>35</v>
      </c>
      <c r="I455" s="8">
        <v>226483</v>
      </c>
      <c r="J455" s="7" t="s">
        <v>406</v>
      </c>
      <c r="K455" s="40">
        <v>8</v>
      </c>
      <c r="L455" s="40">
        <v>1</v>
      </c>
      <c r="M455" s="40">
        <v>1</v>
      </c>
      <c r="N455" s="8" t="s">
        <v>217</v>
      </c>
      <c r="O455" s="8" t="s">
        <v>217</v>
      </c>
      <c r="P455" s="8" t="s">
        <v>202</v>
      </c>
      <c r="Q455" s="8"/>
    </row>
    <row r="456" spans="1:17" x14ac:dyDescent="0.25">
      <c r="A456" s="1">
        <v>61</v>
      </c>
      <c r="C456" t="s">
        <v>394</v>
      </c>
      <c r="D456" s="17">
        <v>23608</v>
      </c>
      <c r="E456" s="7" t="s">
        <v>15</v>
      </c>
      <c r="F456" s="7" t="s">
        <v>74</v>
      </c>
      <c r="G456" s="7" t="s">
        <v>302</v>
      </c>
      <c r="H456" s="7" t="s">
        <v>35</v>
      </c>
      <c r="I456" s="8">
        <v>226483</v>
      </c>
      <c r="J456" s="7" t="s">
        <v>406</v>
      </c>
      <c r="K456" s="40">
        <v>8</v>
      </c>
      <c r="L456" s="40">
        <v>1</v>
      </c>
      <c r="M456" s="40">
        <v>1</v>
      </c>
      <c r="N456" s="8" t="s">
        <v>236</v>
      </c>
      <c r="O456" s="8" t="s">
        <v>236</v>
      </c>
      <c r="P456" s="8" t="s">
        <v>227</v>
      </c>
      <c r="Q456" s="8"/>
    </row>
    <row r="457" spans="1:17" x14ac:dyDescent="0.25">
      <c r="A457" s="1">
        <v>62</v>
      </c>
      <c r="C457" t="s">
        <v>394</v>
      </c>
      <c r="D457" s="17">
        <v>24355</v>
      </c>
      <c r="E457" s="7" t="s">
        <v>12</v>
      </c>
      <c r="F457" s="7" t="s">
        <v>349</v>
      </c>
      <c r="G457" s="7" t="s">
        <v>171</v>
      </c>
      <c r="H457" s="7" t="s">
        <v>72</v>
      </c>
      <c r="I457" s="8">
        <v>332078</v>
      </c>
      <c r="J457" s="7" t="s">
        <v>364</v>
      </c>
      <c r="K457" s="40">
        <v>8</v>
      </c>
      <c r="L457" s="40">
        <v>1</v>
      </c>
      <c r="M457" s="40">
        <v>14</v>
      </c>
      <c r="N457" s="8" t="s">
        <v>243</v>
      </c>
      <c r="O457" s="8" t="s">
        <v>242</v>
      </c>
      <c r="P457" s="8" t="s">
        <v>227</v>
      </c>
      <c r="Q457" s="8"/>
    </row>
    <row r="458" spans="1:17" x14ac:dyDescent="0.25">
      <c r="A458" s="1">
        <v>63</v>
      </c>
      <c r="C458" t="s">
        <v>394</v>
      </c>
      <c r="D458" s="17">
        <v>24445</v>
      </c>
      <c r="E458" s="7" t="s">
        <v>12</v>
      </c>
      <c r="F458" s="7" t="s">
        <v>349</v>
      </c>
      <c r="G458" s="7" t="s">
        <v>84</v>
      </c>
      <c r="H458" s="7" t="s">
        <v>35</v>
      </c>
      <c r="I458" s="8">
        <v>352720</v>
      </c>
      <c r="J458" s="7" t="s">
        <v>373</v>
      </c>
      <c r="K458" s="40">
        <v>16</v>
      </c>
      <c r="L458" s="40">
        <v>2</v>
      </c>
      <c r="M458" s="40">
        <v>10</v>
      </c>
      <c r="N458" s="8" t="s">
        <v>242</v>
      </c>
      <c r="O458" s="8" t="s">
        <v>244</v>
      </c>
      <c r="P458" s="8" t="s">
        <v>227</v>
      </c>
      <c r="Q458" s="8"/>
    </row>
    <row r="459" spans="1:17" x14ac:dyDescent="0.25">
      <c r="A459" s="1">
        <v>64</v>
      </c>
      <c r="C459" t="s">
        <v>394</v>
      </c>
      <c r="D459" s="17">
        <v>24447</v>
      </c>
      <c r="E459" s="7" t="s">
        <v>12</v>
      </c>
      <c r="F459" s="7" t="s">
        <v>349</v>
      </c>
      <c r="G459" s="7" t="s">
        <v>346</v>
      </c>
      <c r="H459" s="7" t="s">
        <v>35</v>
      </c>
      <c r="I459" s="8">
        <v>352720</v>
      </c>
      <c r="J459" s="7" t="s">
        <v>373</v>
      </c>
      <c r="K459" s="40">
        <v>16</v>
      </c>
      <c r="L459" s="40">
        <v>2</v>
      </c>
      <c r="M459" s="40">
        <v>2</v>
      </c>
      <c r="N459" s="8" t="s">
        <v>385</v>
      </c>
      <c r="O459" s="8" t="s">
        <v>248</v>
      </c>
      <c r="P459" s="8" t="s">
        <v>249</v>
      </c>
      <c r="Q459" s="8"/>
    </row>
    <row r="460" spans="1:17" x14ac:dyDescent="0.25">
      <c r="A460" s="1">
        <v>1</v>
      </c>
      <c r="C460" s="7" t="s">
        <v>419</v>
      </c>
      <c r="D460" s="17">
        <v>23347</v>
      </c>
      <c r="E460" s="7" t="s">
        <v>15</v>
      </c>
      <c r="F460" s="7" t="s">
        <v>420</v>
      </c>
      <c r="G460" s="7" t="s">
        <v>40</v>
      </c>
      <c r="H460" s="7" t="s">
        <v>35</v>
      </c>
      <c r="I460" s="42">
        <v>520213</v>
      </c>
      <c r="J460" s="7" t="s">
        <v>421</v>
      </c>
      <c r="K460" s="40">
        <v>24</v>
      </c>
      <c r="L460" s="40">
        <v>3</v>
      </c>
      <c r="M460" s="40">
        <v>8</v>
      </c>
      <c r="N460" s="8" t="s">
        <v>343</v>
      </c>
      <c r="O460" s="18">
        <v>44296</v>
      </c>
      <c r="P460" s="8" t="s">
        <v>60</v>
      </c>
      <c r="Q460" s="8"/>
    </row>
    <row r="461" spans="1:17" x14ac:dyDescent="0.25">
      <c r="A461" s="1">
        <v>2</v>
      </c>
      <c r="C461" s="7" t="s">
        <v>419</v>
      </c>
      <c r="D461" s="17">
        <v>23346</v>
      </c>
      <c r="E461" s="7" t="s">
        <v>15</v>
      </c>
      <c r="F461" s="7" t="s">
        <v>420</v>
      </c>
      <c r="G461" s="7" t="s">
        <v>40</v>
      </c>
      <c r="H461" s="7" t="s">
        <v>35</v>
      </c>
      <c r="I461" s="42">
        <v>520213</v>
      </c>
      <c r="J461" s="7" t="s">
        <v>421</v>
      </c>
      <c r="K461" s="40">
        <v>24</v>
      </c>
      <c r="L461" s="40">
        <v>3</v>
      </c>
      <c r="M461" s="40">
        <v>8</v>
      </c>
      <c r="N461" s="8" t="s">
        <v>344</v>
      </c>
      <c r="O461" s="18">
        <v>44300</v>
      </c>
      <c r="P461" s="8" t="s">
        <v>60</v>
      </c>
      <c r="Q461" s="8"/>
    </row>
    <row r="462" spans="1:17" x14ac:dyDescent="0.25">
      <c r="A462" s="1">
        <v>3</v>
      </c>
      <c r="C462" s="7" t="s">
        <v>419</v>
      </c>
      <c r="D462" s="17">
        <v>23345</v>
      </c>
      <c r="E462" s="7" t="s">
        <v>15</v>
      </c>
      <c r="F462" s="7" t="s">
        <v>420</v>
      </c>
      <c r="G462" s="7" t="s">
        <v>40</v>
      </c>
      <c r="H462" s="7" t="s">
        <v>35</v>
      </c>
      <c r="I462" s="42">
        <v>520213</v>
      </c>
      <c r="J462" s="7" t="s">
        <v>421</v>
      </c>
      <c r="K462" s="40">
        <v>24</v>
      </c>
      <c r="L462" s="40">
        <v>3</v>
      </c>
      <c r="M462" s="40">
        <v>8</v>
      </c>
      <c r="N462" s="8" t="s">
        <v>59</v>
      </c>
      <c r="O462" s="18">
        <v>44303</v>
      </c>
      <c r="P462" s="8" t="s">
        <v>60</v>
      </c>
      <c r="Q462" s="8"/>
    </row>
    <row r="463" spans="1:17" x14ac:dyDescent="0.25">
      <c r="A463" s="106">
        <v>4</v>
      </c>
      <c r="B463" s="110"/>
      <c r="C463" s="107" t="s">
        <v>419</v>
      </c>
      <c r="D463" s="108">
        <v>23349</v>
      </c>
      <c r="E463" s="107" t="s">
        <v>15</v>
      </c>
      <c r="F463" s="107" t="s">
        <v>420</v>
      </c>
      <c r="G463" s="107" t="s">
        <v>40</v>
      </c>
      <c r="H463" s="107" t="s">
        <v>35</v>
      </c>
      <c r="I463" s="147">
        <v>520213</v>
      </c>
      <c r="J463" s="107" t="s">
        <v>421</v>
      </c>
      <c r="K463" s="108">
        <v>24</v>
      </c>
      <c r="L463" s="108">
        <v>3</v>
      </c>
      <c r="M463" s="108">
        <v>6</v>
      </c>
      <c r="N463" s="46" t="s">
        <v>266</v>
      </c>
      <c r="O463" s="47">
        <v>44293</v>
      </c>
      <c r="P463" s="46" t="s">
        <v>60</v>
      </c>
      <c r="Q463" s="8"/>
    </row>
    <row r="464" spans="1:17" x14ac:dyDescent="0.25">
      <c r="A464" s="1">
        <v>5</v>
      </c>
      <c r="C464" s="7" t="s">
        <v>419</v>
      </c>
      <c r="D464" s="17">
        <v>24341</v>
      </c>
      <c r="E464" s="7" t="s">
        <v>12</v>
      </c>
      <c r="F464" s="7" t="s">
        <v>349</v>
      </c>
      <c r="G464" s="7" t="s">
        <v>264</v>
      </c>
      <c r="H464" s="7" t="s">
        <v>35</v>
      </c>
      <c r="I464" s="42">
        <v>463384</v>
      </c>
      <c r="J464" s="7" t="s">
        <v>422</v>
      </c>
      <c r="K464" s="40">
        <v>8</v>
      </c>
      <c r="L464" s="40">
        <v>1</v>
      </c>
      <c r="M464" s="40">
        <v>3</v>
      </c>
      <c r="N464" s="8" t="s">
        <v>64</v>
      </c>
      <c r="O464" s="18">
        <v>44300</v>
      </c>
      <c r="P464" s="8" t="s">
        <v>60</v>
      </c>
      <c r="Q464" s="8"/>
    </row>
    <row r="465" spans="1:17" x14ac:dyDescent="0.25">
      <c r="A465" s="1">
        <v>6</v>
      </c>
      <c r="C465" s="7" t="s">
        <v>419</v>
      </c>
      <c r="D465" s="17">
        <v>24392</v>
      </c>
      <c r="E465" s="7" t="s">
        <v>12</v>
      </c>
      <c r="F465" s="7" t="s">
        <v>349</v>
      </c>
      <c r="G465" s="7" t="s">
        <v>68</v>
      </c>
      <c r="H465" s="7" t="s">
        <v>35</v>
      </c>
      <c r="I465" s="42">
        <v>463384</v>
      </c>
      <c r="J465" s="7" t="s">
        <v>422</v>
      </c>
      <c r="K465" s="40">
        <v>24</v>
      </c>
      <c r="L465" s="40">
        <v>3</v>
      </c>
      <c r="M465" s="40">
        <v>6</v>
      </c>
      <c r="N465" s="8" t="s">
        <v>59</v>
      </c>
      <c r="O465" s="18">
        <v>44303</v>
      </c>
      <c r="P465" s="8" t="s">
        <v>60</v>
      </c>
      <c r="Q465" s="8"/>
    </row>
    <row r="466" spans="1:17" x14ac:dyDescent="0.25">
      <c r="A466" s="1">
        <v>7</v>
      </c>
      <c r="C466" s="7" t="s">
        <v>419</v>
      </c>
      <c r="D466" s="17">
        <v>24444</v>
      </c>
      <c r="E466" s="7" t="s">
        <v>12</v>
      </c>
      <c r="F466" s="7" t="s">
        <v>349</v>
      </c>
      <c r="G466" s="7" t="s">
        <v>84</v>
      </c>
      <c r="H466" s="7" t="s">
        <v>35</v>
      </c>
      <c r="I466" s="42">
        <v>463384</v>
      </c>
      <c r="J466" s="7" t="s">
        <v>422</v>
      </c>
      <c r="K466" s="40">
        <v>16</v>
      </c>
      <c r="L466" s="40">
        <v>2</v>
      </c>
      <c r="M466" s="40">
        <v>7</v>
      </c>
      <c r="N466" s="8" t="s">
        <v>67</v>
      </c>
      <c r="O466" s="18">
        <v>44306</v>
      </c>
      <c r="P466" s="8" t="s">
        <v>60</v>
      </c>
      <c r="Q466" s="8"/>
    </row>
    <row r="467" spans="1:17" x14ac:dyDescent="0.25">
      <c r="A467" s="1">
        <v>8</v>
      </c>
      <c r="C467" s="7" t="s">
        <v>419</v>
      </c>
      <c r="D467" s="17">
        <v>23348</v>
      </c>
      <c r="E467" s="7" t="s">
        <v>15</v>
      </c>
      <c r="F467" s="7" t="s">
        <v>420</v>
      </c>
      <c r="G467" s="7" t="s">
        <v>40</v>
      </c>
      <c r="H467" s="7" t="s">
        <v>35</v>
      </c>
      <c r="I467" s="42">
        <v>520213</v>
      </c>
      <c r="J467" s="7" t="s">
        <v>421</v>
      </c>
      <c r="K467" s="40">
        <v>24</v>
      </c>
      <c r="L467" s="40">
        <v>3</v>
      </c>
      <c r="M467" s="40">
        <v>7</v>
      </c>
      <c r="N467" s="8" t="s">
        <v>67</v>
      </c>
      <c r="O467" s="18">
        <v>44307</v>
      </c>
      <c r="P467" s="8" t="s">
        <v>60</v>
      </c>
      <c r="Q467" s="8"/>
    </row>
    <row r="468" spans="1:17" x14ac:dyDescent="0.25">
      <c r="A468" s="1">
        <v>9</v>
      </c>
      <c r="C468" s="7" t="s">
        <v>419</v>
      </c>
      <c r="D468" s="17">
        <v>24407</v>
      </c>
      <c r="E468" s="7" t="s">
        <v>12</v>
      </c>
      <c r="F468" s="7" t="s">
        <v>349</v>
      </c>
      <c r="G468" s="7" t="s">
        <v>159</v>
      </c>
      <c r="H468" s="7" t="s">
        <v>35</v>
      </c>
      <c r="I468" s="42">
        <v>463384</v>
      </c>
      <c r="J468" s="7" t="s">
        <v>422</v>
      </c>
      <c r="K468" s="40">
        <v>16</v>
      </c>
      <c r="L468" s="40">
        <v>2</v>
      </c>
      <c r="M468" s="40">
        <v>6</v>
      </c>
      <c r="N468" s="8" t="s">
        <v>391</v>
      </c>
      <c r="O468" s="18">
        <v>44308</v>
      </c>
      <c r="P468" s="8" t="s">
        <v>60</v>
      </c>
      <c r="Q468" s="8"/>
    </row>
    <row r="469" spans="1:17" x14ac:dyDescent="0.25">
      <c r="A469" s="1">
        <v>10</v>
      </c>
      <c r="C469" s="7" t="s">
        <v>419</v>
      </c>
      <c r="D469" s="17">
        <v>23344</v>
      </c>
      <c r="E469" s="7" t="s">
        <v>15</v>
      </c>
      <c r="F469" s="7" t="s">
        <v>420</v>
      </c>
      <c r="G469" s="7" t="s">
        <v>40</v>
      </c>
      <c r="H469" s="7" t="s">
        <v>35</v>
      </c>
      <c r="I469" s="42">
        <v>520213</v>
      </c>
      <c r="J469" s="7" t="s">
        <v>421</v>
      </c>
      <c r="K469" s="40">
        <v>24</v>
      </c>
      <c r="L469" s="40">
        <v>3</v>
      </c>
      <c r="M469" s="40">
        <v>8</v>
      </c>
      <c r="N469" s="8" t="s">
        <v>423</v>
      </c>
      <c r="O469" s="18">
        <v>44310</v>
      </c>
      <c r="P469" s="8" t="s">
        <v>60</v>
      </c>
      <c r="Q469" s="8"/>
    </row>
    <row r="470" spans="1:17" x14ac:dyDescent="0.25">
      <c r="A470" s="1">
        <v>11</v>
      </c>
      <c r="C470" s="7" t="s">
        <v>419</v>
      </c>
      <c r="D470" s="17">
        <v>24449</v>
      </c>
      <c r="E470" s="7" t="s">
        <v>12</v>
      </c>
      <c r="F470" s="7" t="s">
        <v>349</v>
      </c>
      <c r="G470" s="7" t="s">
        <v>346</v>
      </c>
      <c r="H470" s="7" t="s">
        <v>35</v>
      </c>
      <c r="I470" s="42">
        <v>463384</v>
      </c>
      <c r="J470" s="7" t="s">
        <v>422</v>
      </c>
      <c r="K470" s="40">
        <v>16</v>
      </c>
      <c r="L470" s="40">
        <v>2</v>
      </c>
      <c r="M470" s="40">
        <v>7</v>
      </c>
      <c r="N470" s="8" t="s">
        <v>424</v>
      </c>
      <c r="O470" s="18">
        <v>44310</v>
      </c>
      <c r="P470" s="8" t="s">
        <v>60</v>
      </c>
      <c r="Q470" s="8"/>
    </row>
    <row r="471" spans="1:17" x14ac:dyDescent="0.25">
      <c r="A471" s="1">
        <v>12</v>
      </c>
      <c r="C471" s="7" t="s">
        <v>419</v>
      </c>
      <c r="D471" s="17">
        <v>23351</v>
      </c>
      <c r="E471" s="7" t="s">
        <v>15</v>
      </c>
      <c r="F471" s="7" t="s">
        <v>420</v>
      </c>
      <c r="G471" s="7" t="s">
        <v>199</v>
      </c>
      <c r="H471" s="7" t="s">
        <v>35</v>
      </c>
      <c r="I471" s="42">
        <v>520213</v>
      </c>
      <c r="J471" s="7" t="s">
        <v>421</v>
      </c>
      <c r="K471" s="40">
        <v>8</v>
      </c>
      <c r="L471" s="40">
        <v>1</v>
      </c>
      <c r="M471" s="40">
        <v>5</v>
      </c>
      <c r="N471" s="8" t="s">
        <v>377</v>
      </c>
      <c r="O471" s="18">
        <v>44312</v>
      </c>
      <c r="P471" s="8" t="s">
        <v>60</v>
      </c>
      <c r="Q471" s="8"/>
    </row>
    <row r="472" spans="1:17" x14ac:dyDescent="0.25">
      <c r="A472" s="1">
        <v>13</v>
      </c>
      <c r="C472" s="7" t="s">
        <v>419</v>
      </c>
      <c r="D472" s="17">
        <v>23343</v>
      </c>
      <c r="E472" s="7" t="s">
        <v>15</v>
      </c>
      <c r="F472" s="7" t="s">
        <v>420</v>
      </c>
      <c r="G472" s="7" t="s">
        <v>235</v>
      </c>
      <c r="H472" s="7" t="s">
        <v>35</v>
      </c>
      <c r="I472" s="42">
        <v>520213</v>
      </c>
      <c r="J472" s="7" t="s">
        <v>421</v>
      </c>
      <c r="K472" s="40">
        <v>8</v>
      </c>
      <c r="L472" s="40">
        <v>1</v>
      </c>
      <c r="M472" s="40">
        <v>1</v>
      </c>
      <c r="N472" s="8" t="s">
        <v>271</v>
      </c>
      <c r="O472" s="18">
        <v>44319</v>
      </c>
      <c r="P472" s="8" t="s">
        <v>77</v>
      </c>
      <c r="Q472" s="8"/>
    </row>
    <row r="473" spans="1:17" x14ac:dyDescent="0.25">
      <c r="A473" s="1">
        <v>14</v>
      </c>
      <c r="C473" s="7" t="s">
        <v>419</v>
      </c>
      <c r="D473" s="17">
        <v>23333</v>
      </c>
      <c r="E473" s="7" t="s">
        <v>15</v>
      </c>
      <c r="F473" s="7" t="s">
        <v>420</v>
      </c>
      <c r="G473" s="7" t="s">
        <v>89</v>
      </c>
      <c r="H473" s="7" t="s">
        <v>35</v>
      </c>
      <c r="I473" s="42">
        <v>520213</v>
      </c>
      <c r="J473" s="7" t="s">
        <v>421</v>
      </c>
      <c r="K473" s="40">
        <v>16</v>
      </c>
      <c r="L473" s="40">
        <v>2</v>
      </c>
      <c r="M473" s="40">
        <v>4</v>
      </c>
      <c r="N473" s="8" t="s">
        <v>275</v>
      </c>
      <c r="O473" s="18">
        <v>44323</v>
      </c>
      <c r="P473" s="8" t="s">
        <v>77</v>
      </c>
      <c r="Q473" s="8"/>
    </row>
    <row r="474" spans="1:17" x14ac:dyDescent="0.25">
      <c r="A474" s="1">
        <v>15</v>
      </c>
      <c r="C474" s="7" t="s">
        <v>419</v>
      </c>
      <c r="D474" s="17">
        <v>24353</v>
      </c>
      <c r="E474" s="7" t="s">
        <v>12</v>
      </c>
      <c r="F474" s="7" t="s">
        <v>349</v>
      </c>
      <c r="G474" s="7" t="s">
        <v>223</v>
      </c>
      <c r="H474" s="7" t="s">
        <v>35</v>
      </c>
      <c r="I474" s="42">
        <v>441106</v>
      </c>
      <c r="J474" s="7" t="s">
        <v>163</v>
      </c>
      <c r="K474" s="40">
        <v>16</v>
      </c>
      <c r="L474" s="40">
        <v>2</v>
      </c>
      <c r="M474" s="40">
        <v>6</v>
      </c>
      <c r="N474" s="8" t="s">
        <v>425</v>
      </c>
      <c r="O474" s="18">
        <v>44327</v>
      </c>
      <c r="P474" s="8" t="s">
        <v>77</v>
      </c>
      <c r="Q474" s="8"/>
    </row>
    <row r="475" spans="1:17" x14ac:dyDescent="0.25">
      <c r="A475" s="1">
        <v>16</v>
      </c>
      <c r="C475" s="7" t="s">
        <v>419</v>
      </c>
      <c r="D475" s="17">
        <v>23332</v>
      </c>
      <c r="E475" s="7" t="s">
        <v>15</v>
      </c>
      <c r="F475" s="7" t="s">
        <v>420</v>
      </c>
      <c r="G475" s="7" t="s">
        <v>89</v>
      </c>
      <c r="H475" s="7" t="s">
        <v>35</v>
      </c>
      <c r="I475" s="42">
        <v>520213</v>
      </c>
      <c r="J475" s="7" t="s">
        <v>421</v>
      </c>
      <c r="K475" s="40">
        <v>16</v>
      </c>
      <c r="L475" s="40">
        <v>2</v>
      </c>
      <c r="M475" s="40">
        <v>4</v>
      </c>
      <c r="N475" s="8" t="s">
        <v>80</v>
      </c>
      <c r="O475" s="18">
        <v>44328</v>
      </c>
      <c r="P475" s="8" t="s">
        <v>77</v>
      </c>
      <c r="Q475" s="8"/>
    </row>
    <row r="476" spans="1:17" x14ac:dyDescent="0.25">
      <c r="A476" s="1">
        <v>17</v>
      </c>
      <c r="C476" s="7" t="s">
        <v>419</v>
      </c>
      <c r="D476" s="17">
        <v>23331</v>
      </c>
      <c r="E476" s="7" t="s">
        <v>15</v>
      </c>
      <c r="F476" s="7" t="s">
        <v>420</v>
      </c>
      <c r="G476" s="7" t="s">
        <v>89</v>
      </c>
      <c r="H476" s="7" t="s">
        <v>35</v>
      </c>
      <c r="I476" s="42">
        <v>520213</v>
      </c>
      <c r="J476" s="7" t="s">
        <v>421</v>
      </c>
      <c r="K476" s="40">
        <v>16</v>
      </c>
      <c r="L476" s="40">
        <v>2</v>
      </c>
      <c r="M476" s="40">
        <v>5</v>
      </c>
      <c r="N476" s="8" t="s">
        <v>83</v>
      </c>
      <c r="O476" s="18">
        <v>44330</v>
      </c>
      <c r="P476" s="8" t="s">
        <v>77</v>
      </c>
      <c r="Q476" s="8"/>
    </row>
    <row r="477" spans="1:17" x14ac:dyDescent="0.25">
      <c r="A477" s="1">
        <v>18</v>
      </c>
      <c r="C477" s="7" t="s">
        <v>419</v>
      </c>
      <c r="D477" s="17">
        <v>29128</v>
      </c>
      <c r="E477" s="7" t="s">
        <v>12</v>
      </c>
      <c r="F477" s="7" t="s">
        <v>349</v>
      </c>
      <c r="G477" s="7" t="s">
        <v>288</v>
      </c>
      <c r="H477" s="7" t="s">
        <v>35</v>
      </c>
      <c r="I477" s="42">
        <v>441106</v>
      </c>
      <c r="J477" s="7" t="s">
        <v>163</v>
      </c>
      <c r="K477" s="40">
        <v>16</v>
      </c>
      <c r="L477" s="40">
        <v>2</v>
      </c>
      <c r="M477" s="40">
        <v>3</v>
      </c>
      <c r="N477" s="8" t="s">
        <v>380</v>
      </c>
      <c r="O477" s="18">
        <v>44331</v>
      </c>
      <c r="P477" s="8" t="s">
        <v>77</v>
      </c>
      <c r="Q477" s="8"/>
    </row>
    <row r="478" spans="1:17" x14ac:dyDescent="0.25">
      <c r="A478" s="1">
        <v>19</v>
      </c>
      <c r="C478" s="7" t="s">
        <v>419</v>
      </c>
      <c r="D478" s="17">
        <v>23342</v>
      </c>
      <c r="E478" s="7" t="s">
        <v>15</v>
      </c>
      <c r="F478" s="7" t="s">
        <v>420</v>
      </c>
      <c r="G478" s="7" t="s">
        <v>235</v>
      </c>
      <c r="H478" s="7" t="s">
        <v>35</v>
      </c>
      <c r="I478" s="42">
        <v>520213</v>
      </c>
      <c r="J478" s="7" t="s">
        <v>421</v>
      </c>
      <c r="K478" s="40">
        <v>8</v>
      </c>
      <c r="L478" s="40">
        <v>1</v>
      </c>
      <c r="M478" s="40">
        <v>2</v>
      </c>
      <c r="N478" s="8" t="s">
        <v>281</v>
      </c>
      <c r="O478" s="18">
        <v>44333</v>
      </c>
      <c r="P478" s="8" t="s">
        <v>77</v>
      </c>
      <c r="Q478" s="8"/>
    </row>
    <row r="479" spans="1:17" x14ac:dyDescent="0.25">
      <c r="A479" s="1">
        <v>20</v>
      </c>
      <c r="C479" s="7" t="s">
        <v>419</v>
      </c>
      <c r="D479" s="17">
        <v>24434</v>
      </c>
      <c r="E479" s="7" t="s">
        <v>12</v>
      </c>
      <c r="F479" s="7" t="s">
        <v>349</v>
      </c>
      <c r="G479" s="7" t="s">
        <v>294</v>
      </c>
      <c r="H479" s="7" t="s">
        <v>35</v>
      </c>
      <c r="I479" s="42">
        <v>441106</v>
      </c>
      <c r="J479" s="7" t="s">
        <v>163</v>
      </c>
      <c r="K479" s="40">
        <v>8</v>
      </c>
      <c r="L479" s="40">
        <v>1</v>
      </c>
      <c r="M479" s="40">
        <v>5</v>
      </c>
      <c r="N479" s="8" t="s">
        <v>281</v>
      </c>
      <c r="O479" s="18">
        <v>44333</v>
      </c>
      <c r="P479" s="8" t="s">
        <v>77</v>
      </c>
      <c r="Q479" s="8"/>
    </row>
    <row r="480" spans="1:17" x14ac:dyDescent="0.25">
      <c r="A480" s="1">
        <v>21</v>
      </c>
      <c r="C480" s="7" t="s">
        <v>419</v>
      </c>
      <c r="D480" s="17">
        <v>23341</v>
      </c>
      <c r="E480" s="7" t="s">
        <v>15</v>
      </c>
      <c r="F480" s="7" t="s">
        <v>420</v>
      </c>
      <c r="G480" s="7" t="s">
        <v>346</v>
      </c>
      <c r="H480" s="7" t="s">
        <v>35</v>
      </c>
      <c r="I480" s="42">
        <v>520213</v>
      </c>
      <c r="J480" s="7" t="s">
        <v>421</v>
      </c>
      <c r="K480" s="40">
        <v>16</v>
      </c>
      <c r="L480" s="40">
        <v>2</v>
      </c>
      <c r="M480" s="40">
        <v>4</v>
      </c>
      <c r="N480" s="8" t="s">
        <v>284</v>
      </c>
      <c r="O480" s="8" t="s">
        <v>90</v>
      </c>
      <c r="P480" s="8" t="s">
        <v>77</v>
      </c>
      <c r="Q480" s="8"/>
    </row>
    <row r="481" spans="1:17" x14ac:dyDescent="0.25">
      <c r="A481" s="1">
        <v>22</v>
      </c>
      <c r="C481" s="7" t="s">
        <v>419</v>
      </c>
      <c r="D481" s="17">
        <v>24393</v>
      </c>
      <c r="E481" s="7" t="s">
        <v>12</v>
      </c>
      <c r="F481" s="7" t="s">
        <v>349</v>
      </c>
      <c r="G481" s="7" t="s">
        <v>68</v>
      </c>
      <c r="H481" s="7" t="s">
        <v>35</v>
      </c>
      <c r="I481" s="42">
        <v>441106</v>
      </c>
      <c r="J481" s="7" t="s">
        <v>163</v>
      </c>
      <c r="K481" s="40">
        <v>24</v>
      </c>
      <c r="L481" s="40">
        <v>3</v>
      </c>
      <c r="M481" s="40">
        <v>7</v>
      </c>
      <c r="N481" s="8" t="s">
        <v>87</v>
      </c>
      <c r="O481" s="8" t="s">
        <v>90</v>
      </c>
      <c r="P481" s="8" t="s">
        <v>77</v>
      </c>
      <c r="Q481" s="8"/>
    </row>
    <row r="482" spans="1:17" x14ac:dyDescent="0.25">
      <c r="A482" s="1">
        <v>23</v>
      </c>
      <c r="C482" s="7" t="s">
        <v>419</v>
      </c>
      <c r="D482" s="17">
        <v>23340</v>
      </c>
      <c r="E482" s="7" t="s">
        <v>15</v>
      </c>
      <c r="F482" s="7" t="s">
        <v>420</v>
      </c>
      <c r="G482" s="7" t="s">
        <v>346</v>
      </c>
      <c r="H482" s="7" t="s">
        <v>35</v>
      </c>
      <c r="I482" s="42">
        <v>520213</v>
      </c>
      <c r="J482" s="7" t="s">
        <v>421</v>
      </c>
      <c r="K482" s="40">
        <v>16</v>
      </c>
      <c r="L482" s="40">
        <v>2</v>
      </c>
      <c r="M482" s="40">
        <v>4</v>
      </c>
      <c r="N482" s="8" t="s">
        <v>91</v>
      </c>
      <c r="O482" s="8" t="s">
        <v>426</v>
      </c>
      <c r="P482" s="8" t="s">
        <v>77</v>
      </c>
      <c r="Q482" s="8"/>
    </row>
    <row r="483" spans="1:17" x14ac:dyDescent="0.25">
      <c r="A483" s="1">
        <v>24</v>
      </c>
      <c r="C483" s="7" t="s">
        <v>419</v>
      </c>
      <c r="D483" s="17">
        <v>26777</v>
      </c>
      <c r="E483" s="7" t="s">
        <v>6</v>
      </c>
      <c r="F483" s="7" t="s">
        <v>352</v>
      </c>
      <c r="G483" s="7" t="s">
        <v>34</v>
      </c>
      <c r="H483" s="7" t="s">
        <v>35</v>
      </c>
      <c r="I483" s="42">
        <v>307531</v>
      </c>
      <c r="J483" s="7" t="s">
        <v>427</v>
      </c>
      <c r="K483" s="40">
        <v>8</v>
      </c>
      <c r="L483" s="40">
        <v>1</v>
      </c>
      <c r="M483" s="40">
        <v>1</v>
      </c>
      <c r="N483" s="8" t="s">
        <v>93</v>
      </c>
      <c r="O483" s="8" t="s">
        <v>93</v>
      </c>
      <c r="P483" s="8" t="s">
        <v>77</v>
      </c>
      <c r="Q483" s="8"/>
    </row>
    <row r="484" spans="1:17" x14ac:dyDescent="0.25">
      <c r="A484" s="1">
        <v>25</v>
      </c>
      <c r="C484" s="7" t="s">
        <v>419</v>
      </c>
      <c r="D484" s="17">
        <v>23339</v>
      </c>
      <c r="E484" s="7" t="s">
        <v>15</v>
      </c>
      <c r="F484" s="7" t="s">
        <v>420</v>
      </c>
      <c r="G484" s="7" t="s">
        <v>346</v>
      </c>
      <c r="H484" s="7" t="s">
        <v>35</v>
      </c>
      <c r="I484" s="42">
        <v>520213</v>
      </c>
      <c r="J484" s="7" t="s">
        <v>421</v>
      </c>
      <c r="K484" s="40">
        <v>16</v>
      </c>
      <c r="L484" s="40">
        <v>2</v>
      </c>
      <c r="M484" s="40">
        <v>5</v>
      </c>
      <c r="N484" s="8" t="s">
        <v>97</v>
      </c>
      <c r="O484" s="8" t="s">
        <v>428</v>
      </c>
      <c r="P484" s="8" t="s">
        <v>77</v>
      </c>
      <c r="Q484" s="8"/>
    </row>
    <row r="485" spans="1:17" x14ac:dyDescent="0.25">
      <c r="A485" s="1">
        <v>26</v>
      </c>
      <c r="C485" s="7" t="s">
        <v>419</v>
      </c>
      <c r="D485" s="17">
        <v>23334</v>
      </c>
      <c r="E485" s="7" t="s">
        <v>15</v>
      </c>
      <c r="F485" s="7" t="s">
        <v>420</v>
      </c>
      <c r="G485" s="7" t="s">
        <v>294</v>
      </c>
      <c r="H485" s="7" t="s">
        <v>35</v>
      </c>
      <c r="I485" s="42">
        <v>520213</v>
      </c>
      <c r="J485" s="7" t="s">
        <v>421</v>
      </c>
      <c r="K485" s="40">
        <v>8</v>
      </c>
      <c r="L485" s="40">
        <v>1</v>
      </c>
      <c r="M485" s="40">
        <v>1</v>
      </c>
      <c r="N485" s="8" t="s">
        <v>350</v>
      </c>
      <c r="O485" s="8" t="s">
        <v>350</v>
      </c>
      <c r="P485" s="8" t="s">
        <v>77</v>
      </c>
      <c r="Q485" s="8"/>
    </row>
    <row r="486" spans="1:17" x14ac:dyDescent="0.25">
      <c r="A486" s="1">
        <v>27</v>
      </c>
      <c r="C486" s="7" t="s">
        <v>419</v>
      </c>
      <c r="D486" s="17">
        <v>25005</v>
      </c>
      <c r="E486" s="7" t="s">
        <v>15</v>
      </c>
      <c r="F486" s="7" t="s">
        <v>420</v>
      </c>
      <c r="G486" s="7" t="s">
        <v>264</v>
      </c>
      <c r="H486" s="7" t="s">
        <v>35</v>
      </c>
      <c r="I486" s="42">
        <v>520213</v>
      </c>
      <c r="J486" s="7" t="s">
        <v>421</v>
      </c>
      <c r="K486" s="40">
        <v>8</v>
      </c>
      <c r="L486" s="40">
        <v>1</v>
      </c>
      <c r="M486" s="40">
        <v>4</v>
      </c>
      <c r="N486" s="8" t="s">
        <v>99</v>
      </c>
      <c r="O486" s="8" t="s">
        <v>99</v>
      </c>
      <c r="P486" s="8" t="s">
        <v>100</v>
      </c>
      <c r="Q486" s="8"/>
    </row>
    <row r="487" spans="1:17" x14ac:dyDescent="0.25">
      <c r="A487" s="1">
        <v>28</v>
      </c>
      <c r="C487" s="7" t="s">
        <v>419</v>
      </c>
      <c r="D487" s="17">
        <v>25004</v>
      </c>
      <c r="E487" s="7" t="s">
        <v>15</v>
      </c>
      <c r="F487" s="7" t="s">
        <v>420</v>
      </c>
      <c r="G487" s="7" t="s">
        <v>264</v>
      </c>
      <c r="H487" s="7" t="s">
        <v>35</v>
      </c>
      <c r="I487" s="42">
        <v>520213</v>
      </c>
      <c r="J487" s="7" t="s">
        <v>421</v>
      </c>
      <c r="K487" s="40">
        <v>8</v>
      </c>
      <c r="L487" s="40">
        <v>1</v>
      </c>
      <c r="M487" s="40">
        <v>4</v>
      </c>
      <c r="N487" s="8" t="s">
        <v>101</v>
      </c>
      <c r="O487" s="8" t="s">
        <v>101</v>
      </c>
      <c r="P487" s="8" t="s">
        <v>100</v>
      </c>
      <c r="Q487" s="8"/>
    </row>
    <row r="488" spans="1:17" x14ac:dyDescent="0.25">
      <c r="A488" s="1">
        <v>29</v>
      </c>
      <c r="C488" s="7" t="s">
        <v>419</v>
      </c>
      <c r="D488" s="17">
        <v>25007</v>
      </c>
      <c r="E488" s="7" t="s">
        <v>15</v>
      </c>
      <c r="F488" s="7" t="s">
        <v>420</v>
      </c>
      <c r="G488" s="7" t="s">
        <v>34</v>
      </c>
      <c r="H488" s="7" t="s">
        <v>35</v>
      </c>
      <c r="I488" s="42">
        <v>520213</v>
      </c>
      <c r="J488" s="7" t="s">
        <v>421</v>
      </c>
      <c r="K488" s="40">
        <v>8</v>
      </c>
      <c r="L488" s="40">
        <v>1</v>
      </c>
      <c r="M488" s="40">
        <v>3</v>
      </c>
      <c r="N488" s="8" t="s">
        <v>289</v>
      </c>
      <c r="O488" s="8" t="s">
        <v>289</v>
      </c>
      <c r="P488" s="8" t="s">
        <v>100</v>
      </c>
      <c r="Q488" s="8"/>
    </row>
    <row r="489" spans="1:17" x14ac:dyDescent="0.25">
      <c r="A489" s="1">
        <v>30</v>
      </c>
      <c r="C489" s="7" t="s">
        <v>419</v>
      </c>
      <c r="D489" s="17">
        <v>23336</v>
      </c>
      <c r="E489" s="7" t="s">
        <v>15</v>
      </c>
      <c r="F489" s="7" t="s">
        <v>420</v>
      </c>
      <c r="G489" s="7" t="s">
        <v>84</v>
      </c>
      <c r="H489" s="7" t="s">
        <v>35</v>
      </c>
      <c r="I489" s="42">
        <v>520213</v>
      </c>
      <c r="J489" s="7" t="s">
        <v>421</v>
      </c>
      <c r="K489" s="40">
        <v>16</v>
      </c>
      <c r="L489" s="40">
        <v>2</v>
      </c>
      <c r="M489" s="40">
        <v>4</v>
      </c>
      <c r="N489" s="8" t="s">
        <v>295</v>
      </c>
      <c r="O489" s="8" t="s">
        <v>102</v>
      </c>
      <c r="P489" s="8" t="s">
        <v>100</v>
      </c>
      <c r="Q489" s="8"/>
    </row>
    <row r="490" spans="1:17" x14ac:dyDescent="0.25">
      <c r="A490" s="1">
        <v>31</v>
      </c>
      <c r="C490" s="7" t="s">
        <v>419</v>
      </c>
      <c r="D490" s="17">
        <v>23335</v>
      </c>
      <c r="E490" s="7" t="s">
        <v>15</v>
      </c>
      <c r="F490" s="7" t="s">
        <v>420</v>
      </c>
      <c r="G490" s="7" t="s">
        <v>84</v>
      </c>
      <c r="H490" s="7" t="s">
        <v>35</v>
      </c>
      <c r="I490" s="42">
        <v>520213</v>
      </c>
      <c r="J490" s="7" t="s">
        <v>421</v>
      </c>
      <c r="K490" s="40">
        <v>16</v>
      </c>
      <c r="L490" s="40">
        <v>2</v>
      </c>
      <c r="M490" s="40">
        <v>3</v>
      </c>
      <c r="N490" s="8" t="s">
        <v>299</v>
      </c>
      <c r="O490" s="8" t="s">
        <v>300</v>
      </c>
      <c r="P490" s="8" t="s">
        <v>100</v>
      </c>
      <c r="Q490" s="8"/>
    </row>
    <row r="491" spans="1:17" x14ac:dyDescent="0.25">
      <c r="A491" s="1">
        <v>32</v>
      </c>
      <c r="C491" s="7" t="s">
        <v>419</v>
      </c>
      <c r="D491" s="17">
        <v>24441</v>
      </c>
      <c r="E491" s="7" t="s">
        <v>12</v>
      </c>
      <c r="F491" s="7" t="s">
        <v>349</v>
      </c>
      <c r="G491" s="7" t="s">
        <v>84</v>
      </c>
      <c r="H491" s="7" t="s">
        <v>35</v>
      </c>
      <c r="I491" s="42">
        <v>463384</v>
      </c>
      <c r="J491" s="7" t="s">
        <v>422</v>
      </c>
      <c r="K491" s="40">
        <v>16</v>
      </c>
      <c r="L491" s="40">
        <v>2</v>
      </c>
      <c r="M491" s="40">
        <v>2</v>
      </c>
      <c r="N491" s="8" t="s">
        <v>299</v>
      </c>
      <c r="O491" s="8" t="s">
        <v>300</v>
      </c>
      <c r="P491" s="8" t="s">
        <v>100</v>
      </c>
      <c r="Q491" s="8"/>
    </row>
    <row r="492" spans="1:17" x14ac:dyDescent="0.25">
      <c r="A492" s="1">
        <v>33</v>
      </c>
      <c r="C492" s="7" t="s">
        <v>419</v>
      </c>
      <c r="D492" s="17">
        <v>24352</v>
      </c>
      <c r="E492" s="7" t="s">
        <v>12</v>
      </c>
      <c r="F492" s="7" t="s">
        <v>349</v>
      </c>
      <c r="G492" s="7" t="s">
        <v>223</v>
      </c>
      <c r="H492" s="7" t="s">
        <v>35</v>
      </c>
      <c r="I492" s="42">
        <v>463384</v>
      </c>
      <c r="J492" s="7" t="s">
        <v>422</v>
      </c>
      <c r="K492" s="40">
        <v>16</v>
      </c>
      <c r="L492" s="40">
        <v>2</v>
      </c>
      <c r="M492" s="40">
        <v>5</v>
      </c>
      <c r="N492" s="8" t="s">
        <v>107</v>
      </c>
      <c r="O492" s="8" t="s">
        <v>106</v>
      </c>
      <c r="P492" s="8" t="s">
        <v>100</v>
      </c>
      <c r="Q492" s="8"/>
    </row>
    <row r="493" spans="1:17" x14ac:dyDescent="0.25">
      <c r="A493" s="1">
        <v>34</v>
      </c>
      <c r="C493" s="7" t="s">
        <v>419</v>
      </c>
      <c r="D493" s="17">
        <v>24379</v>
      </c>
      <c r="E493" s="7" t="s">
        <v>12</v>
      </c>
      <c r="F493" s="7" t="s">
        <v>349</v>
      </c>
      <c r="G493" s="7" t="s">
        <v>89</v>
      </c>
      <c r="H493" s="7" t="s">
        <v>35</v>
      </c>
      <c r="I493" s="42">
        <v>463384</v>
      </c>
      <c r="J493" s="7" t="s">
        <v>422</v>
      </c>
      <c r="K493" s="40">
        <v>16</v>
      </c>
      <c r="L493" s="40">
        <v>2</v>
      </c>
      <c r="M493" s="40">
        <v>2</v>
      </c>
      <c r="N493" s="8" t="s">
        <v>303</v>
      </c>
      <c r="O493" s="8" t="s">
        <v>109</v>
      </c>
      <c r="P493" s="8" t="s">
        <v>100</v>
      </c>
      <c r="Q493" s="8"/>
    </row>
    <row r="494" spans="1:17" x14ac:dyDescent="0.25">
      <c r="A494" s="1">
        <v>35</v>
      </c>
      <c r="C494" s="7" t="s">
        <v>419</v>
      </c>
      <c r="D494" s="17">
        <v>28079</v>
      </c>
      <c r="E494" s="7" t="s">
        <v>12</v>
      </c>
      <c r="F494" s="7" t="s">
        <v>349</v>
      </c>
      <c r="G494" s="7" t="s">
        <v>199</v>
      </c>
      <c r="H494" s="7" t="s">
        <v>35</v>
      </c>
      <c r="I494" s="42">
        <v>520213</v>
      </c>
      <c r="J494" s="7" t="s">
        <v>421</v>
      </c>
      <c r="K494" s="40">
        <v>8</v>
      </c>
      <c r="L494" s="40">
        <v>1</v>
      </c>
      <c r="M494" s="40">
        <v>3</v>
      </c>
      <c r="N494" s="8" t="s">
        <v>128</v>
      </c>
      <c r="O494" s="8" t="s">
        <v>128</v>
      </c>
      <c r="P494" s="8" t="s">
        <v>119</v>
      </c>
      <c r="Q494" s="8"/>
    </row>
    <row r="495" spans="1:17" x14ac:dyDescent="0.25">
      <c r="A495" s="1">
        <v>36</v>
      </c>
      <c r="C495" s="7" t="s">
        <v>419</v>
      </c>
      <c r="D495" s="17">
        <v>24477</v>
      </c>
      <c r="E495" s="7" t="s">
        <v>12</v>
      </c>
      <c r="F495" s="7" t="s">
        <v>349</v>
      </c>
      <c r="G495" s="7" t="s">
        <v>40</v>
      </c>
      <c r="H495" s="7" t="s">
        <v>35</v>
      </c>
      <c r="I495" s="42">
        <v>520213</v>
      </c>
      <c r="J495" s="7" t="s">
        <v>421</v>
      </c>
      <c r="K495" s="40">
        <v>24</v>
      </c>
      <c r="L495" s="40">
        <v>3</v>
      </c>
      <c r="M495" s="40">
        <v>3</v>
      </c>
      <c r="N495" s="8" t="s">
        <v>318</v>
      </c>
      <c r="O495" s="8" t="s">
        <v>130</v>
      </c>
      <c r="P495" s="8" t="s">
        <v>119</v>
      </c>
      <c r="Q495" s="8"/>
    </row>
    <row r="496" spans="1:17" x14ac:dyDescent="0.25">
      <c r="A496" s="1">
        <v>37</v>
      </c>
      <c r="C496" s="7" t="s">
        <v>419</v>
      </c>
      <c r="D496" s="17">
        <v>24397</v>
      </c>
      <c r="E496" s="7" t="s">
        <v>12</v>
      </c>
      <c r="F496" s="7" t="s">
        <v>349</v>
      </c>
      <c r="G496" s="7" t="s">
        <v>62</v>
      </c>
      <c r="H496" s="7" t="s">
        <v>35</v>
      </c>
      <c r="I496" s="42">
        <v>520213</v>
      </c>
      <c r="J496" s="7" t="s">
        <v>421</v>
      </c>
      <c r="K496" s="40">
        <v>24</v>
      </c>
      <c r="L496" s="40">
        <v>3</v>
      </c>
      <c r="M496" s="40">
        <v>6</v>
      </c>
      <c r="N496" s="8" t="s">
        <v>149</v>
      </c>
      <c r="O496" s="8" t="s">
        <v>152</v>
      </c>
      <c r="P496" s="8" t="s">
        <v>141</v>
      </c>
      <c r="Q496" s="8"/>
    </row>
    <row r="497" spans="1:17" x14ac:dyDescent="0.25">
      <c r="A497" s="1">
        <v>38</v>
      </c>
      <c r="C497" s="7" t="s">
        <v>419</v>
      </c>
      <c r="D497" s="17">
        <v>24467</v>
      </c>
      <c r="E497" s="7" t="s">
        <v>12</v>
      </c>
      <c r="F497" s="7" t="s">
        <v>349</v>
      </c>
      <c r="G497" s="7" t="s">
        <v>235</v>
      </c>
      <c r="H497" s="7" t="s">
        <v>35</v>
      </c>
      <c r="I497" s="42">
        <v>520213</v>
      </c>
      <c r="J497" s="7" t="s">
        <v>421</v>
      </c>
      <c r="K497" s="40">
        <v>8</v>
      </c>
      <c r="L497" s="40">
        <v>1</v>
      </c>
      <c r="M497" s="40">
        <v>5</v>
      </c>
      <c r="N497" s="8" t="s">
        <v>153</v>
      </c>
      <c r="O497" s="8" t="s">
        <v>153</v>
      </c>
      <c r="P497" s="8" t="s">
        <v>141</v>
      </c>
      <c r="Q497" s="8"/>
    </row>
    <row r="498" spans="1:17" x14ac:dyDescent="0.25">
      <c r="A498" s="1">
        <v>39</v>
      </c>
      <c r="C498" s="7" t="s">
        <v>419</v>
      </c>
      <c r="D498" s="17">
        <v>24459</v>
      </c>
      <c r="E498" s="7" t="s">
        <v>12</v>
      </c>
      <c r="F498" s="7" t="s">
        <v>349</v>
      </c>
      <c r="G498" s="7" t="s">
        <v>317</v>
      </c>
      <c r="H498" s="7" t="s">
        <v>35</v>
      </c>
      <c r="I498" s="42">
        <v>520213</v>
      </c>
      <c r="J498" s="7" t="s">
        <v>421</v>
      </c>
      <c r="K498" s="40">
        <v>16</v>
      </c>
      <c r="L498" s="40">
        <v>2</v>
      </c>
      <c r="M498" s="40">
        <v>1</v>
      </c>
      <c r="N498" s="8" t="s">
        <v>429</v>
      </c>
      <c r="O498" s="8" t="s">
        <v>322</v>
      </c>
      <c r="P498" s="8" t="s">
        <v>141</v>
      </c>
      <c r="Q498" s="8"/>
    </row>
    <row r="499" spans="1:17" x14ac:dyDescent="0.25">
      <c r="A499" s="1">
        <v>40</v>
      </c>
      <c r="C499" s="7" t="s">
        <v>419</v>
      </c>
      <c r="D499" s="17">
        <v>25509</v>
      </c>
      <c r="E499" s="7" t="s">
        <v>12</v>
      </c>
      <c r="F499" s="7" t="s">
        <v>349</v>
      </c>
      <c r="G499" s="7" t="s">
        <v>331</v>
      </c>
      <c r="H499" s="7" t="s">
        <v>72</v>
      </c>
      <c r="I499" s="42">
        <v>374123</v>
      </c>
      <c r="J499" s="7" t="s">
        <v>412</v>
      </c>
      <c r="K499" s="40">
        <v>32</v>
      </c>
      <c r="L499" s="40">
        <v>4</v>
      </c>
      <c r="M499" s="40">
        <v>5</v>
      </c>
      <c r="N499" s="8" t="s">
        <v>327</v>
      </c>
      <c r="O499" s="8" t="s">
        <v>210</v>
      </c>
      <c r="P499" s="8" t="s">
        <v>202</v>
      </c>
      <c r="Q499" s="8"/>
    </row>
    <row r="500" spans="1:17" x14ac:dyDescent="0.25">
      <c r="A500" s="1">
        <v>1</v>
      </c>
      <c r="C500" s="7" t="s">
        <v>430</v>
      </c>
      <c r="D500" s="17">
        <v>25417</v>
      </c>
      <c r="E500" s="7" t="s">
        <v>11</v>
      </c>
      <c r="F500" s="7" t="s">
        <v>74</v>
      </c>
      <c r="G500" s="7" t="s">
        <v>89</v>
      </c>
      <c r="H500" s="7" t="s">
        <v>35</v>
      </c>
      <c r="I500" s="8">
        <v>536181</v>
      </c>
      <c r="J500" s="7" t="s">
        <v>431</v>
      </c>
      <c r="K500" s="44">
        <v>16</v>
      </c>
      <c r="L500" s="44">
        <v>2</v>
      </c>
      <c r="M500" s="44">
        <v>15</v>
      </c>
      <c r="N500" s="8" t="s">
        <v>432</v>
      </c>
      <c r="O500" s="18">
        <v>44222</v>
      </c>
      <c r="P500" s="8" t="s">
        <v>433</v>
      </c>
      <c r="Q500" s="8"/>
    </row>
    <row r="501" spans="1:17" x14ac:dyDescent="0.25">
      <c r="A501" s="1">
        <v>2</v>
      </c>
      <c r="C501" s="7" t="s">
        <v>430</v>
      </c>
      <c r="D501" s="17">
        <v>24302</v>
      </c>
      <c r="E501" s="7" t="s">
        <v>11</v>
      </c>
      <c r="F501" s="7" t="s">
        <v>434</v>
      </c>
      <c r="G501" s="7" t="s">
        <v>294</v>
      </c>
      <c r="H501" s="7" t="s">
        <v>35</v>
      </c>
      <c r="I501" s="8">
        <v>266493</v>
      </c>
      <c r="J501" s="7" t="s">
        <v>435</v>
      </c>
      <c r="K501" s="44">
        <v>8</v>
      </c>
      <c r="L501" s="44">
        <v>1</v>
      </c>
      <c r="M501" s="44">
        <v>3</v>
      </c>
      <c r="N501" s="8" t="s">
        <v>47</v>
      </c>
      <c r="O501" s="18">
        <v>44249</v>
      </c>
      <c r="P501" s="8" t="s">
        <v>38</v>
      </c>
      <c r="Q501" s="8"/>
    </row>
    <row r="502" spans="1:17" x14ac:dyDescent="0.25">
      <c r="A502" s="1">
        <v>3</v>
      </c>
      <c r="C502" s="7" t="s">
        <v>430</v>
      </c>
      <c r="D502" s="17">
        <v>21888</v>
      </c>
      <c r="E502" s="7" t="s">
        <v>11</v>
      </c>
      <c r="F502" s="7" t="s">
        <v>434</v>
      </c>
      <c r="G502" s="7" t="s">
        <v>40</v>
      </c>
      <c r="H502" s="7" t="s">
        <v>35</v>
      </c>
      <c r="I502" s="8">
        <v>510960</v>
      </c>
      <c r="J502" s="7" t="s">
        <v>436</v>
      </c>
      <c r="K502" s="44">
        <v>24</v>
      </c>
      <c r="L502" s="44">
        <v>3</v>
      </c>
      <c r="M502" s="44">
        <v>1</v>
      </c>
      <c r="N502" s="8" t="s">
        <v>266</v>
      </c>
      <c r="O502" s="18">
        <v>44293</v>
      </c>
      <c r="P502" s="8" t="s">
        <v>60</v>
      </c>
      <c r="Q502" s="8"/>
    </row>
    <row r="503" spans="1:17" x14ac:dyDescent="0.25">
      <c r="A503" s="106">
        <v>4</v>
      </c>
      <c r="B503" s="110"/>
      <c r="C503" s="107" t="s">
        <v>430</v>
      </c>
      <c r="D503" s="108">
        <v>23582</v>
      </c>
      <c r="E503" s="107" t="s">
        <v>11</v>
      </c>
      <c r="F503" s="107" t="s">
        <v>434</v>
      </c>
      <c r="G503" s="107" t="s">
        <v>68</v>
      </c>
      <c r="H503" s="107" t="s">
        <v>35</v>
      </c>
      <c r="I503" s="46">
        <v>510960</v>
      </c>
      <c r="J503" s="107" t="s">
        <v>436</v>
      </c>
      <c r="K503" s="124">
        <v>24</v>
      </c>
      <c r="L503" s="124">
        <v>3</v>
      </c>
      <c r="M503" s="124">
        <v>8</v>
      </c>
      <c r="N503" s="46" t="s">
        <v>344</v>
      </c>
      <c r="O503" s="47">
        <v>44300</v>
      </c>
      <c r="P503" s="46" t="s">
        <v>60</v>
      </c>
      <c r="Q503" s="8"/>
    </row>
    <row r="504" spans="1:17" x14ac:dyDescent="0.25">
      <c r="A504" s="1">
        <v>5</v>
      </c>
      <c r="C504" s="7" t="s">
        <v>430</v>
      </c>
      <c r="D504" s="17">
        <v>21829</v>
      </c>
      <c r="E504" s="7" t="s">
        <v>11</v>
      </c>
      <c r="F504" s="7" t="s">
        <v>434</v>
      </c>
      <c r="G504" s="7" t="s">
        <v>321</v>
      </c>
      <c r="H504" s="7" t="s">
        <v>35</v>
      </c>
      <c r="I504" s="8">
        <v>529808</v>
      </c>
      <c r="J504" s="7" t="s">
        <v>437</v>
      </c>
      <c r="K504" s="44">
        <v>16</v>
      </c>
      <c r="L504" s="44">
        <v>2</v>
      </c>
      <c r="M504" s="44">
        <v>1</v>
      </c>
      <c r="N504" s="8" t="s">
        <v>67</v>
      </c>
      <c r="O504" s="18">
        <v>44306</v>
      </c>
      <c r="P504" s="8" t="s">
        <v>60</v>
      </c>
      <c r="Q504" s="8"/>
    </row>
    <row r="505" spans="1:17" x14ac:dyDescent="0.25">
      <c r="A505" s="1">
        <v>6</v>
      </c>
      <c r="C505" s="7" t="s">
        <v>430</v>
      </c>
      <c r="D505" s="17">
        <v>23581</v>
      </c>
      <c r="E505" s="7" t="s">
        <v>11</v>
      </c>
      <c r="F505" s="7" t="s">
        <v>434</v>
      </c>
      <c r="G505" s="7" t="s">
        <v>68</v>
      </c>
      <c r="H505" s="7" t="s">
        <v>35</v>
      </c>
      <c r="I505" s="8">
        <v>510960</v>
      </c>
      <c r="J505" s="7" t="s">
        <v>436</v>
      </c>
      <c r="K505" s="44">
        <v>24</v>
      </c>
      <c r="L505" s="44">
        <v>3</v>
      </c>
      <c r="M505" s="44">
        <v>8</v>
      </c>
      <c r="N505" s="8" t="s">
        <v>67</v>
      </c>
      <c r="O505" s="18">
        <v>44307</v>
      </c>
      <c r="P505" s="8" t="s">
        <v>60</v>
      </c>
      <c r="Q505" s="8"/>
    </row>
    <row r="506" spans="1:17" x14ac:dyDescent="0.25">
      <c r="A506" s="1">
        <v>7</v>
      </c>
      <c r="C506" s="7" t="s">
        <v>430</v>
      </c>
      <c r="D506" s="17">
        <v>23580</v>
      </c>
      <c r="E506" s="7" t="s">
        <v>11</v>
      </c>
      <c r="F506" s="7" t="s">
        <v>434</v>
      </c>
      <c r="G506" s="7" t="s">
        <v>68</v>
      </c>
      <c r="H506" s="7" t="s">
        <v>35</v>
      </c>
      <c r="I506" s="8">
        <v>510960</v>
      </c>
      <c r="J506" s="7" t="s">
        <v>436</v>
      </c>
      <c r="K506" s="44">
        <v>24</v>
      </c>
      <c r="L506" s="44">
        <v>3</v>
      </c>
      <c r="M506" s="44">
        <v>8</v>
      </c>
      <c r="N506" s="8" t="s">
        <v>377</v>
      </c>
      <c r="O506" s="18">
        <v>44314</v>
      </c>
      <c r="P506" s="8" t="s">
        <v>60</v>
      </c>
      <c r="Q506" s="8"/>
    </row>
    <row r="507" spans="1:17" x14ac:dyDescent="0.25">
      <c r="A507" s="1">
        <v>8</v>
      </c>
      <c r="C507" s="7" t="s">
        <v>430</v>
      </c>
      <c r="D507" s="17">
        <v>25427</v>
      </c>
      <c r="E507" s="7" t="s">
        <v>11</v>
      </c>
      <c r="F507" s="7" t="s">
        <v>74</v>
      </c>
      <c r="G507" s="7" t="s">
        <v>89</v>
      </c>
      <c r="H507" s="7" t="s">
        <v>35</v>
      </c>
      <c r="I507" s="8">
        <v>536181</v>
      </c>
      <c r="J507" s="7" t="s">
        <v>431</v>
      </c>
      <c r="K507" s="44">
        <v>16</v>
      </c>
      <c r="L507" s="44">
        <v>2</v>
      </c>
      <c r="M507" s="44">
        <v>15</v>
      </c>
      <c r="N507" s="8" t="s">
        <v>438</v>
      </c>
      <c r="O507" s="18">
        <v>44315</v>
      </c>
      <c r="P507" s="8" t="s">
        <v>60</v>
      </c>
      <c r="Q507" s="8"/>
    </row>
    <row r="508" spans="1:17" x14ac:dyDescent="0.25">
      <c r="A508" s="1">
        <v>9</v>
      </c>
      <c r="C508" s="7" t="s">
        <v>430</v>
      </c>
      <c r="D508" s="17">
        <v>25418</v>
      </c>
      <c r="E508" s="7" t="s">
        <v>11</v>
      </c>
      <c r="F508" s="7" t="s">
        <v>74</v>
      </c>
      <c r="G508" s="7" t="s">
        <v>89</v>
      </c>
      <c r="H508" s="7" t="s">
        <v>35</v>
      </c>
      <c r="I508" s="8">
        <v>536181</v>
      </c>
      <c r="J508" s="7" t="s">
        <v>431</v>
      </c>
      <c r="K508" s="44">
        <v>16</v>
      </c>
      <c r="L508" s="44">
        <v>2</v>
      </c>
      <c r="M508" s="44">
        <v>15</v>
      </c>
      <c r="N508" s="8" t="s">
        <v>267</v>
      </c>
      <c r="O508" s="18">
        <v>44317</v>
      </c>
      <c r="P508" s="8" t="s">
        <v>60</v>
      </c>
      <c r="Q508" s="8"/>
    </row>
    <row r="509" spans="1:17" x14ac:dyDescent="0.25">
      <c r="A509" s="1">
        <v>11</v>
      </c>
      <c r="C509" s="7" t="s">
        <v>430</v>
      </c>
      <c r="D509" s="17">
        <v>25406</v>
      </c>
      <c r="E509" s="7" t="s">
        <v>11</v>
      </c>
      <c r="F509" s="7" t="s">
        <v>74</v>
      </c>
      <c r="G509" s="7" t="s">
        <v>89</v>
      </c>
      <c r="H509" s="7" t="s">
        <v>35</v>
      </c>
      <c r="I509" s="8">
        <v>536181</v>
      </c>
      <c r="J509" s="7" t="s">
        <v>431</v>
      </c>
      <c r="K509" s="44">
        <v>16</v>
      </c>
      <c r="L509" s="44">
        <v>2</v>
      </c>
      <c r="M509" s="44">
        <v>15</v>
      </c>
      <c r="N509" s="8" t="s">
        <v>275</v>
      </c>
      <c r="O509" s="18">
        <v>44323</v>
      </c>
      <c r="P509" s="8" t="s">
        <v>77</v>
      </c>
      <c r="Q509" s="8"/>
    </row>
    <row r="510" spans="1:17" x14ac:dyDescent="0.25">
      <c r="A510" s="1">
        <v>13</v>
      </c>
      <c r="C510" s="7" t="s">
        <v>430</v>
      </c>
      <c r="D510" s="17">
        <v>25519</v>
      </c>
      <c r="E510" s="7" t="s">
        <v>11</v>
      </c>
      <c r="F510" s="7" t="s">
        <v>74</v>
      </c>
      <c r="G510" s="7" t="s">
        <v>105</v>
      </c>
      <c r="H510" s="7" t="s">
        <v>35</v>
      </c>
      <c r="I510" s="8">
        <v>432705</v>
      </c>
      <c r="J510" s="7" t="s">
        <v>439</v>
      </c>
      <c r="K510" s="44">
        <v>16</v>
      </c>
      <c r="L510" s="44">
        <v>2</v>
      </c>
      <c r="M510" s="44">
        <v>15</v>
      </c>
      <c r="N510" s="8" t="s">
        <v>80</v>
      </c>
      <c r="O510" s="18">
        <v>44328</v>
      </c>
      <c r="P510" s="8" t="s">
        <v>77</v>
      </c>
      <c r="Q510" s="8"/>
    </row>
    <row r="511" spans="1:17" x14ac:dyDescent="0.25">
      <c r="A511" s="1">
        <v>14</v>
      </c>
      <c r="C511" s="7" t="s">
        <v>430</v>
      </c>
      <c r="D511" s="17">
        <v>23409</v>
      </c>
      <c r="E511" s="7" t="s">
        <v>11</v>
      </c>
      <c r="F511" s="7" t="s">
        <v>434</v>
      </c>
      <c r="G511" s="7" t="s">
        <v>148</v>
      </c>
      <c r="H511" s="7" t="s">
        <v>35</v>
      </c>
      <c r="I511" s="8">
        <v>510960</v>
      </c>
      <c r="J511" s="7" t="s">
        <v>436</v>
      </c>
      <c r="K511" s="44">
        <v>8</v>
      </c>
      <c r="L511" s="44">
        <v>1</v>
      </c>
      <c r="M511" s="44">
        <v>11</v>
      </c>
      <c r="N511" s="8" t="s">
        <v>76</v>
      </c>
      <c r="O511" s="18">
        <v>44328</v>
      </c>
      <c r="P511" s="8" t="s">
        <v>77</v>
      </c>
      <c r="Q511" s="8"/>
    </row>
    <row r="512" spans="1:17" x14ac:dyDescent="0.25">
      <c r="A512" s="1">
        <v>15</v>
      </c>
      <c r="C512" s="7" t="s">
        <v>430</v>
      </c>
      <c r="D512" s="17">
        <v>21872</v>
      </c>
      <c r="E512" s="7" t="s">
        <v>11</v>
      </c>
      <c r="F512" s="7" t="s">
        <v>434</v>
      </c>
      <c r="G512" s="7" t="s">
        <v>89</v>
      </c>
      <c r="H512" s="7" t="s">
        <v>35</v>
      </c>
      <c r="I512" s="8">
        <v>536181</v>
      </c>
      <c r="J512" s="7" t="s">
        <v>431</v>
      </c>
      <c r="K512" s="44">
        <v>16</v>
      </c>
      <c r="L512" s="44">
        <v>4</v>
      </c>
      <c r="M512" s="44">
        <v>7</v>
      </c>
      <c r="N512" s="8" t="s">
        <v>425</v>
      </c>
      <c r="O512" s="18">
        <v>44329</v>
      </c>
      <c r="P512" s="8" t="s">
        <v>77</v>
      </c>
      <c r="Q512" s="8"/>
    </row>
    <row r="513" spans="1:17" x14ac:dyDescent="0.25">
      <c r="A513" s="1">
        <v>16</v>
      </c>
      <c r="C513" s="7" t="s">
        <v>430</v>
      </c>
      <c r="D513" s="17">
        <v>25520</v>
      </c>
      <c r="E513" s="7" t="s">
        <v>11</v>
      </c>
      <c r="F513" s="7" t="s">
        <v>74</v>
      </c>
      <c r="G513" s="7" t="s">
        <v>105</v>
      </c>
      <c r="H513" s="7" t="s">
        <v>35</v>
      </c>
      <c r="I513" s="8">
        <v>432705</v>
      </c>
      <c r="J513" s="7" t="s">
        <v>439</v>
      </c>
      <c r="K513" s="44">
        <v>16</v>
      </c>
      <c r="L513" s="44">
        <v>2</v>
      </c>
      <c r="M513" s="44">
        <v>15</v>
      </c>
      <c r="N513" s="8" t="s">
        <v>83</v>
      </c>
      <c r="O513" s="18">
        <v>44330</v>
      </c>
      <c r="P513" s="8" t="s">
        <v>77</v>
      </c>
      <c r="Q513" s="8"/>
    </row>
    <row r="514" spans="1:17" x14ac:dyDescent="0.25">
      <c r="A514" s="1">
        <v>17</v>
      </c>
      <c r="C514" s="7" t="s">
        <v>430</v>
      </c>
      <c r="D514" s="17">
        <v>23408</v>
      </c>
      <c r="E514" s="7" t="s">
        <v>11</v>
      </c>
      <c r="F514" s="7" t="s">
        <v>434</v>
      </c>
      <c r="G514" s="7" t="s">
        <v>148</v>
      </c>
      <c r="H514" s="7" t="s">
        <v>35</v>
      </c>
      <c r="I514" s="8">
        <v>510960</v>
      </c>
      <c r="J514" s="7" t="s">
        <v>436</v>
      </c>
      <c r="K514" s="44">
        <v>8</v>
      </c>
      <c r="L514" s="44">
        <v>1</v>
      </c>
      <c r="M514" s="44">
        <v>10</v>
      </c>
      <c r="N514" s="8" t="s">
        <v>380</v>
      </c>
      <c r="O514" s="18">
        <v>44330</v>
      </c>
      <c r="P514" s="8" t="s">
        <v>77</v>
      </c>
      <c r="Q514" s="8"/>
    </row>
    <row r="515" spans="1:17" x14ac:dyDescent="0.25">
      <c r="A515" s="1">
        <v>18</v>
      </c>
      <c r="C515" s="7" t="s">
        <v>430</v>
      </c>
      <c r="D515" s="17">
        <v>23407</v>
      </c>
      <c r="E515" s="7" t="s">
        <v>11</v>
      </c>
      <c r="F515" s="7" t="s">
        <v>434</v>
      </c>
      <c r="G515" s="7" t="s">
        <v>148</v>
      </c>
      <c r="H515" s="7" t="s">
        <v>35</v>
      </c>
      <c r="I515" s="8">
        <v>510960</v>
      </c>
      <c r="J515" s="7" t="s">
        <v>436</v>
      </c>
      <c r="K515" s="44">
        <v>8</v>
      </c>
      <c r="L515" s="44">
        <v>1</v>
      </c>
      <c r="M515" s="44">
        <v>10</v>
      </c>
      <c r="N515" s="8" t="s">
        <v>281</v>
      </c>
      <c r="O515" s="18">
        <v>44333</v>
      </c>
      <c r="P515" s="8" t="s">
        <v>77</v>
      </c>
      <c r="Q515" s="8"/>
    </row>
    <row r="516" spans="1:17" x14ac:dyDescent="0.25">
      <c r="A516" s="1">
        <v>19</v>
      </c>
      <c r="C516" s="7" t="s">
        <v>430</v>
      </c>
      <c r="D516" s="17">
        <v>23398</v>
      </c>
      <c r="E516" s="7" t="s">
        <v>11</v>
      </c>
      <c r="F516" s="7" t="s">
        <v>434</v>
      </c>
      <c r="G516" s="7" t="s">
        <v>148</v>
      </c>
      <c r="H516" s="7" t="s">
        <v>35</v>
      </c>
      <c r="I516" s="8">
        <v>510960</v>
      </c>
      <c r="J516" s="7" t="s">
        <v>436</v>
      </c>
      <c r="K516" s="44">
        <v>8</v>
      </c>
      <c r="L516" s="44">
        <v>1</v>
      </c>
      <c r="M516" s="44">
        <v>10</v>
      </c>
      <c r="N516" s="8" t="s">
        <v>86</v>
      </c>
      <c r="O516" s="18">
        <v>44334</v>
      </c>
      <c r="P516" s="8" t="s">
        <v>77</v>
      </c>
      <c r="Q516" s="8"/>
    </row>
    <row r="517" spans="1:17" x14ac:dyDescent="0.25">
      <c r="A517" s="1">
        <v>20</v>
      </c>
      <c r="C517" s="7" t="s">
        <v>430</v>
      </c>
      <c r="D517" s="17">
        <v>25416</v>
      </c>
      <c r="E517" s="7" t="s">
        <v>11</v>
      </c>
      <c r="F517" s="7" t="s">
        <v>74</v>
      </c>
      <c r="G517" s="7" t="s">
        <v>89</v>
      </c>
      <c r="H517" s="7" t="s">
        <v>35</v>
      </c>
      <c r="I517" s="8">
        <v>536181</v>
      </c>
      <c r="J517" s="7" t="s">
        <v>431</v>
      </c>
      <c r="K517" s="44">
        <v>16</v>
      </c>
      <c r="L517" s="44">
        <v>2</v>
      </c>
      <c r="M517" s="44">
        <v>15</v>
      </c>
      <c r="N517" s="8" t="s">
        <v>86</v>
      </c>
      <c r="O517" s="18">
        <v>44335</v>
      </c>
      <c r="P517" s="8" t="s">
        <v>77</v>
      </c>
      <c r="Q517" s="8"/>
    </row>
    <row r="518" spans="1:17" x14ac:dyDescent="0.25">
      <c r="A518" s="1">
        <v>21</v>
      </c>
      <c r="C518" s="7" t="s">
        <v>430</v>
      </c>
      <c r="D518" s="17">
        <v>23406</v>
      </c>
      <c r="E518" s="7" t="s">
        <v>11</v>
      </c>
      <c r="F518" s="7" t="s">
        <v>434</v>
      </c>
      <c r="G518" s="7" t="s">
        <v>148</v>
      </c>
      <c r="H518" s="7" t="s">
        <v>35</v>
      </c>
      <c r="I518" s="8">
        <v>510960</v>
      </c>
      <c r="J518" s="7" t="s">
        <v>436</v>
      </c>
      <c r="K518" s="44">
        <v>8</v>
      </c>
      <c r="L518" s="44">
        <v>1</v>
      </c>
      <c r="M518" s="44">
        <v>10</v>
      </c>
      <c r="N518" s="8" t="s">
        <v>87</v>
      </c>
      <c r="O518" s="18">
        <v>44335</v>
      </c>
      <c r="P518" s="8" t="s">
        <v>77</v>
      </c>
      <c r="Q518" s="8"/>
    </row>
    <row r="519" spans="1:17" x14ac:dyDescent="0.25">
      <c r="A519" s="1">
        <v>22</v>
      </c>
      <c r="C519" s="7" t="s">
        <v>430</v>
      </c>
      <c r="D519" s="17">
        <v>23397</v>
      </c>
      <c r="E519" s="7" t="s">
        <v>11</v>
      </c>
      <c r="F519" s="7" t="s">
        <v>434</v>
      </c>
      <c r="G519" s="7" t="s">
        <v>148</v>
      </c>
      <c r="H519" s="7" t="s">
        <v>35</v>
      </c>
      <c r="I519" s="8">
        <v>510960</v>
      </c>
      <c r="J519" s="7" t="s">
        <v>436</v>
      </c>
      <c r="K519" s="44">
        <v>8</v>
      </c>
      <c r="L519" s="44">
        <v>1</v>
      </c>
      <c r="M519" s="44">
        <v>10</v>
      </c>
      <c r="N519" s="8" t="s">
        <v>284</v>
      </c>
      <c r="O519" s="18">
        <v>44336</v>
      </c>
      <c r="P519" s="8" t="s">
        <v>77</v>
      </c>
      <c r="Q519" s="8"/>
    </row>
    <row r="520" spans="1:17" x14ac:dyDescent="0.25">
      <c r="A520" s="1">
        <v>23</v>
      </c>
      <c r="C520" s="7" t="s">
        <v>430</v>
      </c>
      <c r="D520" s="17">
        <v>25411</v>
      </c>
      <c r="E520" s="7" t="s">
        <v>11</v>
      </c>
      <c r="F520" s="7" t="s">
        <v>74</v>
      </c>
      <c r="G520" s="7" t="s">
        <v>89</v>
      </c>
      <c r="H520" s="7" t="s">
        <v>35</v>
      </c>
      <c r="I520" s="8">
        <v>536181</v>
      </c>
      <c r="J520" s="7" t="s">
        <v>431</v>
      </c>
      <c r="K520" s="44">
        <v>16</v>
      </c>
      <c r="L520" s="44">
        <v>2</v>
      </c>
      <c r="M520" s="44">
        <v>15</v>
      </c>
      <c r="N520" s="8" t="s">
        <v>284</v>
      </c>
      <c r="O520" s="18">
        <v>44337</v>
      </c>
      <c r="P520" s="8" t="s">
        <v>77</v>
      </c>
      <c r="Q520" s="8"/>
    </row>
    <row r="521" spans="1:17" x14ac:dyDescent="0.25">
      <c r="A521" s="1">
        <v>24</v>
      </c>
      <c r="C521" s="7" t="s">
        <v>430</v>
      </c>
      <c r="D521" s="17">
        <v>23405</v>
      </c>
      <c r="E521" s="7" t="s">
        <v>11</v>
      </c>
      <c r="F521" s="7" t="s">
        <v>434</v>
      </c>
      <c r="G521" s="7" t="s">
        <v>148</v>
      </c>
      <c r="H521" s="7" t="s">
        <v>35</v>
      </c>
      <c r="I521" s="8">
        <v>510960</v>
      </c>
      <c r="J521" s="7" t="s">
        <v>436</v>
      </c>
      <c r="K521" s="44">
        <v>8</v>
      </c>
      <c r="L521" s="44">
        <v>1</v>
      </c>
      <c r="M521" s="44">
        <v>10</v>
      </c>
      <c r="N521" s="8" t="s">
        <v>90</v>
      </c>
      <c r="O521" s="18">
        <v>44337</v>
      </c>
      <c r="P521" s="8" t="s">
        <v>77</v>
      </c>
      <c r="Q521" s="8"/>
    </row>
    <row r="522" spans="1:17" x14ac:dyDescent="0.25">
      <c r="A522" s="1">
        <v>25</v>
      </c>
      <c r="C522" s="7" t="s">
        <v>430</v>
      </c>
      <c r="D522" s="17">
        <v>23404</v>
      </c>
      <c r="E522" s="7" t="s">
        <v>11</v>
      </c>
      <c r="F522" s="7" t="s">
        <v>434</v>
      </c>
      <c r="G522" s="7" t="s">
        <v>148</v>
      </c>
      <c r="H522" s="7" t="s">
        <v>35</v>
      </c>
      <c r="I522" s="8">
        <v>510960</v>
      </c>
      <c r="J522" s="7" t="s">
        <v>436</v>
      </c>
      <c r="K522" s="44">
        <v>8</v>
      </c>
      <c r="L522" s="44">
        <v>1</v>
      </c>
      <c r="M522" s="44">
        <v>10</v>
      </c>
      <c r="N522" s="8" t="s">
        <v>91</v>
      </c>
      <c r="O522" s="18">
        <v>44340</v>
      </c>
      <c r="P522" s="8" t="s">
        <v>77</v>
      </c>
      <c r="Q522" s="8"/>
    </row>
    <row r="523" spans="1:17" x14ac:dyDescent="0.25">
      <c r="A523" s="1">
        <v>26</v>
      </c>
      <c r="C523" s="7" t="s">
        <v>430</v>
      </c>
      <c r="D523" s="17">
        <v>23396</v>
      </c>
      <c r="E523" s="7" t="s">
        <v>11</v>
      </c>
      <c r="F523" s="7" t="s">
        <v>434</v>
      </c>
      <c r="G523" s="7" t="s">
        <v>148</v>
      </c>
      <c r="H523" s="7" t="s">
        <v>35</v>
      </c>
      <c r="I523" s="8">
        <v>510960</v>
      </c>
      <c r="J523" s="7" t="s">
        <v>436</v>
      </c>
      <c r="K523" s="44">
        <v>8</v>
      </c>
      <c r="L523" s="44">
        <v>1</v>
      </c>
      <c r="M523" s="44">
        <v>10</v>
      </c>
      <c r="N523" s="8" t="s">
        <v>426</v>
      </c>
      <c r="O523" s="18">
        <v>44341</v>
      </c>
      <c r="P523" s="8" t="s">
        <v>77</v>
      </c>
      <c r="Q523" s="8"/>
    </row>
    <row r="524" spans="1:17" x14ac:dyDescent="0.25">
      <c r="A524" s="1">
        <v>27</v>
      </c>
      <c r="C524" s="7" t="s">
        <v>430</v>
      </c>
      <c r="D524" s="17">
        <v>23403</v>
      </c>
      <c r="E524" s="7" t="s">
        <v>11</v>
      </c>
      <c r="F524" s="7" t="s">
        <v>434</v>
      </c>
      <c r="G524" s="7" t="s">
        <v>148</v>
      </c>
      <c r="H524" s="7" t="s">
        <v>35</v>
      </c>
      <c r="I524" s="8">
        <v>510960</v>
      </c>
      <c r="J524" s="7" t="s">
        <v>436</v>
      </c>
      <c r="K524" s="44">
        <v>8</v>
      </c>
      <c r="L524" s="44">
        <v>1</v>
      </c>
      <c r="M524" s="44">
        <v>10</v>
      </c>
      <c r="N524" s="8" t="s">
        <v>93</v>
      </c>
      <c r="O524" s="18">
        <v>44342</v>
      </c>
      <c r="P524" s="8" t="s">
        <v>77</v>
      </c>
      <c r="Q524" s="8"/>
    </row>
    <row r="525" spans="1:17" x14ac:dyDescent="0.25">
      <c r="A525" s="1">
        <v>28</v>
      </c>
      <c r="C525" s="7" t="s">
        <v>430</v>
      </c>
      <c r="D525" s="17">
        <v>23395</v>
      </c>
      <c r="E525" s="7" t="s">
        <v>11</v>
      </c>
      <c r="F525" s="7" t="s">
        <v>434</v>
      </c>
      <c r="G525" s="7" t="s">
        <v>148</v>
      </c>
      <c r="H525" s="7" t="s">
        <v>35</v>
      </c>
      <c r="I525" s="8">
        <v>510960</v>
      </c>
      <c r="J525" s="7" t="s">
        <v>436</v>
      </c>
      <c r="K525" s="44">
        <v>8</v>
      </c>
      <c r="L525" s="44">
        <v>1</v>
      </c>
      <c r="M525" s="44">
        <v>10</v>
      </c>
      <c r="N525" s="8" t="s">
        <v>97</v>
      </c>
      <c r="O525" s="18">
        <v>44343</v>
      </c>
      <c r="P525" s="8" t="s">
        <v>77</v>
      </c>
      <c r="Q525" s="8"/>
    </row>
    <row r="526" spans="1:17" x14ac:dyDescent="0.25">
      <c r="A526" s="1">
        <v>30</v>
      </c>
      <c r="C526" s="7" t="s">
        <v>430</v>
      </c>
      <c r="D526" s="17">
        <v>23402</v>
      </c>
      <c r="E526" s="7" t="s">
        <v>11</v>
      </c>
      <c r="F526" s="7" t="s">
        <v>434</v>
      </c>
      <c r="G526" s="7" t="s">
        <v>148</v>
      </c>
      <c r="H526" s="7" t="s">
        <v>35</v>
      </c>
      <c r="I526" s="8">
        <v>510960</v>
      </c>
      <c r="J526" s="7" t="s">
        <v>436</v>
      </c>
      <c r="K526" s="44">
        <v>8</v>
      </c>
      <c r="L526" s="44">
        <v>1</v>
      </c>
      <c r="M526" s="44">
        <v>10</v>
      </c>
      <c r="N526" s="8" t="s">
        <v>428</v>
      </c>
      <c r="O526" s="18">
        <v>44344</v>
      </c>
      <c r="P526" s="8" t="s">
        <v>77</v>
      </c>
      <c r="Q526" s="8"/>
    </row>
    <row r="527" spans="1:17" x14ac:dyDescent="0.25">
      <c r="A527" s="1">
        <v>31</v>
      </c>
      <c r="C527" s="7" t="s">
        <v>430</v>
      </c>
      <c r="D527" s="17">
        <v>23401</v>
      </c>
      <c r="E527" s="7" t="s">
        <v>11</v>
      </c>
      <c r="F527" s="7" t="s">
        <v>434</v>
      </c>
      <c r="G527" s="7" t="s">
        <v>148</v>
      </c>
      <c r="H527" s="7" t="s">
        <v>35</v>
      </c>
      <c r="I527" s="8">
        <v>510960</v>
      </c>
      <c r="J527" s="7" t="s">
        <v>436</v>
      </c>
      <c r="K527" s="44">
        <v>8</v>
      </c>
      <c r="L527" s="44">
        <v>1</v>
      </c>
      <c r="M527" s="44">
        <v>10</v>
      </c>
      <c r="N527" s="8" t="s">
        <v>350</v>
      </c>
      <c r="O527" s="18">
        <v>44347</v>
      </c>
      <c r="P527" s="8" t="s">
        <v>77</v>
      </c>
      <c r="Q527" s="8"/>
    </row>
    <row r="528" spans="1:17" x14ac:dyDescent="0.25">
      <c r="A528" s="1">
        <v>32</v>
      </c>
      <c r="C528" s="7" t="s">
        <v>430</v>
      </c>
      <c r="D528" s="17">
        <v>23394</v>
      </c>
      <c r="E528" s="7" t="s">
        <v>11</v>
      </c>
      <c r="F528" s="7" t="s">
        <v>434</v>
      </c>
      <c r="G528" s="7" t="s">
        <v>148</v>
      </c>
      <c r="H528" s="7" t="s">
        <v>35</v>
      </c>
      <c r="I528" s="8">
        <v>510960</v>
      </c>
      <c r="J528" s="7" t="s">
        <v>436</v>
      </c>
      <c r="K528" s="44">
        <v>8</v>
      </c>
      <c r="L528" s="44">
        <v>1</v>
      </c>
      <c r="M528" s="44">
        <v>10</v>
      </c>
      <c r="N528" s="8" t="s">
        <v>99</v>
      </c>
      <c r="O528" s="8" t="s">
        <v>99</v>
      </c>
      <c r="P528" s="8" t="s">
        <v>100</v>
      </c>
      <c r="Q528" s="8"/>
    </row>
    <row r="529" spans="1:17" x14ac:dyDescent="0.25">
      <c r="A529" s="1">
        <v>33</v>
      </c>
      <c r="C529" s="7" t="s">
        <v>430</v>
      </c>
      <c r="D529" s="17">
        <v>23400</v>
      </c>
      <c r="E529" s="7" t="s">
        <v>11</v>
      </c>
      <c r="F529" s="7" t="s">
        <v>434</v>
      </c>
      <c r="G529" s="7" t="s">
        <v>148</v>
      </c>
      <c r="H529" s="7" t="s">
        <v>35</v>
      </c>
      <c r="I529" s="8">
        <v>510960</v>
      </c>
      <c r="J529" s="7" t="s">
        <v>436</v>
      </c>
      <c r="K529" s="44">
        <v>8</v>
      </c>
      <c r="L529" s="44">
        <v>1</v>
      </c>
      <c r="M529" s="44">
        <v>10</v>
      </c>
      <c r="N529" s="8" t="s">
        <v>101</v>
      </c>
      <c r="O529" s="8" t="s">
        <v>101</v>
      </c>
      <c r="P529" s="8" t="s">
        <v>100</v>
      </c>
      <c r="Q529" s="8"/>
    </row>
    <row r="530" spans="1:17" x14ac:dyDescent="0.25">
      <c r="A530" s="1">
        <v>36</v>
      </c>
      <c r="C530" s="7" t="s">
        <v>430</v>
      </c>
      <c r="D530" s="17">
        <v>23399</v>
      </c>
      <c r="E530" s="7" t="s">
        <v>11</v>
      </c>
      <c r="F530" s="7" t="s">
        <v>434</v>
      </c>
      <c r="G530" s="7" t="s">
        <v>148</v>
      </c>
      <c r="H530" s="7" t="s">
        <v>35</v>
      </c>
      <c r="I530" s="8">
        <v>510960</v>
      </c>
      <c r="J530" s="7" t="s">
        <v>436</v>
      </c>
      <c r="K530" s="44">
        <v>8</v>
      </c>
      <c r="L530" s="44">
        <v>1</v>
      </c>
      <c r="M530" s="44">
        <v>10</v>
      </c>
      <c r="N530" s="8" t="s">
        <v>290</v>
      </c>
      <c r="O530" s="8" t="s">
        <v>290</v>
      </c>
      <c r="P530" s="8" t="s">
        <v>100</v>
      </c>
      <c r="Q530" s="8"/>
    </row>
    <row r="531" spans="1:17" x14ac:dyDescent="0.25">
      <c r="A531" s="1">
        <v>37</v>
      </c>
      <c r="C531" s="7" t="s">
        <v>430</v>
      </c>
      <c r="D531" s="17">
        <v>23392</v>
      </c>
      <c r="E531" s="7" t="s">
        <v>11</v>
      </c>
      <c r="F531" s="7" t="s">
        <v>434</v>
      </c>
      <c r="G531" s="7" t="s">
        <v>148</v>
      </c>
      <c r="H531" s="7" t="s">
        <v>35</v>
      </c>
      <c r="I531" s="8">
        <v>510960</v>
      </c>
      <c r="J531" s="7" t="s">
        <v>436</v>
      </c>
      <c r="K531" s="44">
        <v>8</v>
      </c>
      <c r="L531" s="44">
        <v>1</v>
      </c>
      <c r="M531" s="44">
        <v>10</v>
      </c>
      <c r="N531" s="8" t="s">
        <v>295</v>
      </c>
      <c r="O531" s="8" t="s">
        <v>295</v>
      </c>
      <c r="P531" s="8" t="s">
        <v>100</v>
      </c>
      <c r="Q531" s="8"/>
    </row>
    <row r="532" spans="1:17" x14ac:dyDescent="0.25">
      <c r="A532" s="1">
        <v>38</v>
      </c>
      <c r="C532" s="7" t="s">
        <v>430</v>
      </c>
      <c r="D532" s="17">
        <v>23391</v>
      </c>
      <c r="E532" s="7" t="s">
        <v>11</v>
      </c>
      <c r="F532" s="7" t="s">
        <v>434</v>
      </c>
      <c r="G532" s="7" t="s">
        <v>148</v>
      </c>
      <c r="H532" s="7" t="s">
        <v>35</v>
      </c>
      <c r="I532" s="8">
        <v>510960</v>
      </c>
      <c r="J532" s="7" t="s">
        <v>436</v>
      </c>
      <c r="K532" s="44">
        <v>8</v>
      </c>
      <c r="L532" s="44">
        <v>1</v>
      </c>
      <c r="M532" s="44">
        <v>10</v>
      </c>
      <c r="N532" s="8" t="s">
        <v>102</v>
      </c>
      <c r="O532" s="8" t="s">
        <v>102</v>
      </c>
      <c r="P532" s="8" t="s">
        <v>100</v>
      </c>
      <c r="Q532" s="8"/>
    </row>
    <row r="533" spans="1:17" x14ac:dyDescent="0.25">
      <c r="A533" s="1">
        <v>39</v>
      </c>
      <c r="C533" s="7" t="s">
        <v>430</v>
      </c>
      <c r="D533" s="17">
        <v>23390</v>
      </c>
      <c r="E533" s="7" t="s">
        <v>11</v>
      </c>
      <c r="F533" s="7" t="s">
        <v>434</v>
      </c>
      <c r="G533" s="7" t="s">
        <v>148</v>
      </c>
      <c r="H533" s="7" t="s">
        <v>35</v>
      </c>
      <c r="I533" s="8">
        <v>510960</v>
      </c>
      <c r="J533" s="7" t="s">
        <v>436</v>
      </c>
      <c r="K533" s="44">
        <v>8</v>
      </c>
      <c r="L533" s="44">
        <v>1</v>
      </c>
      <c r="M533" s="44">
        <v>10</v>
      </c>
      <c r="N533" s="8" t="s">
        <v>103</v>
      </c>
      <c r="O533" s="8" t="s">
        <v>103</v>
      </c>
      <c r="P533" s="8" t="s">
        <v>100</v>
      </c>
      <c r="Q533" s="8"/>
    </row>
    <row r="534" spans="1:17" x14ac:dyDescent="0.25">
      <c r="A534" s="1">
        <v>41</v>
      </c>
      <c r="C534" s="7" t="s">
        <v>430</v>
      </c>
      <c r="D534" s="17">
        <v>23388</v>
      </c>
      <c r="E534" s="7" t="s">
        <v>11</v>
      </c>
      <c r="F534" s="7" t="s">
        <v>434</v>
      </c>
      <c r="G534" s="7" t="s">
        <v>148</v>
      </c>
      <c r="H534" s="7" t="s">
        <v>35</v>
      </c>
      <c r="I534" s="8">
        <v>510960</v>
      </c>
      <c r="J534" s="7" t="s">
        <v>436</v>
      </c>
      <c r="K534" s="44">
        <v>8</v>
      </c>
      <c r="L534" s="44">
        <v>1</v>
      </c>
      <c r="M534" s="44">
        <v>10</v>
      </c>
      <c r="N534" s="8" t="s">
        <v>298</v>
      </c>
      <c r="O534" s="8" t="s">
        <v>298</v>
      </c>
      <c r="P534" s="8" t="s">
        <v>100</v>
      </c>
      <c r="Q534" s="8"/>
    </row>
    <row r="535" spans="1:17" x14ac:dyDescent="0.25">
      <c r="A535" s="1">
        <v>43</v>
      </c>
      <c r="C535" s="7" t="s">
        <v>430</v>
      </c>
      <c r="D535" s="17">
        <v>23387</v>
      </c>
      <c r="E535" s="7" t="s">
        <v>11</v>
      </c>
      <c r="F535" s="7" t="s">
        <v>434</v>
      </c>
      <c r="G535" s="7" t="s">
        <v>148</v>
      </c>
      <c r="H535" s="7" t="s">
        <v>35</v>
      </c>
      <c r="I535" s="8">
        <v>510960</v>
      </c>
      <c r="J535" s="7" t="s">
        <v>436</v>
      </c>
      <c r="K535" s="44">
        <v>8</v>
      </c>
      <c r="L535" s="44">
        <v>1</v>
      </c>
      <c r="M535" s="44">
        <v>10</v>
      </c>
      <c r="N535" s="8" t="s">
        <v>299</v>
      </c>
      <c r="O535" s="8" t="s">
        <v>299</v>
      </c>
      <c r="P535" s="8" t="s">
        <v>100</v>
      </c>
      <c r="Q535" s="8"/>
    </row>
    <row r="536" spans="1:17" x14ac:dyDescent="0.25">
      <c r="A536" s="1">
        <v>44</v>
      </c>
      <c r="C536" s="7" t="s">
        <v>430</v>
      </c>
      <c r="D536" s="17">
        <v>23386</v>
      </c>
      <c r="E536" s="7" t="s">
        <v>11</v>
      </c>
      <c r="F536" s="7" t="s">
        <v>434</v>
      </c>
      <c r="G536" s="7" t="s">
        <v>148</v>
      </c>
      <c r="H536" s="7" t="s">
        <v>35</v>
      </c>
      <c r="I536" s="8">
        <v>510960</v>
      </c>
      <c r="J536" s="7" t="s">
        <v>436</v>
      </c>
      <c r="K536" s="44">
        <v>8</v>
      </c>
      <c r="L536" s="44">
        <v>1</v>
      </c>
      <c r="M536" s="44">
        <v>10</v>
      </c>
      <c r="N536" s="8" t="s">
        <v>300</v>
      </c>
      <c r="O536" s="8" t="s">
        <v>300</v>
      </c>
      <c r="P536" s="8" t="s">
        <v>100</v>
      </c>
      <c r="Q536" s="8"/>
    </row>
    <row r="537" spans="1:17" x14ac:dyDescent="0.25">
      <c r="A537" s="1">
        <v>46</v>
      </c>
      <c r="C537" s="7" t="s">
        <v>430</v>
      </c>
      <c r="D537" s="17">
        <v>23384</v>
      </c>
      <c r="E537" s="7" t="s">
        <v>11</v>
      </c>
      <c r="F537" s="7" t="s">
        <v>434</v>
      </c>
      <c r="G537" s="7" t="s">
        <v>148</v>
      </c>
      <c r="H537" s="7" t="s">
        <v>35</v>
      </c>
      <c r="I537" s="8">
        <v>510960</v>
      </c>
      <c r="J537" s="7" t="s">
        <v>436</v>
      </c>
      <c r="K537" s="44">
        <v>8</v>
      </c>
      <c r="L537" s="44">
        <v>1</v>
      </c>
      <c r="M537" s="44">
        <v>10</v>
      </c>
      <c r="N537" s="8" t="s">
        <v>106</v>
      </c>
      <c r="O537" s="8" t="s">
        <v>106</v>
      </c>
      <c r="P537" s="8" t="s">
        <v>100</v>
      </c>
      <c r="Q537" s="8"/>
    </row>
    <row r="538" spans="1:17" x14ac:dyDescent="0.25">
      <c r="A538" s="1">
        <v>47</v>
      </c>
      <c r="C538" s="7" t="s">
        <v>430</v>
      </c>
      <c r="D538" s="17">
        <v>23383</v>
      </c>
      <c r="E538" s="7" t="s">
        <v>11</v>
      </c>
      <c r="F538" s="7" t="s">
        <v>434</v>
      </c>
      <c r="G538" s="7" t="s">
        <v>148</v>
      </c>
      <c r="H538" s="7" t="s">
        <v>35</v>
      </c>
      <c r="I538" s="8">
        <v>510960</v>
      </c>
      <c r="J538" s="7" t="s">
        <v>436</v>
      </c>
      <c r="K538" s="44">
        <v>8</v>
      </c>
      <c r="L538" s="44">
        <v>1</v>
      </c>
      <c r="M538" s="44">
        <v>10</v>
      </c>
      <c r="N538" s="8" t="s">
        <v>303</v>
      </c>
      <c r="O538" s="8" t="s">
        <v>303</v>
      </c>
      <c r="P538" s="8" t="s">
        <v>100</v>
      </c>
      <c r="Q538" s="8"/>
    </row>
    <row r="539" spans="1:17" x14ac:dyDescent="0.25">
      <c r="A539" s="1">
        <v>48</v>
      </c>
      <c r="C539" s="7" t="s">
        <v>430</v>
      </c>
      <c r="D539" s="17">
        <v>23382</v>
      </c>
      <c r="E539" s="7" t="s">
        <v>11</v>
      </c>
      <c r="F539" s="7" t="s">
        <v>434</v>
      </c>
      <c r="G539" s="7" t="s">
        <v>148</v>
      </c>
      <c r="H539" s="7" t="s">
        <v>35</v>
      </c>
      <c r="I539" s="8">
        <v>510960</v>
      </c>
      <c r="J539" s="7" t="s">
        <v>436</v>
      </c>
      <c r="K539" s="44">
        <v>8</v>
      </c>
      <c r="L539" s="44">
        <v>1</v>
      </c>
      <c r="M539" s="44">
        <v>10</v>
      </c>
      <c r="N539" s="8" t="s">
        <v>108</v>
      </c>
      <c r="O539" s="8" t="s">
        <v>108</v>
      </c>
      <c r="P539" s="8" t="s">
        <v>100</v>
      </c>
      <c r="Q539" s="8"/>
    </row>
    <row r="540" spans="1:17" x14ac:dyDescent="0.25">
      <c r="A540" s="1">
        <v>90</v>
      </c>
      <c r="C540" s="7" t="s">
        <v>430</v>
      </c>
      <c r="D540" s="17">
        <v>25391</v>
      </c>
      <c r="E540" s="7" t="s">
        <v>11</v>
      </c>
      <c r="F540" s="7" t="s">
        <v>74</v>
      </c>
      <c r="G540" s="7" t="s">
        <v>127</v>
      </c>
      <c r="H540" s="7" t="s">
        <v>35</v>
      </c>
      <c r="I540" s="8">
        <v>560514</v>
      </c>
      <c r="J540" s="7" t="s">
        <v>440</v>
      </c>
      <c r="K540" s="44">
        <v>16</v>
      </c>
      <c r="L540" s="44">
        <v>2</v>
      </c>
      <c r="M540" s="44">
        <v>15</v>
      </c>
      <c r="N540" s="8" t="s">
        <v>180</v>
      </c>
      <c r="O540" s="8" t="s">
        <v>182</v>
      </c>
      <c r="P540" s="8" t="s">
        <v>173</v>
      </c>
      <c r="Q540" s="8"/>
    </row>
    <row r="541" spans="1:17" x14ac:dyDescent="0.25">
      <c r="A541" s="1">
        <v>109</v>
      </c>
      <c r="C541" s="7" t="s">
        <v>430</v>
      </c>
      <c r="D541" s="17">
        <v>21889</v>
      </c>
      <c r="E541" s="7" t="s">
        <v>11</v>
      </c>
      <c r="F541" s="7" t="s">
        <v>434</v>
      </c>
      <c r="G541" s="7" t="s">
        <v>40</v>
      </c>
      <c r="H541" s="7" t="s">
        <v>35</v>
      </c>
      <c r="I541" s="8">
        <v>510960</v>
      </c>
      <c r="J541" s="7" t="s">
        <v>436</v>
      </c>
      <c r="K541" s="44">
        <v>24</v>
      </c>
      <c r="L541" s="44">
        <v>3</v>
      </c>
      <c r="M541" s="44">
        <v>20</v>
      </c>
      <c r="N541" s="8" t="s">
        <v>441</v>
      </c>
      <c r="O541" s="8" t="s">
        <v>255</v>
      </c>
      <c r="P541" s="8" t="s">
        <v>249</v>
      </c>
      <c r="Q541" s="8"/>
    </row>
    <row r="542" spans="1:17" x14ac:dyDescent="0.25">
      <c r="A542" s="1">
        <v>40</v>
      </c>
      <c r="C542" s="7" t="s">
        <v>430</v>
      </c>
      <c r="D542" s="17">
        <v>23389</v>
      </c>
      <c r="E542" s="7" t="s">
        <v>11</v>
      </c>
      <c r="F542" s="7" t="s">
        <v>434</v>
      </c>
      <c r="G542" s="7" t="s">
        <v>148</v>
      </c>
      <c r="H542" s="7" t="s">
        <v>35</v>
      </c>
      <c r="I542" s="8">
        <v>510960</v>
      </c>
      <c r="J542" s="7" t="s">
        <v>436</v>
      </c>
      <c r="K542" s="44">
        <v>8</v>
      </c>
      <c r="L542" s="44">
        <v>1</v>
      </c>
      <c r="M542" s="44">
        <v>10</v>
      </c>
      <c r="N542" s="8" t="s">
        <v>104</v>
      </c>
      <c r="O542" s="8" t="s">
        <v>104</v>
      </c>
      <c r="P542" s="8" t="s">
        <v>100</v>
      </c>
      <c r="Q542" s="8"/>
    </row>
    <row r="543" spans="1:17" x14ac:dyDescent="0.25">
      <c r="A543" s="130">
        <v>10</v>
      </c>
      <c r="B543" s="131"/>
      <c r="C543" s="132" t="s">
        <v>430</v>
      </c>
      <c r="D543" s="133">
        <v>23579</v>
      </c>
      <c r="E543" s="132" t="s">
        <v>11</v>
      </c>
      <c r="F543" s="132" t="s">
        <v>434</v>
      </c>
      <c r="G543" s="132" t="s">
        <v>68</v>
      </c>
      <c r="H543" s="132" t="s">
        <v>35</v>
      </c>
      <c r="I543" s="134">
        <v>510960</v>
      </c>
      <c r="J543" s="132" t="s">
        <v>436</v>
      </c>
      <c r="K543" s="135">
        <v>24</v>
      </c>
      <c r="L543" s="135">
        <v>3</v>
      </c>
      <c r="M543" s="135">
        <v>8</v>
      </c>
      <c r="N543" s="134" t="s">
        <v>272</v>
      </c>
      <c r="O543" s="136">
        <v>44322</v>
      </c>
      <c r="P543" s="134" t="s">
        <v>77</v>
      </c>
      <c r="Q543" s="8"/>
    </row>
    <row r="544" spans="1:17" x14ac:dyDescent="0.25">
      <c r="A544" s="1">
        <v>12</v>
      </c>
      <c r="C544" s="7" t="s">
        <v>430</v>
      </c>
      <c r="D544" s="17">
        <v>23410</v>
      </c>
      <c r="E544" s="7" t="s">
        <v>11</v>
      </c>
      <c r="F544" s="7" t="s">
        <v>434</v>
      </c>
      <c r="G544" s="7" t="s">
        <v>148</v>
      </c>
      <c r="H544" s="7" t="s">
        <v>35</v>
      </c>
      <c r="I544" s="8">
        <v>510960</v>
      </c>
      <c r="J544" s="7" t="s">
        <v>436</v>
      </c>
      <c r="K544" s="44">
        <v>8</v>
      </c>
      <c r="L544" s="44">
        <v>1</v>
      </c>
      <c r="M544" s="44">
        <v>11</v>
      </c>
      <c r="N544" s="8" t="s">
        <v>425</v>
      </c>
      <c r="O544" s="18">
        <v>44326</v>
      </c>
      <c r="P544" s="8" t="s">
        <v>77</v>
      </c>
      <c r="Q544" s="8"/>
    </row>
    <row r="545" spans="1:17" x14ac:dyDescent="0.25">
      <c r="A545" s="1">
        <v>29</v>
      </c>
      <c r="C545" s="7" t="s">
        <v>430</v>
      </c>
      <c r="D545" s="17">
        <v>25410</v>
      </c>
      <c r="E545" s="7" t="s">
        <v>11</v>
      </c>
      <c r="F545" s="7" t="s">
        <v>74</v>
      </c>
      <c r="G545" s="7" t="s">
        <v>89</v>
      </c>
      <c r="H545" s="7" t="s">
        <v>35</v>
      </c>
      <c r="I545" s="8">
        <v>536181</v>
      </c>
      <c r="J545" s="7" t="s">
        <v>431</v>
      </c>
      <c r="K545" s="44">
        <v>16</v>
      </c>
      <c r="L545" s="44">
        <v>2</v>
      </c>
      <c r="M545" s="44">
        <v>15</v>
      </c>
      <c r="N545" s="8" t="s">
        <v>97</v>
      </c>
      <c r="O545" s="18">
        <v>44344</v>
      </c>
      <c r="P545" s="8" t="s">
        <v>77</v>
      </c>
      <c r="Q545" s="8"/>
    </row>
    <row r="546" spans="1:17" x14ac:dyDescent="0.25">
      <c r="A546" s="1">
        <v>34</v>
      </c>
      <c r="C546" s="7" t="s">
        <v>430</v>
      </c>
      <c r="D546" s="17">
        <v>23393</v>
      </c>
      <c r="E546" s="7" t="s">
        <v>11</v>
      </c>
      <c r="F546" s="7" t="s">
        <v>434</v>
      </c>
      <c r="G546" s="7" t="s">
        <v>148</v>
      </c>
      <c r="H546" s="7" t="s">
        <v>35</v>
      </c>
      <c r="I546" s="8">
        <v>510960</v>
      </c>
      <c r="J546" s="7" t="s">
        <v>436</v>
      </c>
      <c r="K546" s="44">
        <v>8</v>
      </c>
      <c r="L546" s="44">
        <v>1</v>
      </c>
      <c r="M546" s="44">
        <v>10</v>
      </c>
      <c r="N546" s="8" t="s">
        <v>289</v>
      </c>
      <c r="O546" s="8" t="s">
        <v>289</v>
      </c>
      <c r="P546" s="8" t="s">
        <v>100</v>
      </c>
      <c r="Q546" s="8"/>
    </row>
    <row r="547" spans="1:17" x14ac:dyDescent="0.25">
      <c r="A547" s="1">
        <v>35</v>
      </c>
      <c r="C547" s="7" t="s">
        <v>430</v>
      </c>
      <c r="D547" s="17">
        <v>25408</v>
      </c>
      <c r="E547" s="7" t="s">
        <v>11</v>
      </c>
      <c r="F547" s="7" t="s">
        <v>74</v>
      </c>
      <c r="G547" s="7" t="s">
        <v>89</v>
      </c>
      <c r="H547" s="7" t="s">
        <v>35</v>
      </c>
      <c r="I547" s="8">
        <v>536181</v>
      </c>
      <c r="J547" s="7" t="s">
        <v>431</v>
      </c>
      <c r="K547" s="44">
        <v>16</v>
      </c>
      <c r="L547" s="44">
        <v>2</v>
      </c>
      <c r="M547" s="44">
        <v>15</v>
      </c>
      <c r="N547" s="8" t="s">
        <v>289</v>
      </c>
      <c r="O547" s="8" t="s">
        <v>290</v>
      </c>
      <c r="P547" s="8" t="s">
        <v>100</v>
      </c>
      <c r="Q547" s="8"/>
    </row>
    <row r="548" spans="1:17" x14ac:dyDescent="0.25">
      <c r="A548" s="1">
        <v>42</v>
      </c>
      <c r="C548" s="7" t="s">
        <v>430</v>
      </c>
      <c r="D548" s="17">
        <v>21765</v>
      </c>
      <c r="E548" s="7" t="s">
        <v>12</v>
      </c>
      <c r="F548" s="7" t="s">
        <v>442</v>
      </c>
      <c r="G548" s="7" t="s">
        <v>68</v>
      </c>
      <c r="H548" s="7" t="s">
        <v>35</v>
      </c>
      <c r="I548" s="8">
        <v>213374</v>
      </c>
      <c r="J548" s="7" t="s">
        <v>443</v>
      </c>
      <c r="K548" s="44">
        <v>24</v>
      </c>
      <c r="L548" s="44">
        <v>3</v>
      </c>
      <c r="M548" s="44">
        <v>5</v>
      </c>
      <c r="N548" s="8" t="s">
        <v>103</v>
      </c>
      <c r="O548" s="8" t="s">
        <v>298</v>
      </c>
      <c r="P548" s="8" t="s">
        <v>100</v>
      </c>
      <c r="Q548" s="8"/>
    </row>
    <row r="549" spans="1:17" x14ac:dyDescent="0.25">
      <c r="A549" s="1">
        <v>45</v>
      </c>
      <c r="C549" s="7" t="s">
        <v>430</v>
      </c>
      <c r="D549" s="17">
        <v>23385</v>
      </c>
      <c r="E549" s="7" t="s">
        <v>11</v>
      </c>
      <c r="F549" s="7" t="s">
        <v>434</v>
      </c>
      <c r="G549" s="7" t="s">
        <v>148</v>
      </c>
      <c r="H549" s="7" t="s">
        <v>35</v>
      </c>
      <c r="I549" s="8">
        <v>510960</v>
      </c>
      <c r="J549" s="7" t="s">
        <v>436</v>
      </c>
      <c r="K549" s="44">
        <v>8</v>
      </c>
      <c r="L549" s="44">
        <v>1</v>
      </c>
      <c r="M549" s="44">
        <v>10</v>
      </c>
      <c r="N549" s="8" t="s">
        <v>107</v>
      </c>
      <c r="O549" s="8" t="s">
        <v>107</v>
      </c>
      <c r="P549" s="8" t="s">
        <v>100</v>
      </c>
      <c r="Q549" s="8"/>
    </row>
    <row r="550" spans="1:17" x14ac:dyDescent="0.25">
      <c r="A550" s="1">
        <v>49</v>
      </c>
      <c r="C550" s="7" t="s">
        <v>430</v>
      </c>
      <c r="D550" s="17">
        <v>25430</v>
      </c>
      <c r="E550" s="7" t="s">
        <v>11</v>
      </c>
      <c r="F550" s="7" t="s">
        <v>74</v>
      </c>
      <c r="G550" s="7" t="s">
        <v>294</v>
      </c>
      <c r="H550" s="7" t="s">
        <v>35</v>
      </c>
      <c r="I550" s="8">
        <v>510960</v>
      </c>
      <c r="J550" s="7" t="s">
        <v>436</v>
      </c>
      <c r="K550" s="44">
        <v>8</v>
      </c>
      <c r="L550" s="44">
        <v>1</v>
      </c>
      <c r="M550" s="44">
        <v>15</v>
      </c>
      <c r="N550" s="8" t="s">
        <v>310</v>
      </c>
      <c r="O550" s="8" t="s">
        <v>310</v>
      </c>
      <c r="P550" s="8" t="s">
        <v>119</v>
      </c>
      <c r="Q550" s="8"/>
    </row>
    <row r="551" spans="1:17" x14ac:dyDescent="0.25">
      <c r="A551" s="1">
        <v>50</v>
      </c>
      <c r="C551" s="7" t="s">
        <v>430</v>
      </c>
      <c r="D551" s="17">
        <v>25431</v>
      </c>
      <c r="E551" s="7" t="s">
        <v>11</v>
      </c>
      <c r="F551" s="7" t="s">
        <v>74</v>
      </c>
      <c r="G551" s="7" t="s">
        <v>294</v>
      </c>
      <c r="H551" s="7" t="s">
        <v>35</v>
      </c>
      <c r="I551" s="8">
        <v>510960</v>
      </c>
      <c r="J551" s="7" t="s">
        <v>436</v>
      </c>
      <c r="K551" s="44">
        <v>8</v>
      </c>
      <c r="L551" s="44">
        <v>1</v>
      </c>
      <c r="M551" s="44">
        <v>15</v>
      </c>
      <c r="N551" s="8" t="s">
        <v>311</v>
      </c>
      <c r="O551" s="8" t="s">
        <v>311</v>
      </c>
      <c r="P551" s="8" t="s">
        <v>119</v>
      </c>
      <c r="Q551" s="8"/>
    </row>
    <row r="552" spans="1:17" x14ac:dyDescent="0.25">
      <c r="A552" s="1">
        <v>51</v>
      </c>
      <c r="C552" s="7" t="s">
        <v>430</v>
      </c>
      <c r="D552" s="17">
        <v>25651</v>
      </c>
      <c r="E552" s="7" t="s">
        <v>11</v>
      </c>
      <c r="F552" s="7" t="s">
        <v>74</v>
      </c>
      <c r="G552" s="7" t="s">
        <v>40</v>
      </c>
      <c r="H552" s="7" t="s">
        <v>35</v>
      </c>
      <c r="I552" s="8">
        <v>510960</v>
      </c>
      <c r="J552" s="7" t="s">
        <v>436</v>
      </c>
      <c r="K552" s="44">
        <v>24</v>
      </c>
      <c r="L552" s="44">
        <v>3</v>
      </c>
      <c r="M552" s="44">
        <v>15</v>
      </c>
      <c r="N552" s="8" t="s">
        <v>123</v>
      </c>
      <c r="O552" s="8" t="s">
        <v>121</v>
      </c>
      <c r="P552" s="8" t="s">
        <v>119</v>
      </c>
      <c r="Q552" s="8"/>
    </row>
    <row r="553" spans="1:17" x14ac:dyDescent="0.25">
      <c r="A553" s="1">
        <v>52</v>
      </c>
      <c r="C553" s="7" t="s">
        <v>430</v>
      </c>
      <c r="D553" s="17">
        <v>25432</v>
      </c>
      <c r="E553" s="7" t="s">
        <v>11</v>
      </c>
      <c r="F553" s="7" t="s">
        <v>74</v>
      </c>
      <c r="G553" s="7" t="s">
        <v>294</v>
      </c>
      <c r="H553" s="7" t="s">
        <v>35</v>
      </c>
      <c r="I553" s="8">
        <v>510960</v>
      </c>
      <c r="J553" s="7" t="s">
        <v>436</v>
      </c>
      <c r="K553" s="44">
        <v>8</v>
      </c>
      <c r="L553" s="44">
        <v>1</v>
      </c>
      <c r="M553" s="44">
        <v>15</v>
      </c>
      <c r="N553" s="8" t="s">
        <v>126</v>
      </c>
      <c r="O553" s="8" t="s">
        <v>126</v>
      </c>
      <c r="P553" s="8" t="s">
        <v>119</v>
      </c>
      <c r="Q553" s="8"/>
    </row>
    <row r="554" spans="1:17" x14ac:dyDescent="0.25">
      <c r="A554" s="1">
        <v>53</v>
      </c>
      <c r="C554" s="7" t="s">
        <v>430</v>
      </c>
      <c r="D554" s="17">
        <v>25435</v>
      </c>
      <c r="E554" s="7" t="s">
        <v>11</v>
      </c>
      <c r="F554" s="7" t="s">
        <v>74</v>
      </c>
      <c r="G554" s="7" t="s">
        <v>294</v>
      </c>
      <c r="H554" s="7" t="s">
        <v>35</v>
      </c>
      <c r="I554" s="8">
        <v>510960</v>
      </c>
      <c r="J554" s="7" t="s">
        <v>436</v>
      </c>
      <c r="K554" s="44">
        <v>8</v>
      </c>
      <c r="L554" s="44">
        <v>1</v>
      </c>
      <c r="M554" s="44">
        <v>15</v>
      </c>
      <c r="N554" s="8" t="s">
        <v>315</v>
      </c>
      <c r="O554" s="8" t="s">
        <v>315</v>
      </c>
      <c r="P554" s="8" t="s">
        <v>119</v>
      </c>
      <c r="Q554" s="8"/>
    </row>
    <row r="555" spans="1:17" x14ac:dyDescent="0.25">
      <c r="A555" s="1">
        <v>54</v>
      </c>
      <c r="C555" s="7" t="s">
        <v>430</v>
      </c>
      <c r="D555" s="17">
        <v>25652</v>
      </c>
      <c r="E555" s="7" t="s">
        <v>11</v>
      </c>
      <c r="F555" s="7" t="s">
        <v>74</v>
      </c>
      <c r="G555" s="7" t="s">
        <v>40</v>
      </c>
      <c r="H555" s="7" t="s">
        <v>35</v>
      </c>
      <c r="I555" s="8">
        <v>510960</v>
      </c>
      <c r="J555" s="7" t="s">
        <v>436</v>
      </c>
      <c r="K555" s="44">
        <v>24</v>
      </c>
      <c r="L555" s="44">
        <v>3</v>
      </c>
      <c r="M555" s="44">
        <v>15</v>
      </c>
      <c r="N555" s="8" t="s">
        <v>128</v>
      </c>
      <c r="O555" s="8" t="s">
        <v>129</v>
      </c>
      <c r="P555" s="8" t="s">
        <v>119</v>
      </c>
      <c r="Q555" s="8"/>
    </row>
    <row r="556" spans="1:17" x14ac:dyDescent="0.25">
      <c r="A556" s="1">
        <v>55</v>
      </c>
      <c r="C556" s="7" t="s">
        <v>430</v>
      </c>
      <c r="D556" s="17">
        <v>25434</v>
      </c>
      <c r="E556" s="7" t="s">
        <v>11</v>
      </c>
      <c r="F556" s="7" t="s">
        <v>74</v>
      </c>
      <c r="G556" s="7" t="s">
        <v>294</v>
      </c>
      <c r="H556" s="7" t="s">
        <v>35</v>
      </c>
      <c r="I556" s="8">
        <v>510960</v>
      </c>
      <c r="J556" s="7" t="s">
        <v>436</v>
      </c>
      <c r="K556" s="44">
        <v>8</v>
      </c>
      <c r="L556" s="44">
        <v>1</v>
      </c>
      <c r="M556" s="44">
        <v>15</v>
      </c>
      <c r="N556" s="8" t="s">
        <v>357</v>
      </c>
      <c r="O556" s="8" t="s">
        <v>357</v>
      </c>
      <c r="P556" s="8" t="s">
        <v>119</v>
      </c>
      <c r="Q556" s="8"/>
    </row>
    <row r="557" spans="1:17" x14ac:dyDescent="0.25">
      <c r="A557" s="1">
        <v>56</v>
      </c>
      <c r="C557" s="7" t="s">
        <v>430</v>
      </c>
      <c r="D557" s="17">
        <v>25653</v>
      </c>
      <c r="E557" s="7" t="s">
        <v>11</v>
      </c>
      <c r="F557" s="7" t="s">
        <v>74</v>
      </c>
      <c r="G557" s="7" t="s">
        <v>40</v>
      </c>
      <c r="H557" s="7" t="s">
        <v>35</v>
      </c>
      <c r="I557" s="8">
        <v>510960</v>
      </c>
      <c r="J557" s="7" t="s">
        <v>436</v>
      </c>
      <c r="K557" s="44">
        <v>24</v>
      </c>
      <c r="L557" s="44">
        <v>3</v>
      </c>
      <c r="M557" s="44">
        <v>15</v>
      </c>
      <c r="N557" s="8" t="s">
        <v>131</v>
      </c>
      <c r="O557" s="8" t="s">
        <v>444</v>
      </c>
      <c r="P557" s="8" t="s">
        <v>119</v>
      </c>
      <c r="Q557" s="8"/>
    </row>
    <row r="558" spans="1:17" x14ac:dyDescent="0.25">
      <c r="A558" s="1">
        <v>57</v>
      </c>
      <c r="C558" s="7" t="s">
        <v>430</v>
      </c>
      <c r="D558" s="17">
        <v>23072</v>
      </c>
      <c r="E558" s="7" t="s">
        <v>11</v>
      </c>
      <c r="F558" s="7" t="s">
        <v>434</v>
      </c>
      <c r="G558" s="7" t="s">
        <v>264</v>
      </c>
      <c r="H558" s="7" t="s">
        <v>35</v>
      </c>
      <c r="I558" s="8">
        <v>510960</v>
      </c>
      <c r="J558" s="7" t="s">
        <v>436</v>
      </c>
      <c r="K558" s="44">
        <v>8</v>
      </c>
      <c r="L558" s="44">
        <v>1</v>
      </c>
      <c r="M558" s="44">
        <v>7</v>
      </c>
      <c r="N558" s="8" t="s">
        <v>135</v>
      </c>
      <c r="O558" s="8" t="s">
        <v>135</v>
      </c>
      <c r="P558" s="8" t="s">
        <v>119</v>
      </c>
      <c r="Q558" s="8"/>
    </row>
    <row r="559" spans="1:17" x14ac:dyDescent="0.25">
      <c r="A559" s="1">
        <v>58</v>
      </c>
      <c r="C559" s="7" t="s">
        <v>430</v>
      </c>
      <c r="D559" s="17">
        <v>23071</v>
      </c>
      <c r="E559" s="7" t="s">
        <v>11</v>
      </c>
      <c r="F559" s="7" t="s">
        <v>434</v>
      </c>
      <c r="G559" s="7" t="s">
        <v>264</v>
      </c>
      <c r="H559" s="7" t="s">
        <v>35</v>
      </c>
      <c r="I559" s="8">
        <v>510960</v>
      </c>
      <c r="J559" s="7" t="s">
        <v>436</v>
      </c>
      <c r="K559" s="44">
        <v>8</v>
      </c>
      <c r="L559" s="44">
        <v>1</v>
      </c>
      <c r="M559" s="44">
        <v>9</v>
      </c>
      <c r="N559" s="8" t="s">
        <v>136</v>
      </c>
      <c r="O559" s="8" t="s">
        <v>136</v>
      </c>
      <c r="P559" s="8" t="s">
        <v>119</v>
      </c>
      <c r="Q559" s="8"/>
    </row>
    <row r="560" spans="1:17" x14ac:dyDescent="0.25">
      <c r="A560" s="1">
        <v>59</v>
      </c>
      <c r="C560" s="7" t="s">
        <v>430</v>
      </c>
      <c r="D560" s="17">
        <v>23070</v>
      </c>
      <c r="E560" s="7" t="s">
        <v>11</v>
      </c>
      <c r="F560" s="7" t="s">
        <v>434</v>
      </c>
      <c r="G560" s="7" t="s">
        <v>264</v>
      </c>
      <c r="H560" s="7" t="s">
        <v>35</v>
      </c>
      <c r="I560" s="8">
        <v>510960</v>
      </c>
      <c r="J560" s="7" t="s">
        <v>436</v>
      </c>
      <c r="K560" s="44">
        <v>8</v>
      </c>
      <c r="L560" s="44">
        <v>1</v>
      </c>
      <c r="M560" s="44">
        <v>10</v>
      </c>
      <c r="N560" s="8" t="s">
        <v>137</v>
      </c>
      <c r="O560" s="8" t="s">
        <v>137</v>
      </c>
      <c r="P560" s="8" t="s">
        <v>119</v>
      </c>
      <c r="Q560" s="8"/>
    </row>
    <row r="561" spans="1:17" x14ac:dyDescent="0.25">
      <c r="A561" s="1">
        <v>60</v>
      </c>
      <c r="C561" s="7" t="s">
        <v>430</v>
      </c>
      <c r="D561" s="17">
        <v>23069</v>
      </c>
      <c r="E561" s="7" t="s">
        <v>11</v>
      </c>
      <c r="F561" s="7" t="s">
        <v>434</v>
      </c>
      <c r="G561" s="7" t="s">
        <v>264</v>
      </c>
      <c r="H561" s="7" t="s">
        <v>35</v>
      </c>
      <c r="I561" s="8">
        <v>510960</v>
      </c>
      <c r="J561" s="7" t="s">
        <v>436</v>
      </c>
      <c r="K561" s="44">
        <v>8</v>
      </c>
      <c r="L561" s="44">
        <v>1</v>
      </c>
      <c r="M561" s="44">
        <v>10</v>
      </c>
      <c r="N561" s="8" t="s">
        <v>358</v>
      </c>
      <c r="O561" s="8" t="s">
        <v>358</v>
      </c>
      <c r="P561" s="8" t="s">
        <v>119</v>
      </c>
      <c r="Q561" s="8"/>
    </row>
    <row r="562" spans="1:17" x14ac:dyDescent="0.25">
      <c r="A562" s="1">
        <v>61</v>
      </c>
      <c r="C562" s="7" t="s">
        <v>430</v>
      </c>
      <c r="D562" s="17">
        <v>23068</v>
      </c>
      <c r="E562" s="7" t="s">
        <v>11</v>
      </c>
      <c r="F562" s="7" t="s">
        <v>434</v>
      </c>
      <c r="G562" s="7" t="s">
        <v>264</v>
      </c>
      <c r="H562" s="7" t="s">
        <v>35</v>
      </c>
      <c r="I562" s="8">
        <v>510960</v>
      </c>
      <c r="J562" s="7" t="s">
        <v>436</v>
      </c>
      <c r="K562" s="44">
        <v>8</v>
      </c>
      <c r="L562" s="44">
        <v>1</v>
      </c>
      <c r="M562" s="44">
        <v>10</v>
      </c>
      <c r="N562" s="8" t="s">
        <v>139</v>
      </c>
      <c r="O562" s="8" t="s">
        <v>139</v>
      </c>
      <c r="P562" s="8" t="s">
        <v>141</v>
      </c>
      <c r="Q562" s="8"/>
    </row>
    <row r="563" spans="1:17" x14ac:dyDescent="0.25">
      <c r="A563" s="1">
        <v>62</v>
      </c>
      <c r="C563" s="7" t="s">
        <v>430</v>
      </c>
      <c r="D563" s="17">
        <v>23067</v>
      </c>
      <c r="E563" s="7" t="s">
        <v>11</v>
      </c>
      <c r="F563" s="7" t="s">
        <v>434</v>
      </c>
      <c r="G563" s="7" t="s">
        <v>264</v>
      </c>
      <c r="H563" s="7" t="s">
        <v>35</v>
      </c>
      <c r="I563" s="8">
        <v>510960</v>
      </c>
      <c r="J563" s="7" t="s">
        <v>436</v>
      </c>
      <c r="K563" s="44">
        <v>8</v>
      </c>
      <c r="L563" s="44">
        <v>1</v>
      </c>
      <c r="M563" s="44">
        <v>10</v>
      </c>
      <c r="N563" s="8" t="s">
        <v>140</v>
      </c>
      <c r="O563" s="8" t="s">
        <v>140</v>
      </c>
      <c r="P563" s="8" t="s">
        <v>141</v>
      </c>
      <c r="Q563" s="8"/>
    </row>
    <row r="564" spans="1:17" x14ac:dyDescent="0.25">
      <c r="A564" s="1">
        <v>63</v>
      </c>
      <c r="C564" s="7" t="s">
        <v>430</v>
      </c>
      <c r="D564" s="17">
        <v>23066</v>
      </c>
      <c r="E564" s="7" t="s">
        <v>11</v>
      </c>
      <c r="F564" s="7" t="s">
        <v>434</v>
      </c>
      <c r="G564" s="7" t="s">
        <v>264</v>
      </c>
      <c r="H564" s="7" t="s">
        <v>35</v>
      </c>
      <c r="I564" s="8">
        <v>510960</v>
      </c>
      <c r="J564" s="7" t="s">
        <v>436</v>
      </c>
      <c r="K564" s="44">
        <v>8</v>
      </c>
      <c r="L564" s="44">
        <v>1</v>
      </c>
      <c r="M564" s="44">
        <v>10</v>
      </c>
      <c r="N564" s="8" t="s">
        <v>143</v>
      </c>
      <c r="O564" s="8" t="s">
        <v>143</v>
      </c>
      <c r="P564" s="8" t="s">
        <v>141</v>
      </c>
      <c r="Q564" s="8"/>
    </row>
    <row r="565" spans="1:17" x14ac:dyDescent="0.25">
      <c r="A565" s="1">
        <v>64</v>
      </c>
      <c r="C565" s="7" t="s">
        <v>430</v>
      </c>
      <c r="D565" s="17">
        <v>23065</v>
      </c>
      <c r="E565" s="7" t="s">
        <v>11</v>
      </c>
      <c r="F565" s="7" t="s">
        <v>434</v>
      </c>
      <c r="G565" s="7" t="s">
        <v>264</v>
      </c>
      <c r="H565" s="7" t="s">
        <v>35</v>
      </c>
      <c r="I565" s="8">
        <v>510960</v>
      </c>
      <c r="J565" s="7" t="s">
        <v>436</v>
      </c>
      <c r="K565" s="44">
        <v>8</v>
      </c>
      <c r="L565" s="44">
        <v>1</v>
      </c>
      <c r="M565" s="44">
        <v>10</v>
      </c>
      <c r="N565" s="8" t="s">
        <v>145</v>
      </c>
      <c r="O565" s="8" t="s">
        <v>145</v>
      </c>
      <c r="P565" s="8" t="s">
        <v>141</v>
      </c>
      <c r="Q565" s="8"/>
    </row>
    <row r="566" spans="1:17" x14ac:dyDescent="0.25">
      <c r="A566" s="1">
        <v>65</v>
      </c>
      <c r="C566" s="7" t="s">
        <v>430</v>
      </c>
      <c r="D566" s="17">
        <v>23064</v>
      </c>
      <c r="E566" s="7" t="s">
        <v>11</v>
      </c>
      <c r="F566" s="7" t="s">
        <v>434</v>
      </c>
      <c r="G566" s="7" t="s">
        <v>264</v>
      </c>
      <c r="H566" s="7" t="s">
        <v>35</v>
      </c>
      <c r="I566" s="8">
        <v>510960</v>
      </c>
      <c r="J566" s="7" t="s">
        <v>436</v>
      </c>
      <c r="K566" s="44">
        <v>8</v>
      </c>
      <c r="L566" s="44">
        <v>1</v>
      </c>
      <c r="M566" s="44">
        <v>10</v>
      </c>
      <c r="N566" s="8" t="s">
        <v>146</v>
      </c>
      <c r="O566" s="8" t="s">
        <v>146</v>
      </c>
      <c r="P566" s="8" t="s">
        <v>141</v>
      </c>
      <c r="Q566" s="8"/>
    </row>
    <row r="567" spans="1:17" x14ac:dyDescent="0.25">
      <c r="A567" s="1">
        <v>66</v>
      </c>
      <c r="C567" s="7" t="s">
        <v>430</v>
      </c>
      <c r="D567" s="17">
        <v>23063</v>
      </c>
      <c r="E567" s="7" t="s">
        <v>11</v>
      </c>
      <c r="F567" s="7" t="s">
        <v>434</v>
      </c>
      <c r="G567" s="7" t="s">
        <v>264</v>
      </c>
      <c r="H567" s="7" t="s">
        <v>35</v>
      </c>
      <c r="I567" s="8">
        <v>510960</v>
      </c>
      <c r="J567" s="7" t="s">
        <v>436</v>
      </c>
      <c r="K567" s="44">
        <v>8</v>
      </c>
      <c r="L567" s="44">
        <v>1</v>
      </c>
      <c r="M567" s="44">
        <v>10</v>
      </c>
      <c r="N567" s="8" t="s">
        <v>149</v>
      </c>
      <c r="O567" s="8" t="s">
        <v>149</v>
      </c>
      <c r="P567" s="8" t="s">
        <v>141</v>
      </c>
      <c r="Q567" s="8"/>
    </row>
    <row r="568" spans="1:17" x14ac:dyDescent="0.25">
      <c r="A568" s="1">
        <v>67</v>
      </c>
      <c r="C568" s="7" t="s">
        <v>430</v>
      </c>
      <c r="D568" s="17">
        <v>23062</v>
      </c>
      <c r="E568" s="7" t="s">
        <v>11</v>
      </c>
      <c r="F568" s="7" t="s">
        <v>434</v>
      </c>
      <c r="G568" s="7" t="s">
        <v>264</v>
      </c>
      <c r="H568" s="7" t="s">
        <v>35</v>
      </c>
      <c r="I568" s="8">
        <v>510960</v>
      </c>
      <c r="J568" s="7" t="s">
        <v>436</v>
      </c>
      <c r="K568" s="44">
        <v>8</v>
      </c>
      <c r="L568" s="44">
        <v>1</v>
      </c>
      <c r="M568" s="44">
        <v>10</v>
      </c>
      <c r="N568" s="8" t="s">
        <v>151</v>
      </c>
      <c r="O568" s="8" t="s">
        <v>151</v>
      </c>
      <c r="P568" s="8" t="s">
        <v>141</v>
      </c>
      <c r="Q568" s="8"/>
    </row>
    <row r="569" spans="1:17" x14ac:dyDescent="0.25">
      <c r="A569" s="1">
        <v>68</v>
      </c>
      <c r="C569" s="7" t="s">
        <v>430</v>
      </c>
      <c r="D569" s="17">
        <v>23061</v>
      </c>
      <c r="E569" s="7" t="s">
        <v>11</v>
      </c>
      <c r="F569" s="7" t="s">
        <v>434</v>
      </c>
      <c r="G569" s="7" t="s">
        <v>264</v>
      </c>
      <c r="H569" s="7" t="s">
        <v>35</v>
      </c>
      <c r="I569" s="8">
        <v>510960</v>
      </c>
      <c r="J569" s="7" t="s">
        <v>436</v>
      </c>
      <c r="K569" s="44">
        <v>8</v>
      </c>
      <c r="L569" s="44">
        <v>1</v>
      </c>
      <c r="M569" s="44">
        <v>10</v>
      </c>
      <c r="N569" s="8" t="s">
        <v>152</v>
      </c>
      <c r="O569" s="8" t="s">
        <v>152</v>
      </c>
      <c r="P569" s="8" t="s">
        <v>141</v>
      </c>
      <c r="Q569" s="8"/>
    </row>
    <row r="570" spans="1:17" x14ac:dyDescent="0.25">
      <c r="A570" s="1">
        <v>69</v>
      </c>
      <c r="C570" s="7" t="s">
        <v>430</v>
      </c>
      <c r="D570" s="17">
        <v>23060</v>
      </c>
      <c r="E570" s="7" t="s">
        <v>11</v>
      </c>
      <c r="F570" s="7" t="s">
        <v>434</v>
      </c>
      <c r="G570" s="7" t="s">
        <v>264</v>
      </c>
      <c r="H570" s="7" t="s">
        <v>35</v>
      </c>
      <c r="I570" s="8">
        <v>510960</v>
      </c>
      <c r="J570" s="7" t="s">
        <v>436</v>
      </c>
      <c r="K570" s="44">
        <v>8</v>
      </c>
      <c r="L570" s="44">
        <v>1</v>
      </c>
      <c r="M570" s="44">
        <v>10</v>
      </c>
      <c r="N570" s="8" t="s">
        <v>153</v>
      </c>
      <c r="O570" s="8" t="s">
        <v>153</v>
      </c>
      <c r="P570" s="8" t="s">
        <v>141</v>
      </c>
      <c r="Q570" s="8"/>
    </row>
    <row r="571" spans="1:17" x14ac:dyDescent="0.25">
      <c r="A571" s="1">
        <v>70</v>
      </c>
      <c r="C571" s="7" t="s">
        <v>430</v>
      </c>
      <c r="D571" s="17">
        <v>23059</v>
      </c>
      <c r="E571" s="7" t="s">
        <v>11</v>
      </c>
      <c r="F571" s="7" t="s">
        <v>434</v>
      </c>
      <c r="G571" s="7" t="s">
        <v>264</v>
      </c>
      <c r="H571" s="7" t="s">
        <v>35</v>
      </c>
      <c r="I571" s="8">
        <v>510960</v>
      </c>
      <c r="J571" s="7" t="s">
        <v>436</v>
      </c>
      <c r="K571" s="44">
        <v>8</v>
      </c>
      <c r="L571" s="44">
        <v>1</v>
      </c>
      <c r="M571" s="44">
        <v>10</v>
      </c>
      <c r="N571" s="8" t="s">
        <v>429</v>
      </c>
      <c r="O571" s="8" t="s">
        <v>429</v>
      </c>
      <c r="P571" s="8" t="s">
        <v>141</v>
      </c>
      <c r="Q571" s="8"/>
    </row>
    <row r="572" spans="1:17" x14ac:dyDescent="0.25">
      <c r="A572" s="1">
        <v>71</v>
      </c>
      <c r="C572" s="7" t="s">
        <v>430</v>
      </c>
      <c r="D572" s="17">
        <v>23058</v>
      </c>
      <c r="E572" s="7" t="s">
        <v>11</v>
      </c>
      <c r="F572" s="7" t="s">
        <v>434</v>
      </c>
      <c r="G572" s="7" t="s">
        <v>264</v>
      </c>
      <c r="H572" s="7" t="s">
        <v>35</v>
      </c>
      <c r="I572" s="8">
        <v>510960</v>
      </c>
      <c r="J572" s="7" t="s">
        <v>436</v>
      </c>
      <c r="K572" s="44">
        <v>8</v>
      </c>
      <c r="L572" s="44">
        <v>1</v>
      </c>
      <c r="M572" s="44">
        <v>10</v>
      </c>
      <c r="N572" s="8" t="s">
        <v>154</v>
      </c>
      <c r="O572" s="8" t="s">
        <v>154</v>
      </c>
      <c r="P572" s="8" t="s">
        <v>141</v>
      </c>
      <c r="Q572" s="8"/>
    </row>
    <row r="573" spans="1:17" x14ac:dyDescent="0.25">
      <c r="A573" s="1">
        <v>72</v>
      </c>
      <c r="C573" s="7" t="s">
        <v>430</v>
      </c>
      <c r="D573" s="17">
        <v>23057</v>
      </c>
      <c r="E573" s="7" t="s">
        <v>11</v>
      </c>
      <c r="F573" s="7" t="s">
        <v>434</v>
      </c>
      <c r="G573" s="7" t="s">
        <v>264</v>
      </c>
      <c r="H573" s="7" t="s">
        <v>35</v>
      </c>
      <c r="I573" s="8">
        <v>510960</v>
      </c>
      <c r="J573" s="7" t="s">
        <v>436</v>
      </c>
      <c r="K573" s="44">
        <v>8</v>
      </c>
      <c r="L573" s="44">
        <v>1</v>
      </c>
      <c r="M573" s="44">
        <v>10</v>
      </c>
      <c r="N573" s="8" t="s">
        <v>155</v>
      </c>
      <c r="O573" s="8" t="s">
        <v>155</v>
      </c>
      <c r="P573" s="8" t="s">
        <v>141</v>
      </c>
      <c r="Q573" s="8"/>
    </row>
    <row r="574" spans="1:17" x14ac:dyDescent="0.25">
      <c r="A574" s="1">
        <v>73</v>
      </c>
      <c r="C574" s="7" t="s">
        <v>430</v>
      </c>
      <c r="D574" s="17">
        <v>23056</v>
      </c>
      <c r="E574" s="7" t="s">
        <v>11</v>
      </c>
      <c r="F574" s="7" t="s">
        <v>434</v>
      </c>
      <c r="G574" s="7" t="s">
        <v>264</v>
      </c>
      <c r="H574" s="7" t="s">
        <v>35</v>
      </c>
      <c r="I574" s="8">
        <v>510960</v>
      </c>
      <c r="J574" s="7" t="s">
        <v>436</v>
      </c>
      <c r="K574" s="44">
        <v>8</v>
      </c>
      <c r="L574" s="44">
        <v>1</v>
      </c>
      <c r="M574" s="44">
        <v>10</v>
      </c>
      <c r="N574" s="8" t="s">
        <v>156</v>
      </c>
      <c r="O574" s="8" t="s">
        <v>156</v>
      </c>
      <c r="P574" s="8" t="s">
        <v>141</v>
      </c>
      <c r="Q574" s="8"/>
    </row>
    <row r="575" spans="1:17" x14ac:dyDescent="0.25">
      <c r="A575" s="1">
        <v>74</v>
      </c>
      <c r="C575" s="7" t="s">
        <v>430</v>
      </c>
      <c r="D575" s="17">
        <v>23055</v>
      </c>
      <c r="E575" s="7" t="s">
        <v>11</v>
      </c>
      <c r="F575" s="7" t="s">
        <v>434</v>
      </c>
      <c r="G575" s="7" t="s">
        <v>264</v>
      </c>
      <c r="H575" s="7" t="s">
        <v>35</v>
      </c>
      <c r="I575" s="8">
        <v>510960</v>
      </c>
      <c r="J575" s="7" t="s">
        <v>436</v>
      </c>
      <c r="K575" s="44">
        <v>8</v>
      </c>
      <c r="L575" s="44">
        <v>1</v>
      </c>
      <c r="M575" s="44">
        <v>10</v>
      </c>
      <c r="N575" s="8" t="s">
        <v>157</v>
      </c>
      <c r="O575" s="8" t="s">
        <v>157</v>
      </c>
      <c r="P575" s="8" t="s">
        <v>141</v>
      </c>
      <c r="Q575" s="8"/>
    </row>
    <row r="576" spans="1:17" x14ac:dyDescent="0.25">
      <c r="A576" s="1">
        <v>75</v>
      </c>
      <c r="C576" s="7" t="s">
        <v>430</v>
      </c>
      <c r="D576" s="17">
        <v>23054</v>
      </c>
      <c r="E576" s="7" t="s">
        <v>11</v>
      </c>
      <c r="F576" s="7" t="s">
        <v>434</v>
      </c>
      <c r="G576" s="7" t="s">
        <v>264</v>
      </c>
      <c r="H576" s="7" t="s">
        <v>35</v>
      </c>
      <c r="I576" s="8">
        <v>510960</v>
      </c>
      <c r="J576" s="7" t="s">
        <v>436</v>
      </c>
      <c r="K576" s="44">
        <v>8</v>
      </c>
      <c r="L576" s="44">
        <v>1</v>
      </c>
      <c r="M576" s="44">
        <v>10</v>
      </c>
      <c r="N576" s="8" t="s">
        <v>158</v>
      </c>
      <c r="O576" s="8" t="s">
        <v>158</v>
      </c>
      <c r="P576" s="8" t="s">
        <v>141</v>
      </c>
      <c r="Q576" s="8"/>
    </row>
    <row r="577" spans="1:17" x14ac:dyDescent="0.25">
      <c r="A577" s="1">
        <v>76</v>
      </c>
      <c r="C577" s="7" t="s">
        <v>430</v>
      </c>
      <c r="D577" s="17">
        <v>23053</v>
      </c>
      <c r="E577" s="7" t="s">
        <v>11</v>
      </c>
      <c r="F577" s="7" t="s">
        <v>434</v>
      </c>
      <c r="G577" s="7" t="s">
        <v>264</v>
      </c>
      <c r="H577" s="7" t="s">
        <v>35</v>
      </c>
      <c r="I577" s="8">
        <v>510960</v>
      </c>
      <c r="J577" s="7" t="s">
        <v>436</v>
      </c>
      <c r="K577" s="44">
        <v>8</v>
      </c>
      <c r="L577" s="44">
        <v>1</v>
      </c>
      <c r="M577" s="44">
        <v>10</v>
      </c>
      <c r="N577" s="8" t="s">
        <v>161</v>
      </c>
      <c r="O577" s="8" t="s">
        <v>161</v>
      </c>
      <c r="P577" s="8" t="s">
        <v>141</v>
      </c>
      <c r="Q577" s="8"/>
    </row>
    <row r="578" spans="1:17" x14ac:dyDescent="0.25">
      <c r="A578" s="1">
        <v>77</v>
      </c>
      <c r="C578" s="7" t="s">
        <v>430</v>
      </c>
      <c r="D578" s="17">
        <v>23052</v>
      </c>
      <c r="E578" s="7" t="s">
        <v>11</v>
      </c>
      <c r="F578" s="7" t="s">
        <v>434</v>
      </c>
      <c r="G578" s="7" t="s">
        <v>264</v>
      </c>
      <c r="H578" s="7" t="s">
        <v>35</v>
      </c>
      <c r="I578" s="8">
        <v>510960</v>
      </c>
      <c r="J578" s="7" t="s">
        <v>436</v>
      </c>
      <c r="K578" s="44">
        <v>8</v>
      </c>
      <c r="L578" s="44">
        <v>1</v>
      </c>
      <c r="M578" s="44">
        <v>10</v>
      </c>
      <c r="N578" s="8" t="s">
        <v>164</v>
      </c>
      <c r="O578" s="8" t="s">
        <v>164</v>
      </c>
      <c r="P578" s="8" t="s">
        <v>141</v>
      </c>
      <c r="Q578" s="8"/>
    </row>
    <row r="579" spans="1:17" x14ac:dyDescent="0.25">
      <c r="A579" s="1">
        <v>78</v>
      </c>
      <c r="C579" s="7" t="s">
        <v>430</v>
      </c>
      <c r="D579" s="17">
        <v>23051</v>
      </c>
      <c r="E579" s="7" t="s">
        <v>11</v>
      </c>
      <c r="F579" s="7" t="s">
        <v>434</v>
      </c>
      <c r="G579" s="7" t="s">
        <v>264</v>
      </c>
      <c r="H579" s="7" t="s">
        <v>35</v>
      </c>
      <c r="I579" s="8">
        <v>510960</v>
      </c>
      <c r="J579" s="7" t="s">
        <v>436</v>
      </c>
      <c r="K579" s="44">
        <v>8</v>
      </c>
      <c r="L579" s="44">
        <v>1</v>
      </c>
      <c r="M579" s="44">
        <v>10</v>
      </c>
      <c r="N579" s="8" t="s">
        <v>165</v>
      </c>
      <c r="O579" s="8" t="s">
        <v>165</v>
      </c>
      <c r="P579" s="8" t="s">
        <v>141</v>
      </c>
      <c r="Q579" s="8"/>
    </row>
    <row r="580" spans="1:17" x14ac:dyDescent="0.25">
      <c r="A580" s="1">
        <v>79</v>
      </c>
      <c r="C580" s="7" t="s">
        <v>430</v>
      </c>
      <c r="D580" s="17">
        <v>23050</v>
      </c>
      <c r="E580" s="7" t="s">
        <v>11</v>
      </c>
      <c r="F580" s="7" t="s">
        <v>434</v>
      </c>
      <c r="G580" s="7" t="s">
        <v>264</v>
      </c>
      <c r="H580" s="7" t="s">
        <v>35</v>
      </c>
      <c r="I580" s="8">
        <v>510960</v>
      </c>
      <c r="J580" s="7" t="s">
        <v>436</v>
      </c>
      <c r="K580" s="44">
        <v>8</v>
      </c>
      <c r="L580" s="44">
        <v>1</v>
      </c>
      <c r="M580" s="44">
        <v>10</v>
      </c>
      <c r="N580" s="8" t="s">
        <v>166</v>
      </c>
      <c r="O580" s="8" t="s">
        <v>166</v>
      </c>
      <c r="P580" s="8" t="s">
        <v>141</v>
      </c>
      <c r="Q580" s="8"/>
    </row>
    <row r="581" spans="1:17" x14ac:dyDescent="0.25">
      <c r="A581" s="1">
        <v>80</v>
      </c>
      <c r="C581" s="7" t="s">
        <v>430</v>
      </c>
      <c r="D581" s="17">
        <v>23049</v>
      </c>
      <c r="E581" s="7" t="s">
        <v>11</v>
      </c>
      <c r="F581" s="7" t="s">
        <v>434</v>
      </c>
      <c r="G581" s="7" t="s">
        <v>264</v>
      </c>
      <c r="H581" s="7" t="s">
        <v>35</v>
      </c>
      <c r="I581" s="8">
        <v>510960</v>
      </c>
      <c r="J581" s="7" t="s">
        <v>436</v>
      </c>
      <c r="K581" s="44">
        <v>8</v>
      </c>
      <c r="L581" s="44">
        <v>1</v>
      </c>
      <c r="M581" s="44">
        <v>10</v>
      </c>
      <c r="N581" s="8" t="s">
        <v>167</v>
      </c>
      <c r="O581" s="8" t="s">
        <v>167</v>
      </c>
      <c r="P581" s="8" t="s">
        <v>141</v>
      </c>
      <c r="Q581" s="8"/>
    </row>
    <row r="582" spans="1:17" x14ac:dyDescent="0.25">
      <c r="A582" s="1">
        <v>81</v>
      </c>
      <c r="C582" s="7" t="s">
        <v>430</v>
      </c>
      <c r="D582" s="17">
        <v>23048</v>
      </c>
      <c r="E582" s="7" t="s">
        <v>11</v>
      </c>
      <c r="F582" s="7" t="s">
        <v>434</v>
      </c>
      <c r="G582" s="7" t="s">
        <v>264</v>
      </c>
      <c r="H582" s="7" t="s">
        <v>35</v>
      </c>
      <c r="I582" s="8">
        <v>510960</v>
      </c>
      <c r="J582" s="7" t="s">
        <v>436</v>
      </c>
      <c r="K582" s="44">
        <v>8</v>
      </c>
      <c r="L582" s="44">
        <v>1</v>
      </c>
      <c r="M582" s="44">
        <v>10</v>
      </c>
      <c r="N582" s="8" t="s">
        <v>168</v>
      </c>
      <c r="O582" s="8" t="s">
        <v>168</v>
      </c>
      <c r="P582" s="8" t="s">
        <v>141</v>
      </c>
      <c r="Q582" s="8"/>
    </row>
    <row r="583" spans="1:17" x14ac:dyDescent="0.25">
      <c r="A583" s="1">
        <v>82</v>
      </c>
      <c r="C583" s="7" t="s">
        <v>430</v>
      </c>
      <c r="D583" s="17">
        <v>23047</v>
      </c>
      <c r="E583" s="7" t="s">
        <v>11</v>
      </c>
      <c r="F583" s="7" t="s">
        <v>434</v>
      </c>
      <c r="G583" s="7" t="s">
        <v>264</v>
      </c>
      <c r="H583" s="7" t="s">
        <v>35</v>
      </c>
      <c r="I583" s="8">
        <v>510960</v>
      </c>
      <c r="J583" s="7" t="s">
        <v>436</v>
      </c>
      <c r="K583" s="44">
        <v>8</v>
      </c>
      <c r="L583" s="44">
        <v>1</v>
      </c>
      <c r="M583" s="44">
        <v>10</v>
      </c>
      <c r="N583" s="8" t="s">
        <v>169</v>
      </c>
      <c r="O583" s="8" t="s">
        <v>169</v>
      </c>
      <c r="P583" s="8" t="s">
        <v>141</v>
      </c>
      <c r="Q583" s="8"/>
    </row>
    <row r="584" spans="1:17" x14ac:dyDescent="0.25">
      <c r="A584" s="1">
        <v>83</v>
      </c>
      <c r="C584" s="7" t="s">
        <v>430</v>
      </c>
      <c r="D584" s="17">
        <v>23046</v>
      </c>
      <c r="E584" s="7" t="s">
        <v>11</v>
      </c>
      <c r="F584" s="7" t="s">
        <v>434</v>
      </c>
      <c r="G584" s="7" t="s">
        <v>264</v>
      </c>
      <c r="H584" s="7" t="s">
        <v>35</v>
      </c>
      <c r="I584" s="8">
        <v>510960</v>
      </c>
      <c r="J584" s="7" t="s">
        <v>436</v>
      </c>
      <c r="K584" s="44">
        <v>8</v>
      </c>
      <c r="L584" s="44">
        <v>1</v>
      </c>
      <c r="M584" s="44">
        <v>10</v>
      </c>
      <c r="N584" s="8" t="s">
        <v>170</v>
      </c>
      <c r="O584" s="8" t="s">
        <v>170</v>
      </c>
      <c r="P584" s="8" t="s">
        <v>173</v>
      </c>
      <c r="Q584" s="8"/>
    </row>
    <row r="585" spans="1:17" x14ac:dyDescent="0.25">
      <c r="A585" s="1">
        <v>84</v>
      </c>
      <c r="C585" s="7" t="s">
        <v>430</v>
      </c>
      <c r="D585" s="17">
        <v>23045</v>
      </c>
      <c r="E585" s="7" t="s">
        <v>11</v>
      </c>
      <c r="F585" s="7" t="s">
        <v>434</v>
      </c>
      <c r="G585" s="7" t="s">
        <v>264</v>
      </c>
      <c r="H585" s="7" t="s">
        <v>35</v>
      </c>
      <c r="I585" s="8">
        <v>510960</v>
      </c>
      <c r="J585" s="7" t="s">
        <v>436</v>
      </c>
      <c r="K585" s="44">
        <v>8</v>
      </c>
      <c r="L585" s="44">
        <v>1</v>
      </c>
      <c r="M585" s="44">
        <v>10</v>
      </c>
      <c r="N585" s="8" t="s">
        <v>172</v>
      </c>
      <c r="O585" s="8" t="s">
        <v>172</v>
      </c>
      <c r="P585" s="8" t="s">
        <v>173</v>
      </c>
      <c r="Q585" s="8"/>
    </row>
    <row r="586" spans="1:17" x14ac:dyDescent="0.25">
      <c r="A586" s="1">
        <v>85</v>
      </c>
      <c r="C586" s="7" t="s">
        <v>430</v>
      </c>
      <c r="D586" s="17">
        <v>23044</v>
      </c>
      <c r="E586" s="7" t="s">
        <v>11</v>
      </c>
      <c r="F586" s="7" t="s">
        <v>434</v>
      </c>
      <c r="G586" s="7" t="s">
        <v>264</v>
      </c>
      <c r="H586" s="7" t="s">
        <v>35</v>
      </c>
      <c r="I586" s="8">
        <v>510960</v>
      </c>
      <c r="J586" s="7" t="s">
        <v>436</v>
      </c>
      <c r="K586" s="44">
        <v>8</v>
      </c>
      <c r="L586" s="44">
        <v>1</v>
      </c>
      <c r="M586" s="44">
        <v>10</v>
      </c>
      <c r="N586" s="8" t="s">
        <v>174</v>
      </c>
      <c r="O586" s="8" t="s">
        <v>174</v>
      </c>
      <c r="P586" s="8" t="s">
        <v>173</v>
      </c>
      <c r="Q586" s="8"/>
    </row>
    <row r="587" spans="1:17" x14ac:dyDescent="0.25">
      <c r="A587" s="1">
        <v>86</v>
      </c>
      <c r="C587" s="7" t="s">
        <v>430</v>
      </c>
      <c r="D587" s="17">
        <v>23043</v>
      </c>
      <c r="E587" s="7" t="s">
        <v>11</v>
      </c>
      <c r="F587" s="7" t="s">
        <v>434</v>
      </c>
      <c r="G587" s="7" t="s">
        <v>264</v>
      </c>
      <c r="H587" s="7" t="s">
        <v>35</v>
      </c>
      <c r="I587" s="8">
        <v>510960</v>
      </c>
      <c r="J587" s="7" t="s">
        <v>436</v>
      </c>
      <c r="K587" s="44">
        <v>8</v>
      </c>
      <c r="L587" s="44">
        <v>1</v>
      </c>
      <c r="M587" s="44">
        <v>10</v>
      </c>
      <c r="N587" s="8" t="s">
        <v>177</v>
      </c>
      <c r="O587" s="8" t="s">
        <v>177</v>
      </c>
      <c r="P587" s="8" t="s">
        <v>173</v>
      </c>
      <c r="Q587" s="8"/>
    </row>
    <row r="588" spans="1:17" x14ac:dyDescent="0.25">
      <c r="A588" s="1">
        <v>87</v>
      </c>
      <c r="C588" s="7" t="s">
        <v>430</v>
      </c>
      <c r="D588" s="17">
        <v>23042</v>
      </c>
      <c r="E588" s="7" t="s">
        <v>11</v>
      </c>
      <c r="F588" s="7" t="s">
        <v>434</v>
      </c>
      <c r="G588" s="7" t="s">
        <v>264</v>
      </c>
      <c r="H588" s="7" t="s">
        <v>35</v>
      </c>
      <c r="I588" s="8">
        <v>510960</v>
      </c>
      <c r="J588" s="7" t="s">
        <v>436</v>
      </c>
      <c r="K588" s="44">
        <v>8</v>
      </c>
      <c r="L588" s="44">
        <v>1</v>
      </c>
      <c r="M588" s="44">
        <v>10</v>
      </c>
      <c r="N588" s="8" t="s">
        <v>181</v>
      </c>
      <c r="O588" s="8" t="s">
        <v>181</v>
      </c>
      <c r="P588" s="8" t="s">
        <v>173</v>
      </c>
      <c r="Q588" s="8"/>
    </row>
    <row r="589" spans="1:17" x14ac:dyDescent="0.25">
      <c r="A589" s="1">
        <v>88</v>
      </c>
      <c r="C589" s="7" t="s">
        <v>430</v>
      </c>
      <c r="D589" s="17">
        <v>23041</v>
      </c>
      <c r="E589" s="7" t="s">
        <v>11</v>
      </c>
      <c r="F589" s="7" t="s">
        <v>434</v>
      </c>
      <c r="G589" s="7" t="s">
        <v>264</v>
      </c>
      <c r="H589" s="7" t="s">
        <v>35</v>
      </c>
      <c r="I589" s="8">
        <v>510960</v>
      </c>
      <c r="J589" s="7" t="s">
        <v>436</v>
      </c>
      <c r="K589" s="44">
        <v>8</v>
      </c>
      <c r="L589" s="44">
        <v>1</v>
      </c>
      <c r="M589" s="44">
        <v>10</v>
      </c>
      <c r="N589" s="8" t="s">
        <v>179</v>
      </c>
      <c r="O589" s="8" t="s">
        <v>179</v>
      </c>
      <c r="P589" s="8" t="s">
        <v>173</v>
      </c>
      <c r="Q589" s="8"/>
    </row>
    <row r="590" spans="1:17" x14ac:dyDescent="0.25">
      <c r="A590" s="1">
        <v>89</v>
      </c>
      <c r="C590" s="7" t="s">
        <v>430</v>
      </c>
      <c r="D590" s="17">
        <v>23040</v>
      </c>
      <c r="E590" s="7" t="s">
        <v>11</v>
      </c>
      <c r="F590" s="7" t="s">
        <v>434</v>
      </c>
      <c r="G590" s="7" t="s">
        <v>264</v>
      </c>
      <c r="H590" s="7" t="s">
        <v>35</v>
      </c>
      <c r="I590" s="8">
        <v>510960</v>
      </c>
      <c r="J590" s="7" t="s">
        <v>436</v>
      </c>
      <c r="K590" s="44">
        <v>8</v>
      </c>
      <c r="L590" s="44">
        <v>1</v>
      </c>
      <c r="M590" s="44">
        <v>10</v>
      </c>
      <c r="N590" s="8" t="s">
        <v>180</v>
      </c>
      <c r="O590" s="8" t="s">
        <v>180</v>
      </c>
      <c r="P590" s="8" t="s">
        <v>173</v>
      </c>
      <c r="Q590" s="8"/>
    </row>
    <row r="591" spans="1:17" x14ac:dyDescent="0.25">
      <c r="A591" s="1">
        <v>91</v>
      </c>
      <c r="C591" s="7" t="s">
        <v>430</v>
      </c>
      <c r="D591" s="17">
        <v>21902</v>
      </c>
      <c r="E591" s="7" t="s">
        <v>11</v>
      </c>
      <c r="F591" s="7" t="s">
        <v>434</v>
      </c>
      <c r="G591" s="7" t="s">
        <v>40</v>
      </c>
      <c r="H591" s="7" t="s">
        <v>35</v>
      </c>
      <c r="I591" s="8">
        <v>510960</v>
      </c>
      <c r="J591" s="7" t="s">
        <v>436</v>
      </c>
      <c r="K591" s="44">
        <v>24</v>
      </c>
      <c r="L591" s="44">
        <v>3</v>
      </c>
      <c r="M591" s="44">
        <v>5</v>
      </c>
      <c r="N591" s="8" t="s">
        <v>184</v>
      </c>
      <c r="O591" s="8" t="s">
        <v>187</v>
      </c>
      <c r="P591" s="8" t="s">
        <v>173</v>
      </c>
      <c r="Q591" s="8"/>
    </row>
    <row r="592" spans="1:17" x14ac:dyDescent="0.25">
      <c r="A592" s="1">
        <v>92</v>
      </c>
      <c r="C592" s="7" t="s">
        <v>430</v>
      </c>
      <c r="D592" s="17">
        <v>21876</v>
      </c>
      <c r="E592" s="7" t="s">
        <v>11</v>
      </c>
      <c r="F592" s="7" t="s">
        <v>434</v>
      </c>
      <c r="G592" s="7" t="s">
        <v>89</v>
      </c>
      <c r="H592" s="7" t="s">
        <v>35</v>
      </c>
      <c r="I592" s="8">
        <v>510960</v>
      </c>
      <c r="J592" s="7" t="s">
        <v>436</v>
      </c>
      <c r="K592" s="44">
        <v>16</v>
      </c>
      <c r="L592" s="44">
        <v>2</v>
      </c>
      <c r="M592" s="44">
        <v>17</v>
      </c>
      <c r="N592" s="8" t="s">
        <v>188</v>
      </c>
      <c r="O592" s="8" t="s">
        <v>189</v>
      </c>
      <c r="P592" s="8" t="s">
        <v>173</v>
      </c>
      <c r="Q592" s="8"/>
    </row>
    <row r="593" spans="1:17" x14ac:dyDescent="0.25">
      <c r="A593" s="1">
        <v>93</v>
      </c>
      <c r="C593" s="7" t="s">
        <v>430</v>
      </c>
      <c r="D593" s="17">
        <v>21901</v>
      </c>
      <c r="E593" s="7" t="s">
        <v>11</v>
      </c>
      <c r="F593" s="7" t="s">
        <v>434</v>
      </c>
      <c r="G593" s="7" t="s">
        <v>40</v>
      </c>
      <c r="H593" s="7" t="s">
        <v>35</v>
      </c>
      <c r="I593" s="8">
        <v>510960</v>
      </c>
      <c r="J593" s="7" t="s">
        <v>436</v>
      </c>
      <c r="K593" s="44">
        <v>24</v>
      </c>
      <c r="L593" s="44">
        <v>3</v>
      </c>
      <c r="M593" s="44">
        <v>20</v>
      </c>
      <c r="N593" s="8" t="s">
        <v>361</v>
      </c>
      <c r="O593" s="8" t="s">
        <v>191</v>
      </c>
      <c r="P593" s="8" t="s">
        <v>173</v>
      </c>
      <c r="Q593" s="8"/>
    </row>
    <row r="594" spans="1:17" x14ac:dyDescent="0.25">
      <c r="A594" s="1">
        <v>94</v>
      </c>
      <c r="C594" s="7" t="s">
        <v>430</v>
      </c>
      <c r="D594" s="17">
        <v>21875</v>
      </c>
      <c r="E594" s="7" t="s">
        <v>11</v>
      </c>
      <c r="F594" s="7" t="s">
        <v>434</v>
      </c>
      <c r="G594" s="7" t="s">
        <v>89</v>
      </c>
      <c r="H594" s="7" t="s">
        <v>35</v>
      </c>
      <c r="I594" s="8">
        <v>510960</v>
      </c>
      <c r="J594" s="7" t="s">
        <v>436</v>
      </c>
      <c r="K594" s="44">
        <v>16</v>
      </c>
      <c r="L594" s="44">
        <v>2</v>
      </c>
      <c r="M594" s="44">
        <v>20</v>
      </c>
      <c r="N594" s="8" t="s">
        <v>192</v>
      </c>
      <c r="O594" s="8" t="s">
        <v>193</v>
      </c>
      <c r="P594" s="8" t="s">
        <v>173</v>
      </c>
      <c r="Q594" s="8"/>
    </row>
    <row r="595" spans="1:17" x14ac:dyDescent="0.25">
      <c r="A595" s="1">
        <v>95</v>
      </c>
      <c r="C595" s="7" t="s">
        <v>430</v>
      </c>
      <c r="D595" s="17">
        <v>21900</v>
      </c>
      <c r="E595" s="7" t="s">
        <v>11</v>
      </c>
      <c r="F595" s="7" t="s">
        <v>434</v>
      </c>
      <c r="G595" s="7" t="s">
        <v>40</v>
      </c>
      <c r="H595" s="7" t="s">
        <v>35</v>
      </c>
      <c r="I595" s="8">
        <v>510960</v>
      </c>
      <c r="J595" s="7" t="s">
        <v>436</v>
      </c>
      <c r="K595" s="44">
        <v>24</v>
      </c>
      <c r="L595" s="44">
        <v>3</v>
      </c>
      <c r="M595" s="44">
        <v>20</v>
      </c>
      <c r="N595" s="8" t="s">
        <v>195</v>
      </c>
      <c r="O595" s="8" t="s">
        <v>197</v>
      </c>
      <c r="P595" s="8" t="s">
        <v>173</v>
      </c>
      <c r="Q595" s="8"/>
    </row>
    <row r="596" spans="1:17" x14ac:dyDescent="0.25">
      <c r="A596" s="1">
        <v>96</v>
      </c>
      <c r="C596" s="7" t="s">
        <v>430</v>
      </c>
      <c r="D596" s="17">
        <v>21874</v>
      </c>
      <c r="E596" s="7" t="s">
        <v>11</v>
      </c>
      <c r="F596" s="7" t="s">
        <v>434</v>
      </c>
      <c r="G596" s="7" t="s">
        <v>89</v>
      </c>
      <c r="H596" s="7" t="s">
        <v>35</v>
      </c>
      <c r="I596" s="8">
        <v>510960</v>
      </c>
      <c r="J596" s="7" t="s">
        <v>436</v>
      </c>
      <c r="K596" s="44">
        <v>16</v>
      </c>
      <c r="L596" s="44">
        <v>2</v>
      </c>
      <c r="M596" s="44">
        <v>20</v>
      </c>
      <c r="N596" s="8" t="s">
        <v>198</v>
      </c>
      <c r="O596" s="8" t="s">
        <v>200</v>
      </c>
      <c r="P596" s="8" t="s">
        <v>173</v>
      </c>
      <c r="Q596" s="8"/>
    </row>
    <row r="597" spans="1:17" x14ac:dyDescent="0.25">
      <c r="A597" s="1">
        <v>97</v>
      </c>
      <c r="C597" s="7" t="s">
        <v>430</v>
      </c>
      <c r="D597" s="17">
        <v>21899</v>
      </c>
      <c r="E597" s="7" t="s">
        <v>11</v>
      </c>
      <c r="F597" s="7" t="s">
        <v>434</v>
      </c>
      <c r="G597" s="7" t="s">
        <v>40</v>
      </c>
      <c r="H597" s="7" t="s">
        <v>35</v>
      </c>
      <c r="I597" s="8">
        <v>510960</v>
      </c>
      <c r="J597" s="7" t="s">
        <v>436</v>
      </c>
      <c r="K597" s="44">
        <v>24</v>
      </c>
      <c r="L597" s="44">
        <v>3</v>
      </c>
      <c r="M597" s="44">
        <v>20</v>
      </c>
      <c r="N597" s="8" t="s">
        <v>327</v>
      </c>
      <c r="O597" s="8" t="s">
        <v>204</v>
      </c>
      <c r="P597" s="8" t="s">
        <v>202</v>
      </c>
      <c r="Q597" s="8"/>
    </row>
    <row r="598" spans="1:17" x14ac:dyDescent="0.25">
      <c r="A598" s="1">
        <v>98</v>
      </c>
      <c r="C598" s="7" t="s">
        <v>430</v>
      </c>
      <c r="D598" s="17">
        <v>21873</v>
      </c>
      <c r="E598" s="7" t="s">
        <v>11</v>
      </c>
      <c r="F598" s="7" t="s">
        <v>434</v>
      </c>
      <c r="G598" s="7" t="s">
        <v>89</v>
      </c>
      <c r="H598" s="7" t="s">
        <v>35</v>
      </c>
      <c r="I598" s="8">
        <v>510960</v>
      </c>
      <c r="J598" s="7" t="s">
        <v>436</v>
      </c>
      <c r="K598" s="44">
        <v>16</v>
      </c>
      <c r="L598" s="44">
        <v>2</v>
      </c>
      <c r="M598" s="44">
        <v>20</v>
      </c>
      <c r="N598" s="8" t="s">
        <v>205</v>
      </c>
      <c r="O598" s="8" t="s">
        <v>206</v>
      </c>
      <c r="P598" s="8" t="s">
        <v>202</v>
      </c>
      <c r="Q598" s="8"/>
    </row>
    <row r="599" spans="1:17" x14ac:dyDescent="0.25">
      <c r="A599" s="1">
        <v>99</v>
      </c>
      <c r="C599" s="7" t="s">
        <v>430</v>
      </c>
      <c r="D599" s="17">
        <v>21898</v>
      </c>
      <c r="E599" s="7" t="s">
        <v>11</v>
      </c>
      <c r="F599" s="7" t="s">
        <v>434</v>
      </c>
      <c r="G599" s="7" t="s">
        <v>40</v>
      </c>
      <c r="H599" s="7" t="s">
        <v>35</v>
      </c>
      <c r="I599" s="8">
        <v>510960</v>
      </c>
      <c r="J599" s="7" t="s">
        <v>436</v>
      </c>
      <c r="K599" s="44">
        <v>24</v>
      </c>
      <c r="L599" s="44">
        <v>3</v>
      </c>
      <c r="M599" s="44">
        <v>20</v>
      </c>
      <c r="N599" s="8" t="s">
        <v>208</v>
      </c>
      <c r="O599" s="8" t="s">
        <v>209</v>
      </c>
      <c r="P599" s="8" t="s">
        <v>202</v>
      </c>
      <c r="Q599" s="8"/>
    </row>
    <row r="600" spans="1:17" x14ac:dyDescent="0.25">
      <c r="A600" s="1">
        <v>100</v>
      </c>
      <c r="C600" s="7" t="s">
        <v>430</v>
      </c>
      <c r="D600" s="17">
        <v>21897</v>
      </c>
      <c r="E600" s="7" t="s">
        <v>11</v>
      </c>
      <c r="F600" s="7" t="s">
        <v>434</v>
      </c>
      <c r="G600" s="7" t="s">
        <v>40</v>
      </c>
      <c r="H600" s="7" t="s">
        <v>35</v>
      </c>
      <c r="I600" s="8">
        <v>510960</v>
      </c>
      <c r="J600" s="7" t="s">
        <v>436</v>
      </c>
      <c r="K600" s="44">
        <v>24</v>
      </c>
      <c r="L600" s="44">
        <v>3</v>
      </c>
      <c r="M600" s="44">
        <v>20</v>
      </c>
      <c r="N600" s="8" t="s">
        <v>333</v>
      </c>
      <c r="O600" s="8" t="s">
        <v>215</v>
      </c>
      <c r="P600" s="8" t="s">
        <v>202</v>
      </c>
      <c r="Q600" s="8"/>
    </row>
    <row r="601" spans="1:17" x14ac:dyDescent="0.25">
      <c r="A601" s="1">
        <v>101</v>
      </c>
      <c r="C601" s="7" t="s">
        <v>430</v>
      </c>
      <c r="D601" s="17">
        <v>21896</v>
      </c>
      <c r="E601" s="7" t="s">
        <v>11</v>
      </c>
      <c r="F601" s="7" t="s">
        <v>434</v>
      </c>
      <c r="G601" s="7" t="s">
        <v>40</v>
      </c>
      <c r="H601" s="7" t="s">
        <v>35</v>
      </c>
      <c r="I601" s="8">
        <v>510960</v>
      </c>
      <c r="J601" s="7" t="s">
        <v>436</v>
      </c>
      <c r="K601" s="44">
        <v>24</v>
      </c>
      <c r="L601" s="44">
        <v>3</v>
      </c>
      <c r="M601" s="44">
        <v>20</v>
      </c>
      <c r="N601" s="8" t="s">
        <v>220</v>
      </c>
      <c r="O601" s="8" t="s">
        <v>222</v>
      </c>
      <c r="P601" s="8" t="s">
        <v>202</v>
      </c>
      <c r="Q601" s="8"/>
    </row>
    <row r="602" spans="1:17" x14ac:dyDescent="0.25">
      <c r="A602" s="1">
        <v>102</v>
      </c>
      <c r="C602" s="7" t="s">
        <v>430</v>
      </c>
      <c r="D602" s="17">
        <v>21895</v>
      </c>
      <c r="E602" s="7" t="s">
        <v>11</v>
      </c>
      <c r="F602" s="7" t="s">
        <v>434</v>
      </c>
      <c r="G602" s="7" t="s">
        <v>40</v>
      </c>
      <c r="H602" s="7" t="s">
        <v>35</v>
      </c>
      <c r="I602" s="8">
        <v>510960</v>
      </c>
      <c r="J602" s="7" t="s">
        <v>436</v>
      </c>
      <c r="K602" s="44">
        <v>24</v>
      </c>
      <c r="L602" s="44">
        <v>3</v>
      </c>
      <c r="M602" s="44">
        <v>20</v>
      </c>
      <c r="N602" s="8" t="s">
        <v>226</v>
      </c>
      <c r="O602" s="8" t="s">
        <v>228</v>
      </c>
      <c r="P602" s="8" t="s">
        <v>227</v>
      </c>
      <c r="Q602" s="8"/>
    </row>
    <row r="603" spans="1:17" x14ac:dyDescent="0.25">
      <c r="A603" s="1">
        <v>103</v>
      </c>
      <c r="C603" s="7" t="s">
        <v>430</v>
      </c>
      <c r="D603" s="17">
        <v>21894</v>
      </c>
      <c r="E603" s="7" t="s">
        <v>11</v>
      </c>
      <c r="F603" s="7" t="s">
        <v>434</v>
      </c>
      <c r="G603" s="7" t="s">
        <v>40</v>
      </c>
      <c r="H603" s="7" t="s">
        <v>35</v>
      </c>
      <c r="I603" s="8">
        <v>510960</v>
      </c>
      <c r="J603" s="7" t="s">
        <v>436</v>
      </c>
      <c r="K603" s="44">
        <v>24</v>
      </c>
      <c r="L603" s="44">
        <v>3</v>
      </c>
      <c r="M603" s="44">
        <v>20</v>
      </c>
      <c r="N603" s="8" t="s">
        <v>230</v>
      </c>
      <c r="O603" s="8" t="s">
        <v>366</v>
      </c>
      <c r="P603" s="8" t="s">
        <v>227</v>
      </c>
      <c r="Q603" s="8"/>
    </row>
    <row r="604" spans="1:17" x14ac:dyDescent="0.25">
      <c r="A604" s="1">
        <v>104</v>
      </c>
      <c r="C604" s="7" t="s">
        <v>430</v>
      </c>
      <c r="D604" s="17">
        <v>21893</v>
      </c>
      <c r="E604" s="7" t="s">
        <v>11</v>
      </c>
      <c r="F604" s="7" t="s">
        <v>434</v>
      </c>
      <c r="G604" s="7" t="s">
        <v>40</v>
      </c>
      <c r="H604" s="7" t="s">
        <v>35</v>
      </c>
      <c r="I604" s="8">
        <v>510960</v>
      </c>
      <c r="J604" s="7" t="s">
        <v>436</v>
      </c>
      <c r="K604" s="44">
        <v>24</v>
      </c>
      <c r="L604" s="44">
        <v>3</v>
      </c>
      <c r="M604" s="44">
        <v>20</v>
      </c>
      <c r="N604" s="8" t="s">
        <v>236</v>
      </c>
      <c r="O604" s="8" t="s">
        <v>238</v>
      </c>
      <c r="P604" s="8" t="s">
        <v>227</v>
      </c>
      <c r="Q604" s="8"/>
    </row>
    <row r="605" spans="1:17" x14ac:dyDescent="0.25">
      <c r="A605" s="1">
        <v>105</v>
      </c>
      <c r="C605" s="7" t="s">
        <v>430</v>
      </c>
      <c r="D605" s="17">
        <v>21828</v>
      </c>
      <c r="E605" s="7" t="s">
        <v>11</v>
      </c>
      <c r="F605" s="7" t="s">
        <v>434</v>
      </c>
      <c r="G605" s="7" t="s">
        <v>321</v>
      </c>
      <c r="H605" s="7" t="s">
        <v>35</v>
      </c>
      <c r="I605" s="8">
        <v>529808</v>
      </c>
      <c r="J605" s="7" t="s">
        <v>437</v>
      </c>
      <c r="K605" s="44">
        <v>16</v>
      </c>
      <c r="L605" s="44">
        <v>2</v>
      </c>
      <c r="M605" s="44">
        <v>8</v>
      </c>
      <c r="N605" s="8" t="s">
        <v>335</v>
      </c>
      <c r="O605" s="8" t="s">
        <v>445</v>
      </c>
      <c r="P605" s="8" t="s">
        <v>227</v>
      </c>
      <c r="Q605" s="8"/>
    </row>
    <row r="606" spans="1:17" x14ac:dyDescent="0.25">
      <c r="A606" s="1">
        <v>106</v>
      </c>
      <c r="C606" s="7" t="s">
        <v>430</v>
      </c>
      <c r="D606" s="17">
        <v>21892</v>
      </c>
      <c r="E606" s="7" t="s">
        <v>11</v>
      </c>
      <c r="F606" s="7" t="s">
        <v>434</v>
      </c>
      <c r="G606" s="7" t="s">
        <v>40</v>
      </c>
      <c r="H606" s="7" t="s">
        <v>35</v>
      </c>
      <c r="I606" s="8">
        <v>510960</v>
      </c>
      <c r="J606" s="7" t="s">
        <v>436</v>
      </c>
      <c r="K606" s="44">
        <v>24</v>
      </c>
      <c r="L606" s="44">
        <v>3</v>
      </c>
      <c r="M606" s="44">
        <v>20</v>
      </c>
      <c r="N606" s="8" t="s">
        <v>335</v>
      </c>
      <c r="O606" s="8" t="s">
        <v>243</v>
      </c>
      <c r="P606" s="8" t="s">
        <v>227</v>
      </c>
      <c r="Q606" s="8"/>
    </row>
    <row r="607" spans="1:17" x14ac:dyDescent="0.25">
      <c r="A607" s="1">
        <v>107</v>
      </c>
      <c r="C607" s="7" t="s">
        <v>430</v>
      </c>
      <c r="D607" s="17">
        <v>21891</v>
      </c>
      <c r="E607" s="7" t="s">
        <v>11</v>
      </c>
      <c r="F607" s="7" t="s">
        <v>434</v>
      </c>
      <c r="G607" s="7" t="s">
        <v>40</v>
      </c>
      <c r="H607" s="7" t="s">
        <v>35</v>
      </c>
      <c r="I607" s="8">
        <v>510960</v>
      </c>
      <c r="J607" s="7" t="s">
        <v>436</v>
      </c>
      <c r="K607" s="44">
        <v>24</v>
      </c>
      <c r="L607" s="44">
        <v>3</v>
      </c>
      <c r="M607" s="44">
        <v>20</v>
      </c>
      <c r="N607" s="8" t="s">
        <v>384</v>
      </c>
      <c r="O607" s="8" t="s">
        <v>247</v>
      </c>
      <c r="P607" s="8" t="s">
        <v>227</v>
      </c>
      <c r="Q607" s="8"/>
    </row>
    <row r="608" spans="1:17" x14ac:dyDescent="0.25">
      <c r="A608" s="1">
        <v>108</v>
      </c>
      <c r="C608" s="7" t="s">
        <v>430</v>
      </c>
      <c r="D608" s="17">
        <v>21890</v>
      </c>
      <c r="E608" s="7" t="s">
        <v>11</v>
      </c>
      <c r="F608" s="7" t="s">
        <v>434</v>
      </c>
      <c r="G608" s="7" t="s">
        <v>40</v>
      </c>
      <c r="H608" s="7" t="s">
        <v>35</v>
      </c>
      <c r="I608" s="8">
        <v>510960</v>
      </c>
      <c r="J608" s="7" t="s">
        <v>436</v>
      </c>
      <c r="K608" s="44">
        <v>24</v>
      </c>
      <c r="L608" s="44">
        <v>3</v>
      </c>
      <c r="M608" s="44">
        <v>19</v>
      </c>
      <c r="N608" s="8" t="s">
        <v>250</v>
      </c>
      <c r="O608" s="8" t="s">
        <v>252</v>
      </c>
      <c r="P608" s="8" t="s">
        <v>249</v>
      </c>
      <c r="Q608" s="8"/>
    </row>
    <row r="609" spans="1:17" x14ac:dyDescent="0.25">
      <c r="A609" s="1">
        <v>1</v>
      </c>
      <c r="C609" s="7" t="s">
        <v>278</v>
      </c>
      <c r="D609" s="17">
        <v>25425</v>
      </c>
      <c r="E609" s="7" t="s">
        <v>11</v>
      </c>
      <c r="F609" s="7" t="s">
        <v>74</v>
      </c>
      <c r="G609" s="7" t="s">
        <v>89</v>
      </c>
      <c r="H609" s="8" t="s">
        <v>35</v>
      </c>
      <c r="I609" s="8">
        <v>570530</v>
      </c>
      <c r="J609" s="7" t="s">
        <v>446</v>
      </c>
      <c r="K609" s="38">
        <v>16</v>
      </c>
      <c r="L609" s="38">
        <v>4</v>
      </c>
      <c r="M609" s="38">
        <v>20</v>
      </c>
      <c r="N609" s="8" t="s">
        <v>49</v>
      </c>
      <c r="O609" s="18">
        <v>44259</v>
      </c>
      <c r="P609" s="8" t="s">
        <v>50</v>
      </c>
      <c r="Q609" s="8"/>
    </row>
    <row r="610" spans="1:17" x14ac:dyDescent="0.25">
      <c r="A610" s="1">
        <v>2</v>
      </c>
      <c r="C610" s="7" t="s">
        <v>278</v>
      </c>
      <c r="D610" s="17">
        <v>25263</v>
      </c>
      <c r="E610" s="7" t="s">
        <v>11</v>
      </c>
      <c r="F610" s="7" t="s">
        <v>74</v>
      </c>
      <c r="G610" s="7" t="s">
        <v>264</v>
      </c>
      <c r="H610" s="8" t="s">
        <v>35</v>
      </c>
      <c r="I610" s="8">
        <v>413600</v>
      </c>
      <c r="J610" s="7" t="s">
        <v>320</v>
      </c>
      <c r="K610" s="38">
        <v>8</v>
      </c>
      <c r="L610" s="38">
        <v>4</v>
      </c>
      <c r="M610" s="38">
        <v>11</v>
      </c>
      <c r="N610" s="8" t="s">
        <v>266</v>
      </c>
      <c r="O610" s="18">
        <v>44294</v>
      </c>
      <c r="P610" s="8" t="s">
        <v>60</v>
      </c>
      <c r="Q610" s="8"/>
    </row>
    <row r="611" spans="1:17" x14ac:dyDescent="0.25">
      <c r="A611" s="106">
        <v>3</v>
      </c>
      <c r="B611" s="110"/>
      <c r="C611" s="107" t="s">
        <v>278</v>
      </c>
      <c r="D611" s="108">
        <v>25401</v>
      </c>
      <c r="E611" s="107" t="s">
        <v>11</v>
      </c>
      <c r="F611" s="107" t="s">
        <v>74</v>
      </c>
      <c r="G611" s="107" t="s">
        <v>89</v>
      </c>
      <c r="H611" s="46" t="s">
        <v>35</v>
      </c>
      <c r="I611" s="46">
        <v>413600</v>
      </c>
      <c r="J611" s="107" t="s">
        <v>320</v>
      </c>
      <c r="K611" s="126">
        <v>16</v>
      </c>
      <c r="L611" s="126">
        <v>2</v>
      </c>
      <c r="M611" s="126">
        <v>20</v>
      </c>
      <c r="N611" s="46" t="s">
        <v>344</v>
      </c>
      <c r="O611" s="47">
        <v>44299</v>
      </c>
      <c r="P611" s="46" t="s">
        <v>60</v>
      </c>
      <c r="Q611" s="8"/>
    </row>
    <row r="612" spans="1:17" x14ac:dyDescent="0.25">
      <c r="A612" s="1">
        <v>4</v>
      </c>
      <c r="C612" s="7" t="s">
        <v>278</v>
      </c>
      <c r="D612" s="17">
        <v>25405</v>
      </c>
      <c r="E612" s="7" t="s">
        <v>11</v>
      </c>
      <c r="F612" s="7" t="s">
        <v>74</v>
      </c>
      <c r="G612" s="7" t="s">
        <v>89</v>
      </c>
      <c r="H612" s="8" t="s">
        <v>35</v>
      </c>
      <c r="I612" s="8">
        <v>359204</v>
      </c>
      <c r="J612" s="7" t="s">
        <v>447</v>
      </c>
      <c r="K612" s="38">
        <v>16</v>
      </c>
      <c r="L612" s="38">
        <v>2</v>
      </c>
      <c r="M612" s="38">
        <v>20</v>
      </c>
      <c r="N612" s="8" t="s">
        <v>377</v>
      </c>
      <c r="O612" s="18">
        <v>44313</v>
      </c>
      <c r="P612" s="8" t="s">
        <v>60</v>
      </c>
      <c r="Q612" s="8"/>
    </row>
    <row r="613" spans="1:17" x14ac:dyDescent="0.25">
      <c r="A613" s="1">
        <v>5</v>
      </c>
      <c r="C613" s="7" t="s">
        <v>278</v>
      </c>
      <c r="D613" s="17">
        <v>25415</v>
      </c>
      <c r="E613" s="7" t="s">
        <v>11</v>
      </c>
      <c r="F613" s="7" t="s">
        <v>74</v>
      </c>
      <c r="G613" s="7" t="s">
        <v>89</v>
      </c>
      <c r="H613" s="8" t="s">
        <v>35</v>
      </c>
      <c r="I613" s="8">
        <v>570530</v>
      </c>
      <c r="J613" s="7" t="s">
        <v>446</v>
      </c>
      <c r="K613" s="38">
        <v>16</v>
      </c>
      <c r="L613" s="38">
        <v>2</v>
      </c>
      <c r="M613" s="38">
        <v>20</v>
      </c>
      <c r="N613" s="8" t="s">
        <v>413</v>
      </c>
      <c r="O613" s="18">
        <v>44314</v>
      </c>
      <c r="P613" s="8" t="s">
        <v>60</v>
      </c>
      <c r="Q613" s="8"/>
    </row>
    <row r="614" spans="1:17" x14ac:dyDescent="0.25">
      <c r="A614" s="1">
        <v>9</v>
      </c>
      <c r="C614" s="7" t="s">
        <v>278</v>
      </c>
      <c r="D614" s="17">
        <v>25421</v>
      </c>
      <c r="E614" s="7" t="s">
        <v>11</v>
      </c>
      <c r="F614" s="7" t="s">
        <v>74</v>
      </c>
      <c r="G614" s="7" t="s">
        <v>89</v>
      </c>
      <c r="H614" s="8" t="s">
        <v>35</v>
      </c>
      <c r="I614" s="8">
        <v>570530</v>
      </c>
      <c r="J614" s="7" t="s">
        <v>446</v>
      </c>
      <c r="K614" s="38">
        <v>16</v>
      </c>
      <c r="L614" s="38">
        <v>4</v>
      </c>
      <c r="M614" s="38">
        <v>15</v>
      </c>
      <c r="N614" s="8" t="s">
        <v>281</v>
      </c>
      <c r="O614" s="18">
        <v>44336</v>
      </c>
      <c r="P614" s="8" t="s">
        <v>77</v>
      </c>
      <c r="Q614" s="8"/>
    </row>
    <row r="615" spans="1:17" x14ac:dyDescent="0.25">
      <c r="A615" s="1">
        <v>14</v>
      </c>
      <c r="C615" s="7" t="s">
        <v>278</v>
      </c>
      <c r="D615" s="17">
        <v>25423</v>
      </c>
      <c r="E615" s="7" t="s">
        <v>11</v>
      </c>
      <c r="F615" s="7" t="s">
        <v>74</v>
      </c>
      <c r="G615" s="7" t="s">
        <v>89</v>
      </c>
      <c r="H615" s="8" t="s">
        <v>35</v>
      </c>
      <c r="I615" s="8">
        <v>570530</v>
      </c>
      <c r="J615" s="7" t="s">
        <v>446</v>
      </c>
      <c r="K615" s="38">
        <v>16</v>
      </c>
      <c r="L615" s="38">
        <v>4</v>
      </c>
      <c r="M615" s="38">
        <v>15</v>
      </c>
      <c r="N615" s="8" t="s">
        <v>350</v>
      </c>
      <c r="O615" s="18">
        <v>44350</v>
      </c>
      <c r="P615" s="8" t="s">
        <v>77</v>
      </c>
      <c r="Q615" s="8"/>
    </row>
    <row r="616" spans="1:17" x14ac:dyDescent="0.25">
      <c r="A616" s="1">
        <v>22</v>
      </c>
      <c r="C616" s="7" t="s">
        <v>278</v>
      </c>
      <c r="D616" s="17">
        <v>25409</v>
      </c>
      <c r="E616" s="7" t="s">
        <v>11</v>
      </c>
      <c r="F616" s="7" t="s">
        <v>74</v>
      </c>
      <c r="G616" s="7" t="s">
        <v>89</v>
      </c>
      <c r="H616" s="8" t="s">
        <v>35</v>
      </c>
      <c r="I616" s="8">
        <v>570530</v>
      </c>
      <c r="J616" s="7" t="s">
        <v>446</v>
      </c>
      <c r="K616" s="38">
        <v>16</v>
      </c>
      <c r="L616" s="38">
        <v>2</v>
      </c>
      <c r="M616" s="38">
        <v>15</v>
      </c>
      <c r="N616" s="8" t="s">
        <v>306</v>
      </c>
      <c r="O616" s="18">
        <v>44376</v>
      </c>
      <c r="P616" s="8" t="s">
        <v>100</v>
      </c>
      <c r="Q616" s="8"/>
    </row>
    <row r="617" spans="1:17" x14ac:dyDescent="0.25">
      <c r="A617" s="1">
        <v>23</v>
      </c>
      <c r="C617" s="7" t="s">
        <v>278</v>
      </c>
      <c r="D617" s="17">
        <v>26753</v>
      </c>
      <c r="E617" s="7" t="s">
        <v>6</v>
      </c>
      <c r="F617" s="7" t="s">
        <v>352</v>
      </c>
      <c r="G617" s="7" t="s">
        <v>89</v>
      </c>
      <c r="H617" s="8" t="s">
        <v>35</v>
      </c>
      <c r="I617" s="8">
        <v>428350</v>
      </c>
      <c r="J617" s="7" t="s">
        <v>448</v>
      </c>
      <c r="K617" s="38">
        <v>16</v>
      </c>
      <c r="L617" s="38">
        <v>2</v>
      </c>
      <c r="M617" s="38">
        <v>1</v>
      </c>
      <c r="N617" s="8" t="s">
        <v>310</v>
      </c>
      <c r="O617" s="18">
        <v>44383</v>
      </c>
      <c r="P617" s="8" t="s">
        <v>119</v>
      </c>
      <c r="Q617" s="8"/>
    </row>
    <row r="618" spans="1:17" x14ac:dyDescent="0.25">
      <c r="A618" s="1">
        <v>24</v>
      </c>
      <c r="C618" s="7" t="s">
        <v>278</v>
      </c>
      <c r="D618" s="17">
        <v>25262</v>
      </c>
      <c r="E618" s="7" t="s">
        <v>11</v>
      </c>
      <c r="F618" s="7" t="s">
        <v>74</v>
      </c>
      <c r="G618" s="7" t="s">
        <v>264</v>
      </c>
      <c r="H618" s="8" t="s">
        <v>35</v>
      </c>
      <c r="I618" s="8">
        <v>413600</v>
      </c>
      <c r="J618" s="7" t="s">
        <v>320</v>
      </c>
      <c r="K618" s="38">
        <v>8</v>
      </c>
      <c r="L618" s="38">
        <v>4</v>
      </c>
      <c r="M618" s="38">
        <v>15</v>
      </c>
      <c r="N618" s="8" t="s">
        <v>310</v>
      </c>
      <c r="O618" s="18">
        <v>44385</v>
      </c>
      <c r="P618" s="8" t="s">
        <v>119</v>
      </c>
      <c r="Q618" s="8"/>
    </row>
    <row r="619" spans="1:17" x14ac:dyDescent="0.25">
      <c r="A619" s="1">
        <v>25</v>
      </c>
      <c r="C619" s="7" t="s">
        <v>449</v>
      </c>
      <c r="D619" s="17">
        <v>25428</v>
      </c>
      <c r="E619" s="7" t="s">
        <v>11</v>
      </c>
      <c r="F619" s="7" t="s">
        <v>450</v>
      </c>
      <c r="G619" s="7" t="s">
        <v>171</v>
      </c>
      <c r="H619" s="7" t="s">
        <v>35</v>
      </c>
      <c r="I619" s="8">
        <v>510687</v>
      </c>
      <c r="J619" s="7" t="s">
        <v>451</v>
      </c>
      <c r="K619" s="38">
        <v>8</v>
      </c>
      <c r="L619" s="38">
        <v>1</v>
      </c>
      <c r="M619" s="38">
        <v>1</v>
      </c>
      <c r="N619" s="8" t="s">
        <v>357</v>
      </c>
      <c r="O619" s="8" t="s">
        <v>357</v>
      </c>
      <c r="P619" s="8" t="s">
        <v>119</v>
      </c>
      <c r="Q619" s="8"/>
    </row>
    <row r="620" spans="1:17" x14ac:dyDescent="0.25">
      <c r="A620" s="1">
        <v>29</v>
      </c>
      <c r="C620" s="7" t="s">
        <v>449</v>
      </c>
      <c r="D620" s="17">
        <v>21986</v>
      </c>
      <c r="E620" s="7" t="s">
        <v>8</v>
      </c>
      <c r="F620" s="7" t="s">
        <v>142</v>
      </c>
      <c r="G620" s="7" t="s">
        <v>105</v>
      </c>
      <c r="H620" s="7" t="s">
        <v>35</v>
      </c>
      <c r="I620" s="8">
        <v>374778</v>
      </c>
      <c r="J620" s="7" t="s">
        <v>452</v>
      </c>
      <c r="K620" s="38">
        <v>16</v>
      </c>
      <c r="L620" s="38">
        <v>2</v>
      </c>
      <c r="M620" s="38">
        <v>4</v>
      </c>
      <c r="N620" s="8" t="s">
        <v>161</v>
      </c>
      <c r="O620" s="8" t="s">
        <v>164</v>
      </c>
      <c r="P620" s="8" t="s">
        <v>141</v>
      </c>
      <c r="Q620" s="8"/>
    </row>
    <row r="621" spans="1:17" x14ac:dyDescent="0.25">
      <c r="A621" s="1">
        <v>33</v>
      </c>
      <c r="C621" s="7" t="s">
        <v>449</v>
      </c>
      <c r="D621" s="17">
        <v>25587</v>
      </c>
      <c r="E621" s="7" t="s">
        <v>11</v>
      </c>
      <c r="F621" s="7" t="s">
        <v>74</v>
      </c>
      <c r="G621" s="7" t="s">
        <v>288</v>
      </c>
      <c r="H621" s="7" t="s">
        <v>35</v>
      </c>
      <c r="I621" s="8">
        <v>374123</v>
      </c>
      <c r="J621" s="7" t="s">
        <v>412</v>
      </c>
      <c r="K621" s="38">
        <v>16</v>
      </c>
      <c r="L621" s="38">
        <v>2</v>
      </c>
      <c r="M621" s="38">
        <v>15</v>
      </c>
      <c r="N621" s="8" t="s">
        <v>192</v>
      </c>
      <c r="O621" s="8" t="s">
        <v>193</v>
      </c>
      <c r="P621" s="8" t="s">
        <v>173</v>
      </c>
      <c r="Q621" s="8"/>
    </row>
    <row r="622" spans="1:17" x14ac:dyDescent="0.25">
      <c r="A622" s="130">
        <v>6</v>
      </c>
      <c r="B622" s="131"/>
      <c r="C622" s="132" t="s">
        <v>278</v>
      </c>
      <c r="D622" s="133">
        <v>25422</v>
      </c>
      <c r="E622" s="132" t="s">
        <v>11</v>
      </c>
      <c r="F622" s="132" t="s">
        <v>74</v>
      </c>
      <c r="G622" s="132" t="s">
        <v>89</v>
      </c>
      <c r="H622" s="134" t="s">
        <v>35</v>
      </c>
      <c r="I622" s="134">
        <v>570530</v>
      </c>
      <c r="J622" s="132" t="s">
        <v>446</v>
      </c>
      <c r="K622" s="137">
        <v>16</v>
      </c>
      <c r="L622" s="137">
        <v>4</v>
      </c>
      <c r="M622" s="137">
        <v>15</v>
      </c>
      <c r="N622" s="134" t="s">
        <v>425</v>
      </c>
      <c r="O622" s="136">
        <v>44329</v>
      </c>
      <c r="P622" s="134" t="s">
        <v>77</v>
      </c>
      <c r="Q622" s="8"/>
    </row>
    <row r="623" spans="1:17" x14ac:dyDescent="0.25">
      <c r="A623" s="1">
        <v>7</v>
      </c>
      <c r="C623" s="7" t="s">
        <v>319</v>
      </c>
      <c r="D623" s="17">
        <v>22089</v>
      </c>
      <c r="E623" s="7" t="s">
        <v>12</v>
      </c>
      <c r="F623" s="7" t="s">
        <v>442</v>
      </c>
      <c r="G623" s="7" t="s">
        <v>40</v>
      </c>
      <c r="H623" s="8" t="s">
        <v>35</v>
      </c>
      <c r="I623" s="8">
        <v>201275</v>
      </c>
      <c r="J623" s="7" t="s">
        <v>453</v>
      </c>
      <c r="K623" s="38">
        <v>24</v>
      </c>
      <c r="L623" s="38">
        <v>3</v>
      </c>
      <c r="M623" s="38">
        <v>10</v>
      </c>
      <c r="N623" s="8" t="s">
        <v>76</v>
      </c>
      <c r="O623" s="18">
        <v>44330</v>
      </c>
      <c r="P623" s="8" t="s">
        <v>77</v>
      </c>
      <c r="Q623" s="8"/>
    </row>
    <row r="624" spans="1:17" x14ac:dyDescent="0.25">
      <c r="A624" s="1">
        <v>8</v>
      </c>
      <c r="C624" s="7" t="s">
        <v>278</v>
      </c>
      <c r="D624" s="17">
        <v>25412</v>
      </c>
      <c r="E624" s="7" t="s">
        <v>11</v>
      </c>
      <c r="F624" s="7" t="s">
        <v>74</v>
      </c>
      <c r="G624" s="7" t="s">
        <v>89</v>
      </c>
      <c r="H624" s="8" t="s">
        <v>35</v>
      </c>
      <c r="I624" s="8">
        <v>413600</v>
      </c>
      <c r="J624" s="7" t="s">
        <v>320</v>
      </c>
      <c r="K624" s="38">
        <v>16</v>
      </c>
      <c r="L624" s="38">
        <v>2</v>
      </c>
      <c r="M624" s="38">
        <v>15</v>
      </c>
      <c r="N624" s="8" t="s">
        <v>281</v>
      </c>
      <c r="O624" s="18">
        <v>44334</v>
      </c>
      <c r="P624" s="8" t="s">
        <v>77</v>
      </c>
      <c r="Q624" s="8"/>
    </row>
    <row r="625" spans="1:17" x14ac:dyDescent="0.25">
      <c r="A625" s="1">
        <v>10</v>
      </c>
      <c r="C625" s="7" t="s">
        <v>449</v>
      </c>
      <c r="D625" s="17">
        <v>28216</v>
      </c>
      <c r="E625" s="7" t="s">
        <v>11</v>
      </c>
      <c r="F625" s="7" t="s">
        <v>450</v>
      </c>
      <c r="G625" s="7" t="s">
        <v>279</v>
      </c>
      <c r="H625" s="7" t="s">
        <v>35</v>
      </c>
      <c r="I625" s="8">
        <v>395269</v>
      </c>
      <c r="J625" s="7" t="s">
        <v>454</v>
      </c>
      <c r="K625" s="38">
        <v>16</v>
      </c>
      <c r="L625" s="38">
        <v>2</v>
      </c>
      <c r="M625" s="38">
        <v>20</v>
      </c>
      <c r="N625" s="8" t="s">
        <v>284</v>
      </c>
      <c r="O625" s="18">
        <v>44337</v>
      </c>
      <c r="P625" s="8" t="s">
        <v>77</v>
      </c>
      <c r="Q625" s="8"/>
    </row>
    <row r="626" spans="1:17" x14ac:dyDescent="0.25">
      <c r="A626" s="1">
        <v>11</v>
      </c>
      <c r="C626" s="7" t="s">
        <v>449</v>
      </c>
      <c r="D626" s="17">
        <v>28209</v>
      </c>
      <c r="E626" s="7" t="s">
        <v>11</v>
      </c>
      <c r="F626" s="7" t="s">
        <v>450</v>
      </c>
      <c r="G626" s="7" t="s">
        <v>346</v>
      </c>
      <c r="H626" s="7" t="s">
        <v>35</v>
      </c>
      <c r="I626" s="8">
        <v>395269</v>
      </c>
      <c r="J626" s="7" t="s">
        <v>454</v>
      </c>
      <c r="K626" s="38">
        <v>16</v>
      </c>
      <c r="L626" s="38">
        <v>2</v>
      </c>
      <c r="M626" s="38">
        <v>20</v>
      </c>
      <c r="N626" s="8" t="s">
        <v>91</v>
      </c>
      <c r="O626" s="18">
        <v>44341</v>
      </c>
      <c r="P626" s="8" t="s">
        <v>77</v>
      </c>
      <c r="Q626" s="8"/>
    </row>
    <row r="627" spans="1:17" x14ac:dyDescent="0.25">
      <c r="A627" s="1">
        <v>12</v>
      </c>
      <c r="C627" s="7" t="s">
        <v>319</v>
      </c>
      <c r="D627" s="17">
        <v>28210</v>
      </c>
      <c r="E627" s="7" t="s">
        <v>11</v>
      </c>
      <c r="F627" s="7" t="s">
        <v>450</v>
      </c>
      <c r="G627" s="7" t="s">
        <v>346</v>
      </c>
      <c r="H627" s="8" t="s">
        <v>35</v>
      </c>
      <c r="I627" s="8">
        <v>395269</v>
      </c>
      <c r="J627" s="7" t="s">
        <v>454</v>
      </c>
      <c r="K627" s="38">
        <v>16</v>
      </c>
      <c r="L627" s="38">
        <v>2</v>
      </c>
      <c r="M627" s="38">
        <v>20</v>
      </c>
      <c r="N627" s="8" t="s">
        <v>97</v>
      </c>
      <c r="O627" s="18">
        <v>44344</v>
      </c>
      <c r="P627" s="8" t="s">
        <v>77</v>
      </c>
      <c r="Q627" s="8"/>
    </row>
    <row r="628" spans="1:17" x14ac:dyDescent="0.25">
      <c r="A628" s="1">
        <v>13</v>
      </c>
      <c r="C628" s="7" t="s">
        <v>449</v>
      </c>
      <c r="D628" s="17">
        <v>25393</v>
      </c>
      <c r="E628" s="7" t="s">
        <v>11</v>
      </c>
      <c r="F628" s="7" t="s">
        <v>74</v>
      </c>
      <c r="G628" s="7" t="s">
        <v>127</v>
      </c>
      <c r="H628" s="7" t="s">
        <v>35</v>
      </c>
      <c r="I628" s="8">
        <v>501348</v>
      </c>
      <c r="J628" s="7" t="s">
        <v>455</v>
      </c>
      <c r="K628" s="38">
        <v>16</v>
      </c>
      <c r="L628" s="38">
        <v>2</v>
      </c>
      <c r="M628" s="38">
        <v>15</v>
      </c>
      <c r="N628" s="8" t="s">
        <v>97</v>
      </c>
      <c r="O628" s="18">
        <v>44344</v>
      </c>
      <c r="P628" s="8" t="s">
        <v>77</v>
      </c>
      <c r="Q628" s="8"/>
    </row>
    <row r="629" spans="1:17" x14ac:dyDescent="0.25">
      <c r="A629" s="1">
        <v>15</v>
      </c>
      <c r="C629" s="7" t="s">
        <v>449</v>
      </c>
      <c r="D629" s="17">
        <v>23557</v>
      </c>
      <c r="E629" s="7" t="s">
        <v>11</v>
      </c>
      <c r="F629" s="7" t="s">
        <v>450</v>
      </c>
      <c r="G629" s="7" t="s">
        <v>40</v>
      </c>
      <c r="H629" s="7" t="s">
        <v>35</v>
      </c>
      <c r="I629" s="8">
        <v>395269</v>
      </c>
      <c r="J629" s="7" t="s">
        <v>454</v>
      </c>
      <c r="K629" s="38">
        <v>24</v>
      </c>
      <c r="L629" s="38">
        <v>3</v>
      </c>
      <c r="M629" s="38">
        <v>20</v>
      </c>
      <c r="N629" s="8" t="s">
        <v>99</v>
      </c>
      <c r="O629" s="8" t="s">
        <v>289</v>
      </c>
      <c r="P629" s="8" t="s">
        <v>100</v>
      </c>
      <c r="Q629" s="8"/>
    </row>
    <row r="630" spans="1:17" x14ac:dyDescent="0.25">
      <c r="A630" s="1">
        <v>16</v>
      </c>
      <c r="C630" s="7" t="s">
        <v>319</v>
      </c>
      <c r="D630" s="17">
        <v>22019</v>
      </c>
      <c r="E630" s="7" t="s">
        <v>12</v>
      </c>
      <c r="F630" s="7" t="s">
        <v>442</v>
      </c>
      <c r="G630" s="7" t="s">
        <v>199</v>
      </c>
      <c r="H630" s="8" t="s">
        <v>35</v>
      </c>
      <c r="I630" s="8">
        <v>201275</v>
      </c>
      <c r="J630" s="7" t="s">
        <v>453</v>
      </c>
      <c r="K630" s="38">
        <v>8</v>
      </c>
      <c r="L630" s="38">
        <v>1</v>
      </c>
      <c r="M630" s="38">
        <v>8</v>
      </c>
      <c r="N630" s="8" t="s">
        <v>295</v>
      </c>
      <c r="O630" s="18">
        <v>44354</v>
      </c>
      <c r="P630" s="8" t="s">
        <v>100</v>
      </c>
      <c r="Q630" s="8"/>
    </row>
    <row r="631" spans="1:17" x14ac:dyDescent="0.25">
      <c r="A631" s="1">
        <v>17</v>
      </c>
      <c r="C631" s="7" t="s">
        <v>319</v>
      </c>
      <c r="D631" s="17">
        <v>23556</v>
      </c>
      <c r="E631" s="7" t="s">
        <v>11</v>
      </c>
      <c r="F631" s="7" t="s">
        <v>450</v>
      </c>
      <c r="G631" s="7" t="s">
        <v>40</v>
      </c>
      <c r="H631" s="8" t="s">
        <v>35</v>
      </c>
      <c r="I631" s="8">
        <v>395269</v>
      </c>
      <c r="J631" s="7" t="s">
        <v>454</v>
      </c>
      <c r="K631" s="38">
        <v>24</v>
      </c>
      <c r="L631" s="38">
        <v>3</v>
      </c>
      <c r="M631" s="38">
        <v>16</v>
      </c>
      <c r="N631" s="8" t="s">
        <v>295</v>
      </c>
      <c r="O631" s="18">
        <v>44356</v>
      </c>
      <c r="P631" s="8" t="s">
        <v>100</v>
      </c>
      <c r="Q631" s="8"/>
    </row>
    <row r="632" spans="1:17" x14ac:dyDescent="0.25">
      <c r="A632" s="1">
        <v>18</v>
      </c>
      <c r="C632" s="7" t="s">
        <v>449</v>
      </c>
      <c r="D632" s="17">
        <v>25392</v>
      </c>
      <c r="E632" s="7" t="s">
        <v>11</v>
      </c>
      <c r="F632" s="7" t="s">
        <v>74</v>
      </c>
      <c r="G632" s="7" t="s">
        <v>127</v>
      </c>
      <c r="H632" s="7" t="s">
        <v>35</v>
      </c>
      <c r="I632" s="8">
        <v>501348</v>
      </c>
      <c r="J632" s="7" t="s">
        <v>455</v>
      </c>
      <c r="K632" s="38">
        <v>16</v>
      </c>
      <c r="L632" s="38">
        <v>2</v>
      </c>
      <c r="M632" s="38">
        <v>15</v>
      </c>
      <c r="N632" s="8" t="s">
        <v>104</v>
      </c>
      <c r="O632" s="8" t="s">
        <v>298</v>
      </c>
      <c r="P632" s="8" t="s">
        <v>100</v>
      </c>
      <c r="Q632" s="8"/>
    </row>
    <row r="633" spans="1:17" x14ac:dyDescent="0.25">
      <c r="A633" s="1">
        <v>19</v>
      </c>
      <c r="C633" s="7" t="s">
        <v>449</v>
      </c>
      <c r="D633" s="17">
        <v>23558</v>
      </c>
      <c r="E633" s="7" t="s">
        <v>11</v>
      </c>
      <c r="F633" s="7" t="s">
        <v>450</v>
      </c>
      <c r="G633" s="7" t="s">
        <v>40</v>
      </c>
      <c r="H633" s="7" t="s">
        <v>35</v>
      </c>
      <c r="I633" s="8">
        <v>395269</v>
      </c>
      <c r="J633" s="7" t="s">
        <v>454</v>
      </c>
      <c r="K633" s="38">
        <v>24</v>
      </c>
      <c r="L633" s="38">
        <v>3</v>
      </c>
      <c r="M633" s="38">
        <v>20</v>
      </c>
      <c r="N633" s="8" t="s">
        <v>299</v>
      </c>
      <c r="O633" s="8" t="s">
        <v>107</v>
      </c>
      <c r="P633" s="8" t="s">
        <v>100</v>
      </c>
      <c r="Q633" s="8"/>
    </row>
    <row r="634" spans="1:17" x14ac:dyDescent="0.25">
      <c r="A634" s="1">
        <v>20</v>
      </c>
      <c r="C634" s="7" t="s">
        <v>449</v>
      </c>
      <c r="D634" s="17">
        <v>27736</v>
      </c>
      <c r="E634" s="7" t="s">
        <v>11</v>
      </c>
      <c r="F634" s="7" t="s">
        <v>450</v>
      </c>
      <c r="G634" s="7" t="s">
        <v>89</v>
      </c>
      <c r="H634" s="7" t="s">
        <v>35</v>
      </c>
      <c r="I634" s="8">
        <v>395269</v>
      </c>
      <c r="J634" s="7" t="s">
        <v>454</v>
      </c>
      <c r="K634" s="38">
        <v>16</v>
      </c>
      <c r="L634" s="38">
        <v>2</v>
      </c>
      <c r="M634" s="38">
        <v>20</v>
      </c>
      <c r="N634" s="8" t="s">
        <v>106</v>
      </c>
      <c r="O634" s="8" t="s">
        <v>303</v>
      </c>
      <c r="P634" s="8" t="s">
        <v>100</v>
      </c>
      <c r="Q634" s="8"/>
    </row>
    <row r="635" spans="1:17" x14ac:dyDescent="0.25">
      <c r="A635" s="1">
        <v>21</v>
      </c>
      <c r="C635" s="7" t="s">
        <v>278</v>
      </c>
      <c r="D635" s="17">
        <v>22090</v>
      </c>
      <c r="E635" s="7" t="s">
        <v>12</v>
      </c>
      <c r="F635" s="7" t="s">
        <v>442</v>
      </c>
      <c r="G635" s="7" t="s">
        <v>40</v>
      </c>
      <c r="H635" s="8" t="s">
        <v>35</v>
      </c>
      <c r="I635" s="8">
        <v>395269</v>
      </c>
      <c r="J635" s="7" t="s">
        <v>454</v>
      </c>
      <c r="K635" s="38">
        <v>24</v>
      </c>
      <c r="L635" s="38">
        <v>3</v>
      </c>
      <c r="M635" s="38">
        <v>8</v>
      </c>
      <c r="N635" s="8" t="s">
        <v>108</v>
      </c>
      <c r="O635" s="18">
        <v>44370</v>
      </c>
      <c r="P635" s="8" t="s">
        <v>100</v>
      </c>
      <c r="Q635" s="8"/>
    </row>
    <row r="636" spans="1:17" x14ac:dyDescent="0.25">
      <c r="A636" s="1">
        <v>26</v>
      </c>
      <c r="C636" s="7" t="s">
        <v>319</v>
      </c>
      <c r="D636" s="17">
        <v>27738</v>
      </c>
      <c r="E636" s="7" t="s">
        <v>11</v>
      </c>
      <c r="F636" s="7" t="s">
        <v>450</v>
      </c>
      <c r="G636" s="7" t="s">
        <v>68</v>
      </c>
      <c r="H636" s="8" t="s">
        <v>35</v>
      </c>
      <c r="I636" s="8">
        <v>395269</v>
      </c>
      <c r="J636" s="7" t="s">
        <v>454</v>
      </c>
      <c r="K636" s="38">
        <v>24</v>
      </c>
      <c r="L636" s="38">
        <v>3</v>
      </c>
      <c r="M636" s="38">
        <v>15</v>
      </c>
      <c r="N636" s="8" t="s">
        <v>131</v>
      </c>
      <c r="O636" s="18">
        <v>44400</v>
      </c>
      <c r="P636" s="8" t="s">
        <v>119</v>
      </c>
      <c r="Q636" s="8"/>
    </row>
    <row r="637" spans="1:17" x14ac:dyDescent="0.25">
      <c r="A637" s="1">
        <v>27</v>
      </c>
      <c r="C637" s="7" t="s">
        <v>319</v>
      </c>
      <c r="D637" s="17">
        <v>28215</v>
      </c>
      <c r="E637" s="7" t="s">
        <v>11</v>
      </c>
      <c r="F637" s="7" t="s">
        <v>450</v>
      </c>
      <c r="G637" s="7" t="s">
        <v>279</v>
      </c>
      <c r="H637" s="8" t="s">
        <v>35</v>
      </c>
      <c r="I637" s="8">
        <v>395269</v>
      </c>
      <c r="J637" s="7" t="s">
        <v>454</v>
      </c>
      <c r="K637" s="38">
        <v>16</v>
      </c>
      <c r="L637" s="38">
        <v>2</v>
      </c>
      <c r="M637" s="38">
        <v>20</v>
      </c>
      <c r="N637" s="8" t="s">
        <v>145</v>
      </c>
      <c r="O637" s="18">
        <v>44414</v>
      </c>
      <c r="P637" s="8" t="s">
        <v>141</v>
      </c>
      <c r="Q637" s="8"/>
    </row>
    <row r="638" spans="1:17" x14ac:dyDescent="0.25">
      <c r="A638" s="1">
        <v>28</v>
      </c>
      <c r="C638" s="7" t="s">
        <v>449</v>
      </c>
      <c r="D638" s="17">
        <v>21984</v>
      </c>
      <c r="E638" s="7" t="s">
        <v>8</v>
      </c>
      <c r="F638" s="7" t="s">
        <v>142</v>
      </c>
      <c r="G638" s="7" t="s">
        <v>105</v>
      </c>
      <c r="H638" s="7" t="s">
        <v>35</v>
      </c>
      <c r="I638" s="8">
        <v>374778</v>
      </c>
      <c r="J638" s="7" t="s">
        <v>452</v>
      </c>
      <c r="K638" s="38">
        <v>16</v>
      </c>
      <c r="L638" s="38">
        <v>2</v>
      </c>
      <c r="M638" s="38">
        <v>11</v>
      </c>
      <c r="N638" s="8" t="s">
        <v>153</v>
      </c>
      <c r="O638" s="8" t="s">
        <v>429</v>
      </c>
      <c r="P638" s="8" t="s">
        <v>141</v>
      </c>
      <c r="Q638" s="8"/>
    </row>
    <row r="639" spans="1:17" x14ac:dyDescent="0.25">
      <c r="A639" s="1">
        <v>30</v>
      </c>
      <c r="C639" s="7" t="s">
        <v>449</v>
      </c>
      <c r="D639" s="17">
        <v>25588</v>
      </c>
      <c r="E639" s="7" t="s">
        <v>11</v>
      </c>
      <c r="F639" s="7" t="s">
        <v>74</v>
      </c>
      <c r="G639" s="7" t="s">
        <v>288</v>
      </c>
      <c r="H639" s="7" t="s">
        <v>35</v>
      </c>
      <c r="I639" s="8">
        <v>501348</v>
      </c>
      <c r="J639" s="7" t="s">
        <v>455</v>
      </c>
      <c r="K639" s="38">
        <v>16</v>
      </c>
      <c r="L639" s="38">
        <v>2</v>
      </c>
      <c r="M639" s="38">
        <v>15</v>
      </c>
      <c r="N639" s="8" t="s">
        <v>166</v>
      </c>
      <c r="O639" s="8" t="s">
        <v>167</v>
      </c>
      <c r="P639" s="8" t="s">
        <v>141</v>
      </c>
      <c r="Q639" s="8"/>
    </row>
    <row r="640" spans="1:17" x14ac:dyDescent="0.25">
      <c r="A640" s="1">
        <v>31</v>
      </c>
      <c r="C640" s="7" t="s">
        <v>449</v>
      </c>
      <c r="D640" s="17">
        <v>21985</v>
      </c>
      <c r="E640" s="7" t="s">
        <v>8</v>
      </c>
      <c r="F640" s="7" t="s">
        <v>142</v>
      </c>
      <c r="G640" s="7" t="s">
        <v>105</v>
      </c>
      <c r="H640" s="7" t="s">
        <v>35</v>
      </c>
      <c r="I640" s="8">
        <v>305145</v>
      </c>
      <c r="J640" s="7" t="s">
        <v>456</v>
      </c>
      <c r="K640" s="38">
        <v>16</v>
      </c>
      <c r="L640" s="38">
        <v>2</v>
      </c>
      <c r="M640" s="38">
        <v>12</v>
      </c>
      <c r="N640" s="8" t="s">
        <v>168</v>
      </c>
      <c r="O640" s="8" t="s">
        <v>169</v>
      </c>
      <c r="P640" s="8" t="s">
        <v>141</v>
      </c>
      <c r="Q640" s="8"/>
    </row>
    <row r="641" spans="1:17" x14ac:dyDescent="0.25">
      <c r="A641" s="1">
        <v>32</v>
      </c>
      <c r="C641" s="7" t="s">
        <v>449</v>
      </c>
      <c r="D641" s="17">
        <v>28213</v>
      </c>
      <c r="E641" s="7" t="s">
        <v>11</v>
      </c>
      <c r="F641" s="7" t="s">
        <v>450</v>
      </c>
      <c r="G641" s="7" t="s">
        <v>279</v>
      </c>
      <c r="H641" s="7" t="s">
        <v>35</v>
      </c>
      <c r="I641" s="8">
        <v>395269</v>
      </c>
      <c r="J641" s="7" t="s">
        <v>454</v>
      </c>
      <c r="K641" s="38">
        <v>16</v>
      </c>
      <c r="L641" s="38">
        <v>2</v>
      </c>
      <c r="M641" s="38">
        <v>20</v>
      </c>
      <c r="N641" s="8" t="s">
        <v>172</v>
      </c>
      <c r="O641" s="8" t="s">
        <v>174</v>
      </c>
      <c r="P641" s="8" t="s">
        <v>173</v>
      </c>
      <c r="Q641" s="8"/>
    </row>
    <row r="642" spans="1:17" x14ac:dyDescent="0.25">
      <c r="A642" s="1">
        <v>34</v>
      </c>
      <c r="C642" s="7" t="s">
        <v>449</v>
      </c>
      <c r="D642" s="17">
        <v>21981</v>
      </c>
      <c r="E642" s="7" t="s">
        <v>8</v>
      </c>
      <c r="F642" s="7" t="s">
        <v>142</v>
      </c>
      <c r="G642" s="7" t="s">
        <v>40</v>
      </c>
      <c r="H642" s="7" t="s">
        <v>35</v>
      </c>
      <c r="I642" s="8">
        <v>971841</v>
      </c>
      <c r="J642" s="7" t="s">
        <v>457</v>
      </c>
      <c r="K642" s="38">
        <v>24</v>
      </c>
      <c r="L642" s="38">
        <v>3</v>
      </c>
      <c r="M642" s="38">
        <v>10</v>
      </c>
      <c r="N642" s="8" t="s">
        <v>327</v>
      </c>
      <c r="O642" s="8" t="s">
        <v>204</v>
      </c>
      <c r="P642" s="8" t="s">
        <v>202</v>
      </c>
      <c r="Q642" s="8"/>
    </row>
    <row r="643" spans="1:17" x14ac:dyDescent="0.25">
      <c r="A643" s="1">
        <v>35</v>
      </c>
      <c r="C643" s="7" t="s">
        <v>449</v>
      </c>
      <c r="D643" s="17">
        <v>27739</v>
      </c>
      <c r="E643" s="7" t="s">
        <v>11</v>
      </c>
      <c r="F643" s="7" t="s">
        <v>450</v>
      </c>
      <c r="G643" s="7" t="s">
        <v>68</v>
      </c>
      <c r="H643" s="7" t="s">
        <v>35</v>
      </c>
      <c r="I643" s="8">
        <v>395269</v>
      </c>
      <c r="J643" s="7" t="s">
        <v>454</v>
      </c>
      <c r="K643" s="38">
        <v>24</v>
      </c>
      <c r="L643" s="38">
        <v>3</v>
      </c>
      <c r="M643" s="38">
        <v>20</v>
      </c>
      <c r="N643" s="8" t="s">
        <v>209</v>
      </c>
      <c r="O643" s="8" t="s">
        <v>211</v>
      </c>
      <c r="P643" s="8" t="s">
        <v>202</v>
      </c>
      <c r="Q643" s="8"/>
    </row>
    <row r="644" spans="1:17" x14ac:dyDescent="0.25">
      <c r="A644" s="1">
        <v>36</v>
      </c>
      <c r="C644" s="7" t="s">
        <v>278</v>
      </c>
      <c r="D644" s="17">
        <v>25419</v>
      </c>
      <c r="E644" s="7" t="s">
        <v>11</v>
      </c>
      <c r="F644" s="7" t="s">
        <v>74</v>
      </c>
      <c r="G644" s="7" t="s">
        <v>89</v>
      </c>
      <c r="H644" s="8" t="s">
        <v>35</v>
      </c>
      <c r="I644" s="8">
        <v>570530</v>
      </c>
      <c r="J644" s="7" t="s">
        <v>446</v>
      </c>
      <c r="K644" s="38">
        <v>16</v>
      </c>
      <c r="L644" s="38">
        <v>2</v>
      </c>
      <c r="M644" s="38">
        <v>15</v>
      </c>
      <c r="N644" s="8" t="s">
        <v>458</v>
      </c>
      <c r="O644" s="18">
        <v>44503</v>
      </c>
      <c r="P644" s="8" t="s">
        <v>227</v>
      </c>
      <c r="Q644" s="8"/>
    </row>
    <row r="645" spans="1:17" x14ac:dyDescent="0.25">
      <c r="A645" s="1">
        <v>37</v>
      </c>
      <c r="C645" s="7" t="s">
        <v>449</v>
      </c>
      <c r="D645" s="17">
        <v>23559</v>
      </c>
      <c r="E645" s="7" t="s">
        <v>11</v>
      </c>
      <c r="F645" s="7" t="s">
        <v>450</v>
      </c>
      <c r="G645" s="7" t="s">
        <v>40</v>
      </c>
      <c r="H645" s="7" t="s">
        <v>35</v>
      </c>
      <c r="I645" s="8">
        <v>395269</v>
      </c>
      <c r="J645" s="7" t="s">
        <v>454</v>
      </c>
      <c r="K645" s="38">
        <v>24</v>
      </c>
      <c r="L645" s="38">
        <v>3</v>
      </c>
      <c r="M645" s="38">
        <v>20</v>
      </c>
      <c r="N645" s="8" t="s">
        <v>238</v>
      </c>
      <c r="O645" s="8" t="s">
        <v>240</v>
      </c>
      <c r="P645" s="8" t="s">
        <v>227</v>
      </c>
      <c r="Q645" s="8"/>
    </row>
    <row r="646" spans="1:17" x14ac:dyDescent="0.25">
      <c r="A646" s="1">
        <v>38</v>
      </c>
      <c r="C646" s="7" t="s">
        <v>319</v>
      </c>
      <c r="D646" s="17">
        <v>27737</v>
      </c>
      <c r="E646" s="7" t="s">
        <v>11</v>
      </c>
      <c r="F646" s="7" t="s">
        <v>450</v>
      </c>
      <c r="G646" s="7" t="s">
        <v>89</v>
      </c>
      <c r="H646" s="8" t="s">
        <v>35</v>
      </c>
      <c r="I646" s="8">
        <v>395269</v>
      </c>
      <c r="J646" s="7" t="s">
        <v>454</v>
      </c>
      <c r="K646" s="38">
        <v>16</v>
      </c>
      <c r="L646" s="38">
        <v>2</v>
      </c>
      <c r="M646" s="38">
        <v>20</v>
      </c>
      <c r="N646" s="8" t="s">
        <v>335</v>
      </c>
      <c r="O646" s="18">
        <v>44523</v>
      </c>
      <c r="P646" s="8" t="s">
        <v>227</v>
      </c>
      <c r="Q646" s="8"/>
    </row>
    <row r="647" spans="1:17" x14ac:dyDescent="0.25">
      <c r="A647" s="1">
        <v>39</v>
      </c>
      <c r="C647" s="7" t="s">
        <v>319</v>
      </c>
      <c r="D647" s="17">
        <v>23560</v>
      </c>
      <c r="E647" s="7" t="s">
        <v>11</v>
      </c>
      <c r="F647" s="7" t="s">
        <v>450</v>
      </c>
      <c r="G647" s="7" t="s">
        <v>40</v>
      </c>
      <c r="H647" s="8" t="s">
        <v>35</v>
      </c>
      <c r="I647" s="8">
        <v>395269</v>
      </c>
      <c r="J647" s="7" t="s">
        <v>454</v>
      </c>
      <c r="K647" s="38">
        <v>24</v>
      </c>
      <c r="L647" s="38">
        <v>3</v>
      </c>
      <c r="M647" s="38">
        <v>20</v>
      </c>
      <c r="N647" s="8" t="s">
        <v>243</v>
      </c>
      <c r="O647" s="18">
        <v>44526</v>
      </c>
      <c r="P647" s="8" t="s">
        <v>227</v>
      </c>
      <c r="Q647" s="8"/>
    </row>
    <row r="648" spans="1:17" x14ac:dyDescent="0.25">
      <c r="A648" s="1">
        <v>40</v>
      </c>
      <c r="C648" s="7" t="s">
        <v>449</v>
      </c>
      <c r="D648" s="17">
        <v>23561</v>
      </c>
      <c r="E648" s="7" t="s">
        <v>11</v>
      </c>
      <c r="F648" s="7" t="s">
        <v>450</v>
      </c>
      <c r="G648" s="7" t="s">
        <v>40</v>
      </c>
      <c r="H648" s="7" t="s">
        <v>35</v>
      </c>
      <c r="I648" s="8">
        <v>395269</v>
      </c>
      <c r="J648" s="7" t="s">
        <v>454</v>
      </c>
      <c r="K648" s="38">
        <v>24</v>
      </c>
      <c r="L648" s="38">
        <v>3</v>
      </c>
      <c r="M648" s="38">
        <v>15</v>
      </c>
      <c r="N648" s="8" t="s">
        <v>384</v>
      </c>
      <c r="O648" s="8" t="s">
        <v>247</v>
      </c>
      <c r="P648" s="8" t="s">
        <v>227</v>
      </c>
      <c r="Q648" s="8"/>
    </row>
    <row r="649" spans="1:17" x14ac:dyDescent="0.25">
      <c r="A649" s="1">
        <v>41</v>
      </c>
      <c r="C649" s="7" t="s">
        <v>449</v>
      </c>
      <c r="D649" s="17">
        <v>27740</v>
      </c>
      <c r="E649" s="7" t="s">
        <v>11</v>
      </c>
      <c r="F649" s="7" t="s">
        <v>450</v>
      </c>
      <c r="G649" s="7" t="s">
        <v>68</v>
      </c>
      <c r="H649" s="7" t="s">
        <v>35</v>
      </c>
      <c r="I649" s="8">
        <v>395269</v>
      </c>
      <c r="J649" s="7" t="s">
        <v>454</v>
      </c>
      <c r="K649" s="38">
        <v>24</v>
      </c>
      <c r="L649" s="38">
        <v>3</v>
      </c>
      <c r="M649" s="38">
        <v>20</v>
      </c>
      <c r="N649" s="8" t="s">
        <v>250</v>
      </c>
      <c r="O649" s="8" t="s">
        <v>252</v>
      </c>
      <c r="P649" s="8" t="s">
        <v>249</v>
      </c>
      <c r="Q649" s="8"/>
    </row>
    <row r="650" spans="1:17" x14ac:dyDescent="0.25">
      <c r="A650" s="1">
        <v>1</v>
      </c>
      <c r="C650" s="7" t="s">
        <v>459</v>
      </c>
      <c r="D650" s="17">
        <v>25424</v>
      </c>
      <c r="E650" s="7" t="s">
        <v>11</v>
      </c>
      <c r="F650" s="7" t="s">
        <v>74</v>
      </c>
      <c r="G650" s="7" t="s">
        <v>89</v>
      </c>
      <c r="H650" s="8" t="s">
        <v>35</v>
      </c>
      <c r="I650" s="8">
        <v>197995</v>
      </c>
      <c r="J650" s="7" t="s">
        <v>150</v>
      </c>
      <c r="K650" s="44">
        <v>16</v>
      </c>
      <c r="L650" s="44">
        <v>2</v>
      </c>
      <c r="M650" s="44">
        <v>20</v>
      </c>
      <c r="N650" s="8" t="s">
        <v>47</v>
      </c>
      <c r="O650" s="18">
        <v>44250</v>
      </c>
      <c r="P650" s="8" t="s">
        <v>38</v>
      </c>
      <c r="Q650" s="8"/>
    </row>
    <row r="651" spans="1:17" x14ac:dyDescent="0.25">
      <c r="A651" s="1">
        <v>2</v>
      </c>
      <c r="C651" s="7" t="s">
        <v>460</v>
      </c>
      <c r="D651" s="17">
        <v>23745</v>
      </c>
      <c r="E651" s="7" t="s">
        <v>11</v>
      </c>
      <c r="F651" s="7" t="s">
        <v>461</v>
      </c>
      <c r="G651" s="7" t="s">
        <v>34</v>
      </c>
      <c r="H651" s="8" t="s">
        <v>35</v>
      </c>
      <c r="I651" s="8">
        <v>675132</v>
      </c>
      <c r="J651" s="7" t="s">
        <v>462</v>
      </c>
      <c r="K651" s="44">
        <v>8</v>
      </c>
      <c r="L651" s="44">
        <v>1</v>
      </c>
      <c r="M651" s="44">
        <v>11</v>
      </c>
      <c r="N651" s="8" t="s">
        <v>49</v>
      </c>
      <c r="O651" s="18">
        <v>44256</v>
      </c>
      <c r="P651" s="8" t="s">
        <v>50</v>
      </c>
      <c r="Q651" s="8"/>
    </row>
    <row r="652" spans="1:17" x14ac:dyDescent="0.25">
      <c r="A652" s="1">
        <v>3</v>
      </c>
      <c r="C652" s="7" t="s">
        <v>460</v>
      </c>
      <c r="D652" s="17">
        <v>23746</v>
      </c>
      <c r="E652" s="7" t="s">
        <v>11</v>
      </c>
      <c r="F652" s="7" t="s">
        <v>461</v>
      </c>
      <c r="G652" s="7" t="s">
        <v>34</v>
      </c>
      <c r="H652" s="8" t="s">
        <v>35</v>
      </c>
      <c r="I652" s="8">
        <v>675132</v>
      </c>
      <c r="J652" s="7" t="s">
        <v>462</v>
      </c>
      <c r="K652" s="44">
        <v>8</v>
      </c>
      <c r="L652" s="44">
        <v>1</v>
      </c>
      <c r="M652" s="44">
        <v>12</v>
      </c>
      <c r="N652" s="8" t="s">
        <v>463</v>
      </c>
      <c r="O652" s="18">
        <v>44258</v>
      </c>
      <c r="P652" s="8" t="s">
        <v>50</v>
      </c>
      <c r="Q652" s="8"/>
    </row>
    <row r="653" spans="1:17" x14ac:dyDescent="0.25">
      <c r="A653" s="1">
        <v>4</v>
      </c>
      <c r="C653" s="7" t="s">
        <v>460</v>
      </c>
      <c r="D653" s="17">
        <v>23747</v>
      </c>
      <c r="E653" s="7" t="s">
        <v>11</v>
      </c>
      <c r="F653" s="7" t="s">
        <v>461</v>
      </c>
      <c r="G653" s="7" t="s">
        <v>34</v>
      </c>
      <c r="H653" s="8" t="s">
        <v>35</v>
      </c>
      <c r="I653" s="8">
        <v>675132</v>
      </c>
      <c r="J653" s="7" t="s">
        <v>462</v>
      </c>
      <c r="K653" s="44">
        <v>8</v>
      </c>
      <c r="L653" s="44">
        <v>1</v>
      </c>
      <c r="M653" s="44">
        <v>12</v>
      </c>
      <c r="N653" s="8" t="s">
        <v>52</v>
      </c>
      <c r="O653" s="18">
        <v>44260</v>
      </c>
      <c r="P653" s="8" t="s">
        <v>50</v>
      </c>
      <c r="Q653" s="8"/>
    </row>
    <row r="654" spans="1:17" x14ac:dyDescent="0.25">
      <c r="A654" s="1">
        <v>5</v>
      </c>
      <c r="C654" s="7" t="s">
        <v>460</v>
      </c>
      <c r="D654" s="17">
        <v>23748</v>
      </c>
      <c r="E654" s="7" t="s">
        <v>11</v>
      </c>
      <c r="F654" s="7" t="s">
        <v>461</v>
      </c>
      <c r="G654" s="7" t="s">
        <v>34</v>
      </c>
      <c r="H654" s="8" t="s">
        <v>35</v>
      </c>
      <c r="I654" s="8">
        <v>675132</v>
      </c>
      <c r="J654" s="7" t="s">
        <v>462</v>
      </c>
      <c r="K654" s="44">
        <v>8</v>
      </c>
      <c r="L654" s="44">
        <v>1</v>
      </c>
      <c r="M654" s="44">
        <v>12</v>
      </c>
      <c r="N654" s="8" t="s">
        <v>339</v>
      </c>
      <c r="O654" s="18">
        <v>44263</v>
      </c>
      <c r="P654" s="8" t="s">
        <v>50</v>
      </c>
      <c r="Q654" s="8"/>
    </row>
    <row r="655" spans="1:17" x14ac:dyDescent="0.25">
      <c r="A655" s="1">
        <v>6</v>
      </c>
      <c r="C655" s="7" t="s">
        <v>460</v>
      </c>
      <c r="D655" s="17">
        <v>23198</v>
      </c>
      <c r="E655" s="7" t="s">
        <v>11</v>
      </c>
      <c r="F655" s="7" t="s">
        <v>461</v>
      </c>
      <c r="G655" s="7" t="s">
        <v>264</v>
      </c>
      <c r="H655" s="8" t="s">
        <v>35</v>
      </c>
      <c r="I655" s="8">
        <v>342974</v>
      </c>
      <c r="J655" s="7" t="s">
        <v>464</v>
      </c>
      <c r="K655" s="44">
        <v>8</v>
      </c>
      <c r="L655" s="44">
        <v>1</v>
      </c>
      <c r="M655" s="44">
        <v>10</v>
      </c>
      <c r="N655" s="8" t="s">
        <v>410</v>
      </c>
      <c r="O655" s="18">
        <v>44292</v>
      </c>
      <c r="P655" s="8" t="s">
        <v>60</v>
      </c>
      <c r="Q655" s="8"/>
    </row>
    <row r="656" spans="1:17" x14ac:dyDescent="0.25">
      <c r="A656" s="1">
        <v>7</v>
      </c>
      <c r="C656" s="7" t="s">
        <v>460</v>
      </c>
      <c r="D656" s="17">
        <v>23208</v>
      </c>
      <c r="E656" s="7" t="s">
        <v>11</v>
      </c>
      <c r="F656" s="7" t="s">
        <v>461</v>
      </c>
      <c r="G656" s="7" t="s">
        <v>199</v>
      </c>
      <c r="H656" s="8" t="s">
        <v>35</v>
      </c>
      <c r="I656" s="8">
        <v>342974</v>
      </c>
      <c r="J656" s="7" t="s">
        <v>464</v>
      </c>
      <c r="K656" s="44">
        <v>8</v>
      </c>
      <c r="L656" s="44">
        <v>1</v>
      </c>
      <c r="M656" s="44">
        <v>7</v>
      </c>
      <c r="N656" s="8" t="s">
        <v>343</v>
      </c>
      <c r="O656" s="18">
        <v>44294</v>
      </c>
      <c r="P656" s="8" t="s">
        <v>60</v>
      </c>
      <c r="Q656" s="8"/>
    </row>
    <row r="657" spans="1:17" x14ac:dyDescent="0.25">
      <c r="A657" s="106">
        <v>8</v>
      </c>
      <c r="B657" s="110"/>
      <c r="C657" s="107" t="s">
        <v>460</v>
      </c>
      <c r="D657" s="108">
        <v>26237</v>
      </c>
      <c r="E657" s="107" t="s">
        <v>11</v>
      </c>
      <c r="F657" s="107" t="s">
        <v>461</v>
      </c>
      <c r="G657" s="107" t="s">
        <v>89</v>
      </c>
      <c r="H657" s="46" t="s">
        <v>35</v>
      </c>
      <c r="I657" s="46">
        <v>335177</v>
      </c>
      <c r="J657" s="107" t="s">
        <v>465</v>
      </c>
      <c r="K657" s="124">
        <v>16</v>
      </c>
      <c r="L657" s="124">
        <v>2</v>
      </c>
      <c r="M657" s="124">
        <v>11</v>
      </c>
      <c r="N657" s="46" t="s">
        <v>344</v>
      </c>
      <c r="O657" s="47">
        <v>44299</v>
      </c>
      <c r="P657" s="46" t="s">
        <v>60</v>
      </c>
      <c r="Q657" s="8"/>
    </row>
    <row r="658" spans="1:17" x14ac:dyDescent="0.25">
      <c r="A658" s="1">
        <v>9</v>
      </c>
      <c r="C658" s="7" t="s">
        <v>460</v>
      </c>
      <c r="D658" s="17">
        <v>26236</v>
      </c>
      <c r="E658" s="7" t="s">
        <v>11</v>
      </c>
      <c r="F658" s="7" t="s">
        <v>461</v>
      </c>
      <c r="G658" s="7" t="s">
        <v>89</v>
      </c>
      <c r="H658" s="8" t="s">
        <v>35</v>
      </c>
      <c r="I658" s="8">
        <v>335177</v>
      </c>
      <c r="J658" s="7" t="s">
        <v>465</v>
      </c>
      <c r="K658" s="44">
        <v>16</v>
      </c>
      <c r="L658" s="44">
        <v>2</v>
      </c>
      <c r="M658" s="44">
        <v>11</v>
      </c>
      <c r="N658" s="8" t="s">
        <v>67</v>
      </c>
      <c r="O658" s="18">
        <v>44306</v>
      </c>
      <c r="P658" s="8" t="s">
        <v>60</v>
      </c>
      <c r="Q658" s="8"/>
    </row>
    <row r="659" spans="1:17" x14ac:dyDescent="0.25">
      <c r="A659" s="1">
        <v>10</v>
      </c>
      <c r="C659" s="7" t="s">
        <v>460</v>
      </c>
      <c r="D659" s="17">
        <v>26235</v>
      </c>
      <c r="E659" s="7" t="s">
        <v>11</v>
      </c>
      <c r="F659" s="7" t="s">
        <v>461</v>
      </c>
      <c r="G659" s="7" t="s">
        <v>89</v>
      </c>
      <c r="H659" s="8" t="s">
        <v>35</v>
      </c>
      <c r="I659" s="8">
        <v>335177</v>
      </c>
      <c r="J659" s="7" t="s">
        <v>465</v>
      </c>
      <c r="K659" s="44">
        <v>16</v>
      </c>
      <c r="L659" s="44">
        <v>2</v>
      </c>
      <c r="M659" s="44">
        <v>12</v>
      </c>
      <c r="N659" s="8" t="s">
        <v>377</v>
      </c>
      <c r="O659" s="18">
        <v>44313</v>
      </c>
      <c r="P659" s="8" t="s">
        <v>60</v>
      </c>
      <c r="Q659" s="8"/>
    </row>
    <row r="660" spans="1:17" x14ac:dyDescent="0.25">
      <c r="A660" s="1">
        <v>11</v>
      </c>
      <c r="C660" s="7" t="s">
        <v>466</v>
      </c>
      <c r="D660" s="17">
        <v>25402</v>
      </c>
      <c r="E660" s="7" t="s">
        <v>11</v>
      </c>
      <c r="F660" s="7" t="s">
        <v>74</v>
      </c>
      <c r="G660" s="7" t="s">
        <v>89</v>
      </c>
      <c r="H660" s="8" t="s">
        <v>35</v>
      </c>
      <c r="I660" s="8">
        <v>432309</v>
      </c>
      <c r="J660" s="7" t="s">
        <v>467</v>
      </c>
      <c r="K660" s="44">
        <v>16</v>
      </c>
      <c r="L660" s="44">
        <v>2</v>
      </c>
      <c r="M660" s="44">
        <v>20</v>
      </c>
      <c r="N660" s="8" t="s">
        <v>377</v>
      </c>
      <c r="O660" s="18">
        <v>44313</v>
      </c>
      <c r="P660" s="8" t="s">
        <v>60</v>
      </c>
      <c r="Q660" s="8"/>
    </row>
    <row r="661" spans="1:17" x14ac:dyDescent="0.25">
      <c r="A661" s="1">
        <v>12</v>
      </c>
      <c r="C661" s="7" t="s">
        <v>466</v>
      </c>
      <c r="D661" s="17">
        <v>25279</v>
      </c>
      <c r="E661" s="7" t="s">
        <v>11</v>
      </c>
      <c r="F661" s="7" t="s">
        <v>461</v>
      </c>
      <c r="G661" s="7" t="s">
        <v>84</v>
      </c>
      <c r="H661" s="8" t="s">
        <v>35</v>
      </c>
      <c r="I661" s="8">
        <v>338174</v>
      </c>
      <c r="J661" s="7" t="s">
        <v>468</v>
      </c>
      <c r="K661" s="44">
        <v>16</v>
      </c>
      <c r="L661" s="44">
        <v>8</v>
      </c>
      <c r="M661" s="44">
        <v>4</v>
      </c>
      <c r="N661" s="8" t="s">
        <v>67</v>
      </c>
      <c r="O661" s="18">
        <v>44323</v>
      </c>
      <c r="P661" s="8" t="s">
        <v>60</v>
      </c>
      <c r="Q661" s="8"/>
    </row>
    <row r="662" spans="1:17" x14ac:dyDescent="0.25">
      <c r="A662" s="1">
        <v>13</v>
      </c>
      <c r="C662" s="7" t="s">
        <v>460</v>
      </c>
      <c r="D662" s="17">
        <v>23754</v>
      </c>
      <c r="E662" s="7" t="s">
        <v>11</v>
      </c>
      <c r="F662" s="7" t="s">
        <v>461</v>
      </c>
      <c r="G662" s="7" t="s">
        <v>40</v>
      </c>
      <c r="H662" s="8" t="s">
        <v>35</v>
      </c>
      <c r="I662" s="8">
        <v>675132</v>
      </c>
      <c r="J662" s="7" t="s">
        <v>462</v>
      </c>
      <c r="K662" s="44">
        <v>24</v>
      </c>
      <c r="L662" s="44">
        <v>3</v>
      </c>
      <c r="M662" s="44">
        <v>11</v>
      </c>
      <c r="N662" s="8" t="s">
        <v>80</v>
      </c>
      <c r="O662" s="18">
        <v>44329</v>
      </c>
      <c r="P662" s="8" t="s">
        <v>77</v>
      </c>
      <c r="Q662" s="8"/>
    </row>
    <row r="663" spans="1:17" x14ac:dyDescent="0.25">
      <c r="A663" s="1">
        <v>14</v>
      </c>
      <c r="C663" s="7" t="s">
        <v>460</v>
      </c>
      <c r="D663" s="17">
        <v>23755</v>
      </c>
      <c r="E663" s="7" t="s">
        <v>11</v>
      </c>
      <c r="F663" s="7" t="s">
        <v>461</v>
      </c>
      <c r="G663" s="7" t="s">
        <v>40</v>
      </c>
      <c r="H663" s="8" t="s">
        <v>35</v>
      </c>
      <c r="I663" s="8">
        <v>675132</v>
      </c>
      <c r="J663" s="7" t="s">
        <v>462</v>
      </c>
      <c r="K663" s="44">
        <v>24</v>
      </c>
      <c r="L663" s="44">
        <v>3</v>
      </c>
      <c r="M663" s="44">
        <v>10</v>
      </c>
      <c r="N663" s="8" t="s">
        <v>86</v>
      </c>
      <c r="O663" s="18">
        <v>44336</v>
      </c>
      <c r="P663" s="8" t="s">
        <v>77</v>
      </c>
      <c r="Q663" s="8"/>
    </row>
    <row r="664" spans="1:17" x14ac:dyDescent="0.25">
      <c r="A664" s="1">
        <v>16</v>
      </c>
      <c r="C664" s="7" t="s">
        <v>469</v>
      </c>
      <c r="D664" s="17">
        <v>26755</v>
      </c>
      <c r="E664" s="7" t="s">
        <v>6</v>
      </c>
      <c r="F664" s="7" t="s">
        <v>352</v>
      </c>
      <c r="G664" s="7" t="s">
        <v>159</v>
      </c>
      <c r="H664" s="8" t="s">
        <v>35</v>
      </c>
      <c r="I664" s="8">
        <v>308159</v>
      </c>
      <c r="J664" s="7" t="s">
        <v>470</v>
      </c>
      <c r="K664" s="44">
        <v>16</v>
      </c>
      <c r="L664" s="44">
        <v>2</v>
      </c>
      <c r="M664" s="44">
        <v>2</v>
      </c>
      <c r="N664" s="8" t="s">
        <v>97</v>
      </c>
      <c r="O664" s="18">
        <v>44344</v>
      </c>
      <c r="P664" s="8" t="s">
        <v>77</v>
      </c>
      <c r="Q664" s="8"/>
    </row>
    <row r="665" spans="1:17" x14ac:dyDescent="0.25">
      <c r="A665" s="1">
        <v>17</v>
      </c>
      <c r="C665" s="7" t="s">
        <v>460</v>
      </c>
      <c r="D665" s="17">
        <v>27893</v>
      </c>
      <c r="E665" s="7" t="s">
        <v>11</v>
      </c>
      <c r="F665" s="7" t="s">
        <v>461</v>
      </c>
      <c r="G665" s="7" t="s">
        <v>401</v>
      </c>
      <c r="H665" s="8" t="s">
        <v>35</v>
      </c>
      <c r="I665" s="8">
        <v>390730</v>
      </c>
      <c r="J665" s="7" t="s">
        <v>471</v>
      </c>
      <c r="K665" s="44">
        <v>16</v>
      </c>
      <c r="L665" s="44">
        <v>2</v>
      </c>
      <c r="M665" s="44">
        <v>9</v>
      </c>
      <c r="N665" s="8" t="s">
        <v>350</v>
      </c>
      <c r="O665" s="18">
        <v>44348</v>
      </c>
      <c r="P665" s="8" t="s">
        <v>77</v>
      </c>
      <c r="Q665" s="8"/>
    </row>
    <row r="666" spans="1:17" x14ac:dyDescent="0.25">
      <c r="A666" s="106">
        <v>18</v>
      </c>
      <c r="C666" s="7" t="s">
        <v>460</v>
      </c>
      <c r="D666" s="17">
        <v>24793</v>
      </c>
      <c r="E666" s="7" t="s">
        <v>11</v>
      </c>
      <c r="F666" s="7" t="s">
        <v>461</v>
      </c>
      <c r="G666" s="7" t="s">
        <v>346</v>
      </c>
      <c r="H666" s="8" t="s">
        <v>35</v>
      </c>
      <c r="I666" s="8">
        <v>523589</v>
      </c>
      <c r="J666" s="7" t="s">
        <v>472</v>
      </c>
      <c r="K666" s="44">
        <v>16</v>
      </c>
      <c r="L666" s="44">
        <v>2</v>
      </c>
      <c r="M666" s="44">
        <v>11</v>
      </c>
      <c r="N666" s="8" t="s">
        <v>289</v>
      </c>
      <c r="O666" s="8" t="s">
        <v>290</v>
      </c>
      <c r="P666" s="8" t="s">
        <v>100</v>
      </c>
      <c r="Q666" s="8"/>
    </row>
    <row r="667" spans="1:17" x14ac:dyDescent="0.25">
      <c r="A667" s="1">
        <v>19</v>
      </c>
      <c r="C667" s="7" t="s">
        <v>460</v>
      </c>
      <c r="D667" s="17">
        <v>24792</v>
      </c>
      <c r="E667" s="7" t="s">
        <v>11</v>
      </c>
      <c r="F667" s="7" t="s">
        <v>461</v>
      </c>
      <c r="G667" s="7" t="s">
        <v>346</v>
      </c>
      <c r="H667" s="8" t="s">
        <v>35</v>
      </c>
      <c r="I667" s="8">
        <v>523589</v>
      </c>
      <c r="J667" s="7" t="s">
        <v>472</v>
      </c>
      <c r="K667" s="44">
        <v>16</v>
      </c>
      <c r="L667" s="44">
        <v>2</v>
      </c>
      <c r="M667" s="44">
        <v>11</v>
      </c>
      <c r="N667" s="8" t="s">
        <v>295</v>
      </c>
      <c r="O667" s="8" t="s">
        <v>102</v>
      </c>
      <c r="P667" s="8" t="s">
        <v>100</v>
      </c>
      <c r="Q667" s="8"/>
    </row>
    <row r="668" spans="1:17" x14ac:dyDescent="0.25">
      <c r="A668" s="1">
        <v>20</v>
      </c>
      <c r="C668" s="7" t="s">
        <v>460</v>
      </c>
      <c r="D668" s="17">
        <v>23749</v>
      </c>
      <c r="E668" s="7" t="s">
        <v>11</v>
      </c>
      <c r="F668" s="7" t="s">
        <v>461</v>
      </c>
      <c r="G668" s="7" t="s">
        <v>317</v>
      </c>
      <c r="H668" s="8" t="s">
        <v>35</v>
      </c>
      <c r="I668" s="8">
        <v>523589</v>
      </c>
      <c r="J668" s="7" t="s">
        <v>472</v>
      </c>
      <c r="K668" s="44">
        <v>16</v>
      </c>
      <c r="L668" s="44">
        <v>2</v>
      </c>
      <c r="M668" s="44">
        <v>11</v>
      </c>
      <c r="N668" s="8" t="s">
        <v>104</v>
      </c>
      <c r="O668" s="8" t="s">
        <v>298</v>
      </c>
      <c r="P668" s="8" t="s">
        <v>100</v>
      </c>
      <c r="Q668" s="8"/>
    </row>
    <row r="669" spans="1:17" x14ac:dyDescent="0.25">
      <c r="A669" s="1">
        <v>22</v>
      </c>
      <c r="C669" s="7" t="s">
        <v>460</v>
      </c>
      <c r="D669" s="17">
        <v>23750</v>
      </c>
      <c r="E669" s="7" t="s">
        <v>11</v>
      </c>
      <c r="F669" s="7" t="s">
        <v>461</v>
      </c>
      <c r="G669" s="7" t="s">
        <v>317</v>
      </c>
      <c r="H669" s="8" t="s">
        <v>35</v>
      </c>
      <c r="I669" s="8">
        <v>523589</v>
      </c>
      <c r="J669" s="7" t="s">
        <v>472</v>
      </c>
      <c r="K669" s="44">
        <v>16</v>
      </c>
      <c r="L669" s="44">
        <v>2</v>
      </c>
      <c r="M669" s="44">
        <v>11</v>
      </c>
      <c r="N669" s="8" t="s">
        <v>299</v>
      </c>
      <c r="O669" s="8" t="s">
        <v>300</v>
      </c>
      <c r="P669" s="8" t="s">
        <v>100</v>
      </c>
      <c r="Q669" s="8"/>
    </row>
    <row r="670" spans="1:17" x14ac:dyDescent="0.25">
      <c r="A670" s="1">
        <v>25</v>
      </c>
      <c r="C670" s="7" t="s">
        <v>466</v>
      </c>
      <c r="D670" s="17">
        <v>25607</v>
      </c>
      <c r="E670" s="7" t="s">
        <v>11</v>
      </c>
      <c r="F670" s="7" t="s">
        <v>74</v>
      </c>
      <c r="G670" s="7" t="s">
        <v>84</v>
      </c>
      <c r="H670" s="8" t="s">
        <v>35</v>
      </c>
      <c r="I670" s="8">
        <v>432309</v>
      </c>
      <c r="J670" s="7" t="s">
        <v>467</v>
      </c>
      <c r="K670" s="44">
        <v>16</v>
      </c>
      <c r="L670" s="44">
        <v>2</v>
      </c>
      <c r="M670" s="44">
        <v>5</v>
      </c>
      <c r="N670" s="8" t="s">
        <v>304</v>
      </c>
      <c r="O670" s="8" t="s">
        <v>305</v>
      </c>
      <c r="P670" s="8" t="s">
        <v>100</v>
      </c>
      <c r="Q670" s="8"/>
    </row>
    <row r="671" spans="1:17" x14ac:dyDescent="0.25">
      <c r="A671" s="1">
        <v>26</v>
      </c>
      <c r="C671" s="7" t="s">
        <v>460</v>
      </c>
      <c r="D671" s="17">
        <v>23231</v>
      </c>
      <c r="E671" s="7" t="s">
        <v>11</v>
      </c>
      <c r="F671" s="7" t="s">
        <v>461</v>
      </c>
      <c r="G671" s="7" t="s">
        <v>294</v>
      </c>
      <c r="H671" s="8" t="s">
        <v>35</v>
      </c>
      <c r="I671" s="8">
        <v>335177</v>
      </c>
      <c r="J671" s="7" t="s">
        <v>465</v>
      </c>
      <c r="K671" s="44">
        <v>8</v>
      </c>
      <c r="L671" s="44">
        <v>4</v>
      </c>
      <c r="M671" s="44">
        <v>11</v>
      </c>
      <c r="N671" s="8" t="s">
        <v>304</v>
      </c>
      <c r="O671" s="8" t="s">
        <v>113</v>
      </c>
      <c r="P671" s="8" t="s">
        <v>100</v>
      </c>
      <c r="Q671" s="8"/>
    </row>
    <row r="672" spans="1:17" x14ac:dyDescent="0.25">
      <c r="A672" s="1">
        <v>29</v>
      </c>
      <c r="C672" s="7" t="s">
        <v>460</v>
      </c>
      <c r="D672" s="17">
        <v>23741</v>
      </c>
      <c r="E672" s="7" t="s">
        <v>11</v>
      </c>
      <c r="F672" s="7" t="s">
        <v>461</v>
      </c>
      <c r="G672" s="7" t="s">
        <v>279</v>
      </c>
      <c r="H672" s="8" t="s">
        <v>35</v>
      </c>
      <c r="I672" s="8">
        <v>335177</v>
      </c>
      <c r="J672" s="7" t="s">
        <v>465</v>
      </c>
      <c r="K672" s="44">
        <v>16</v>
      </c>
      <c r="L672" s="44">
        <v>2</v>
      </c>
      <c r="M672" s="44">
        <v>11</v>
      </c>
      <c r="N672" s="8" t="s">
        <v>310</v>
      </c>
      <c r="O672" s="8" t="s">
        <v>311</v>
      </c>
      <c r="P672" s="8" t="s">
        <v>119</v>
      </c>
      <c r="Q672" s="8"/>
    </row>
    <row r="673" spans="1:17" x14ac:dyDescent="0.25">
      <c r="A673" s="1">
        <v>31</v>
      </c>
      <c r="C673" s="7" t="s">
        <v>460</v>
      </c>
      <c r="D673" s="17">
        <v>23742</v>
      </c>
      <c r="E673" s="7" t="s">
        <v>11</v>
      </c>
      <c r="F673" s="7" t="s">
        <v>461</v>
      </c>
      <c r="G673" s="7" t="s">
        <v>279</v>
      </c>
      <c r="H673" s="8" t="s">
        <v>35</v>
      </c>
      <c r="I673" s="8">
        <v>335177</v>
      </c>
      <c r="J673" s="7" t="s">
        <v>465</v>
      </c>
      <c r="K673" s="44">
        <v>16</v>
      </c>
      <c r="L673" s="44">
        <v>2</v>
      </c>
      <c r="M673" s="44">
        <v>11</v>
      </c>
      <c r="N673" s="8" t="s">
        <v>120</v>
      </c>
      <c r="O673" s="8" t="s">
        <v>121</v>
      </c>
      <c r="P673" s="8" t="s">
        <v>119</v>
      </c>
      <c r="Q673" s="8"/>
    </row>
    <row r="674" spans="1:17" x14ac:dyDescent="0.25">
      <c r="A674" s="1">
        <v>36</v>
      </c>
      <c r="C674" s="7" t="s">
        <v>460</v>
      </c>
      <c r="D674" s="17">
        <v>26322</v>
      </c>
      <c r="E674" s="7" t="s">
        <v>11</v>
      </c>
      <c r="F674" s="7" t="s">
        <v>461</v>
      </c>
      <c r="G674" s="7" t="s">
        <v>159</v>
      </c>
      <c r="H674" s="8" t="s">
        <v>35</v>
      </c>
      <c r="I674" s="8">
        <v>570530</v>
      </c>
      <c r="J674" s="7" t="s">
        <v>446</v>
      </c>
      <c r="K674" s="44">
        <v>16</v>
      </c>
      <c r="L674" s="44">
        <v>2</v>
      </c>
      <c r="M674" s="44">
        <v>10</v>
      </c>
      <c r="N674" s="8" t="s">
        <v>184</v>
      </c>
      <c r="O674" s="8" t="s">
        <v>185</v>
      </c>
      <c r="P674" s="8" t="s">
        <v>173</v>
      </c>
      <c r="Q674" s="8"/>
    </row>
    <row r="675" spans="1:17" x14ac:dyDescent="0.25">
      <c r="A675" s="1">
        <v>42</v>
      </c>
      <c r="C675" s="7" t="s">
        <v>460</v>
      </c>
      <c r="D675" s="17">
        <v>23476</v>
      </c>
      <c r="E675" s="7" t="s">
        <v>11</v>
      </c>
      <c r="F675" s="7" t="s">
        <v>461</v>
      </c>
      <c r="G675" s="7" t="s">
        <v>68</v>
      </c>
      <c r="H675" s="8" t="s">
        <v>35</v>
      </c>
      <c r="I675" s="8">
        <v>570530</v>
      </c>
      <c r="J675" s="7" t="s">
        <v>446</v>
      </c>
      <c r="K675" s="44">
        <v>24</v>
      </c>
      <c r="L675" s="44">
        <v>3</v>
      </c>
      <c r="M675" s="44">
        <v>10</v>
      </c>
      <c r="N675" s="8" t="s">
        <v>203</v>
      </c>
      <c r="O675" s="8" t="s">
        <v>205</v>
      </c>
      <c r="P675" s="8" t="s">
        <v>202</v>
      </c>
      <c r="Q675" s="8"/>
    </row>
    <row r="676" spans="1:17" x14ac:dyDescent="0.25">
      <c r="A676" s="1">
        <v>43</v>
      </c>
      <c r="C676" s="7" t="s">
        <v>460</v>
      </c>
      <c r="D676" s="17">
        <v>23757</v>
      </c>
      <c r="E676" s="7" t="s">
        <v>11</v>
      </c>
      <c r="F676" s="7" t="s">
        <v>461</v>
      </c>
      <c r="G676" s="7" t="s">
        <v>40</v>
      </c>
      <c r="H676" s="8" t="s">
        <v>35</v>
      </c>
      <c r="I676" s="8">
        <v>675132</v>
      </c>
      <c r="J676" s="7" t="s">
        <v>462</v>
      </c>
      <c r="K676" s="44">
        <v>24</v>
      </c>
      <c r="L676" s="44">
        <v>3</v>
      </c>
      <c r="M676" s="44">
        <v>10</v>
      </c>
      <c r="N676" s="8" t="s">
        <v>204</v>
      </c>
      <c r="O676" s="8" t="s">
        <v>206</v>
      </c>
      <c r="P676" s="8" t="s">
        <v>202</v>
      </c>
      <c r="Q676" s="8"/>
    </row>
    <row r="677" spans="1:17" x14ac:dyDescent="0.25">
      <c r="A677" s="1">
        <v>44</v>
      </c>
      <c r="C677" s="7" t="s">
        <v>460</v>
      </c>
      <c r="D677" s="17">
        <v>28117</v>
      </c>
      <c r="E677" s="7" t="s">
        <v>11</v>
      </c>
      <c r="F677" s="7" t="s">
        <v>461</v>
      </c>
      <c r="G677" s="7" t="s">
        <v>302</v>
      </c>
      <c r="H677" s="8" t="s">
        <v>35</v>
      </c>
      <c r="I677" s="8">
        <v>331066</v>
      </c>
      <c r="J677" s="7" t="s">
        <v>473</v>
      </c>
      <c r="K677" s="44">
        <v>8</v>
      </c>
      <c r="L677" s="44">
        <v>1</v>
      </c>
      <c r="M677" s="44">
        <v>10</v>
      </c>
      <c r="N677" s="8" t="s">
        <v>208</v>
      </c>
      <c r="O677" s="8" t="s">
        <v>208</v>
      </c>
      <c r="P677" s="8" t="s">
        <v>202</v>
      </c>
      <c r="Q677" s="8"/>
    </row>
    <row r="678" spans="1:17" x14ac:dyDescent="0.25">
      <c r="A678" s="1">
        <v>45</v>
      </c>
      <c r="C678" s="7" t="s">
        <v>460</v>
      </c>
      <c r="D678" s="17">
        <v>28116</v>
      </c>
      <c r="E678" s="7" t="s">
        <v>11</v>
      </c>
      <c r="F678" s="7" t="s">
        <v>461</v>
      </c>
      <c r="G678" s="7" t="s">
        <v>302</v>
      </c>
      <c r="H678" s="8" t="s">
        <v>35</v>
      </c>
      <c r="I678" s="8">
        <v>331066</v>
      </c>
      <c r="J678" s="7" t="s">
        <v>473</v>
      </c>
      <c r="K678" s="44">
        <v>8</v>
      </c>
      <c r="L678" s="44">
        <v>1</v>
      </c>
      <c r="M678" s="44">
        <v>10</v>
      </c>
      <c r="N678" s="8" t="s">
        <v>330</v>
      </c>
      <c r="O678" s="8" t="s">
        <v>330</v>
      </c>
      <c r="P678" s="8" t="s">
        <v>202</v>
      </c>
      <c r="Q678" s="8"/>
    </row>
    <row r="679" spans="1:17" x14ac:dyDescent="0.25">
      <c r="A679" s="1">
        <v>46</v>
      </c>
      <c r="C679" s="7" t="s">
        <v>460</v>
      </c>
      <c r="D679" s="17">
        <v>28115</v>
      </c>
      <c r="E679" s="7" t="s">
        <v>11</v>
      </c>
      <c r="F679" s="7" t="s">
        <v>461</v>
      </c>
      <c r="G679" s="7" t="s">
        <v>302</v>
      </c>
      <c r="H679" s="8" t="s">
        <v>35</v>
      </c>
      <c r="I679" s="8">
        <v>331066</v>
      </c>
      <c r="J679" s="7" t="s">
        <v>473</v>
      </c>
      <c r="K679" s="44">
        <v>8</v>
      </c>
      <c r="L679" s="44">
        <v>1</v>
      </c>
      <c r="M679" s="44">
        <v>9</v>
      </c>
      <c r="N679" s="8" t="s">
        <v>209</v>
      </c>
      <c r="O679" s="8" t="s">
        <v>209</v>
      </c>
      <c r="P679" s="8" t="s">
        <v>202</v>
      </c>
      <c r="Q679" s="8"/>
    </row>
    <row r="680" spans="1:17" x14ac:dyDescent="0.25">
      <c r="A680" s="1">
        <v>47</v>
      </c>
      <c r="C680" s="7" t="s">
        <v>460</v>
      </c>
      <c r="D680" s="17">
        <v>28114</v>
      </c>
      <c r="E680" s="7" t="s">
        <v>11</v>
      </c>
      <c r="F680" s="7" t="s">
        <v>461</v>
      </c>
      <c r="G680" s="7" t="s">
        <v>302</v>
      </c>
      <c r="H680" s="8" t="s">
        <v>35</v>
      </c>
      <c r="I680" s="8">
        <v>331066</v>
      </c>
      <c r="J680" s="7" t="s">
        <v>473</v>
      </c>
      <c r="K680" s="44">
        <v>8</v>
      </c>
      <c r="L680" s="44">
        <v>1</v>
      </c>
      <c r="M680" s="44">
        <v>10</v>
      </c>
      <c r="N680" s="8" t="s">
        <v>210</v>
      </c>
      <c r="O680" s="8" t="s">
        <v>210</v>
      </c>
      <c r="P680" s="8" t="s">
        <v>202</v>
      </c>
      <c r="Q680" s="8"/>
    </row>
    <row r="681" spans="1:17" x14ac:dyDescent="0.25">
      <c r="A681" s="106">
        <v>48</v>
      </c>
      <c r="C681" s="7" t="s">
        <v>460</v>
      </c>
      <c r="D681" s="17">
        <v>28113</v>
      </c>
      <c r="E681" s="7" t="s">
        <v>11</v>
      </c>
      <c r="F681" s="7" t="s">
        <v>461</v>
      </c>
      <c r="G681" s="7" t="s">
        <v>302</v>
      </c>
      <c r="H681" s="8" t="s">
        <v>35</v>
      </c>
      <c r="I681" s="8">
        <v>331066</v>
      </c>
      <c r="J681" s="7" t="s">
        <v>473</v>
      </c>
      <c r="K681" s="44">
        <v>8</v>
      </c>
      <c r="L681" s="44">
        <v>1</v>
      </c>
      <c r="M681" s="44">
        <v>10</v>
      </c>
      <c r="N681" s="8" t="s">
        <v>211</v>
      </c>
      <c r="O681" s="8" t="s">
        <v>211</v>
      </c>
      <c r="P681" s="8" t="s">
        <v>202</v>
      </c>
      <c r="Q681" s="8"/>
    </row>
    <row r="682" spans="1:17" x14ac:dyDescent="0.25">
      <c r="A682" s="1">
        <v>49</v>
      </c>
      <c r="C682" s="7" t="s">
        <v>460</v>
      </c>
      <c r="D682" s="17">
        <v>26238</v>
      </c>
      <c r="E682" s="7" t="s">
        <v>11</v>
      </c>
      <c r="F682" s="7" t="s">
        <v>461</v>
      </c>
      <c r="G682" s="7" t="s">
        <v>89</v>
      </c>
      <c r="H682" s="8" t="s">
        <v>35</v>
      </c>
      <c r="I682" s="8">
        <v>331066</v>
      </c>
      <c r="J682" s="7" t="s">
        <v>473</v>
      </c>
      <c r="K682" s="44">
        <v>16</v>
      </c>
      <c r="L682" s="44">
        <v>2</v>
      </c>
      <c r="M682" s="44">
        <v>11</v>
      </c>
      <c r="N682" s="8" t="s">
        <v>333</v>
      </c>
      <c r="O682" s="8" t="s">
        <v>217</v>
      </c>
      <c r="P682" s="8" t="s">
        <v>202</v>
      </c>
      <c r="Q682" s="8"/>
    </row>
    <row r="683" spans="1:17" x14ac:dyDescent="0.25">
      <c r="A683" s="1">
        <v>50</v>
      </c>
      <c r="C683" s="7" t="s">
        <v>460</v>
      </c>
      <c r="D683" s="17">
        <v>26239</v>
      </c>
      <c r="E683" s="7" t="s">
        <v>11</v>
      </c>
      <c r="F683" s="7" t="s">
        <v>461</v>
      </c>
      <c r="G683" s="7" t="s">
        <v>89</v>
      </c>
      <c r="H683" s="8" t="s">
        <v>35</v>
      </c>
      <c r="I683" s="8">
        <v>331066</v>
      </c>
      <c r="J683" s="7" t="s">
        <v>473</v>
      </c>
      <c r="K683" s="44">
        <v>16</v>
      </c>
      <c r="L683" s="44">
        <v>2</v>
      </c>
      <c r="M683" s="44">
        <v>11</v>
      </c>
      <c r="N683" s="8" t="s">
        <v>215</v>
      </c>
      <c r="O683" s="8" t="s">
        <v>216</v>
      </c>
      <c r="P683" s="8" t="s">
        <v>202</v>
      </c>
      <c r="Q683" s="8"/>
    </row>
    <row r="684" spans="1:17" x14ac:dyDescent="0.25">
      <c r="A684" s="1">
        <v>51</v>
      </c>
      <c r="C684" s="7" t="s">
        <v>460</v>
      </c>
      <c r="D684" s="17">
        <v>26240</v>
      </c>
      <c r="E684" s="7" t="s">
        <v>11</v>
      </c>
      <c r="F684" s="7" t="s">
        <v>461</v>
      </c>
      <c r="G684" s="7" t="s">
        <v>89</v>
      </c>
      <c r="H684" s="8" t="s">
        <v>35</v>
      </c>
      <c r="I684" s="8">
        <v>331066</v>
      </c>
      <c r="J684" s="7" t="s">
        <v>473</v>
      </c>
      <c r="K684" s="44">
        <v>16</v>
      </c>
      <c r="L684" s="44">
        <v>2</v>
      </c>
      <c r="M684" s="44">
        <v>11</v>
      </c>
      <c r="N684" s="8" t="s">
        <v>222</v>
      </c>
      <c r="O684" s="8" t="s">
        <v>224</v>
      </c>
      <c r="P684" s="8" t="s">
        <v>202</v>
      </c>
      <c r="Q684" s="8"/>
    </row>
    <row r="685" spans="1:17" x14ac:dyDescent="0.25">
      <c r="A685" s="1">
        <v>52</v>
      </c>
      <c r="C685" s="7" t="s">
        <v>460</v>
      </c>
      <c r="D685" s="17">
        <v>26241</v>
      </c>
      <c r="E685" s="7" t="s">
        <v>11</v>
      </c>
      <c r="F685" s="7" t="s">
        <v>461</v>
      </c>
      <c r="G685" s="7" t="s">
        <v>89</v>
      </c>
      <c r="H685" s="8" t="s">
        <v>35</v>
      </c>
      <c r="I685" s="8">
        <v>331066</v>
      </c>
      <c r="J685" s="7" t="s">
        <v>473</v>
      </c>
      <c r="K685" s="44">
        <v>16</v>
      </c>
      <c r="L685" s="44">
        <v>2</v>
      </c>
      <c r="M685" s="44">
        <v>11</v>
      </c>
      <c r="N685" s="8" t="s">
        <v>226</v>
      </c>
      <c r="O685" s="8" t="s">
        <v>365</v>
      </c>
      <c r="P685" s="8" t="s">
        <v>227</v>
      </c>
      <c r="Q685" s="8"/>
    </row>
    <row r="686" spans="1:17" x14ac:dyDescent="0.25">
      <c r="A686" s="1">
        <v>53</v>
      </c>
      <c r="C686" s="7" t="s">
        <v>460</v>
      </c>
      <c r="D686" s="17">
        <v>26242</v>
      </c>
      <c r="E686" s="7" t="s">
        <v>11</v>
      </c>
      <c r="F686" s="7" t="s">
        <v>461</v>
      </c>
      <c r="G686" s="7" t="s">
        <v>89</v>
      </c>
      <c r="H686" s="8" t="s">
        <v>35</v>
      </c>
      <c r="I686" s="8">
        <v>331066</v>
      </c>
      <c r="J686" s="7" t="s">
        <v>473</v>
      </c>
      <c r="K686" s="44">
        <v>16</v>
      </c>
      <c r="L686" s="44">
        <v>2</v>
      </c>
      <c r="M686" s="44">
        <v>10</v>
      </c>
      <c r="N686" s="8" t="s">
        <v>366</v>
      </c>
      <c r="O686" s="8" t="s">
        <v>232</v>
      </c>
      <c r="P686" s="8" t="s">
        <v>227</v>
      </c>
      <c r="Q686" s="8"/>
    </row>
    <row r="687" spans="1:17" x14ac:dyDescent="0.25">
      <c r="A687" s="1">
        <v>54</v>
      </c>
      <c r="C687" s="7" t="s">
        <v>460</v>
      </c>
      <c r="D687" s="17">
        <v>23756</v>
      </c>
      <c r="E687" s="7" t="s">
        <v>11</v>
      </c>
      <c r="F687" s="7" t="s">
        <v>461</v>
      </c>
      <c r="G687" s="7" t="s">
        <v>40</v>
      </c>
      <c r="H687" s="8" t="s">
        <v>35</v>
      </c>
      <c r="I687" s="8">
        <v>675132</v>
      </c>
      <c r="J687" s="7" t="s">
        <v>462</v>
      </c>
      <c r="K687" s="44">
        <v>24</v>
      </c>
      <c r="L687" s="44">
        <v>3</v>
      </c>
      <c r="M687" s="44">
        <v>12</v>
      </c>
      <c r="N687" s="8" t="s">
        <v>366</v>
      </c>
      <c r="O687" s="8" t="s">
        <v>233</v>
      </c>
      <c r="P687" s="8" t="s">
        <v>227</v>
      </c>
      <c r="Q687" s="8"/>
    </row>
    <row r="688" spans="1:17" x14ac:dyDescent="0.25">
      <c r="A688" s="1">
        <v>55</v>
      </c>
      <c r="C688" s="7" t="s">
        <v>460</v>
      </c>
      <c r="D688" s="17">
        <v>26243</v>
      </c>
      <c r="E688" s="7" t="s">
        <v>11</v>
      </c>
      <c r="F688" s="7" t="s">
        <v>461</v>
      </c>
      <c r="G688" s="7" t="s">
        <v>89</v>
      </c>
      <c r="H688" s="8" t="s">
        <v>35</v>
      </c>
      <c r="I688" s="8">
        <v>331066</v>
      </c>
      <c r="J688" s="7" t="s">
        <v>473</v>
      </c>
      <c r="K688" s="44">
        <v>16</v>
      </c>
      <c r="L688" s="44">
        <v>2</v>
      </c>
      <c r="M688" s="44">
        <v>10</v>
      </c>
      <c r="N688" s="8" t="s">
        <v>238</v>
      </c>
      <c r="O688" s="8" t="s">
        <v>239</v>
      </c>
      <c r="P688" s="8" t="s">
        <v>227</v>
      </c>
      <c r="Q688" s="8"/>
    </row>
    <row r="689" spans="1:17" x14ac:dyDescent="0.25">
      <c r="A689" s="130">
        <v>15</v>
      </c>
      <c r="B689" s="131"/>
      <c r="C689" s="132" t="s">
        <v>466</v>
      </c>
      <c r="D689" s="133">
        <v>25404</v>
      </c>
      <c r="E689" s="132" t="s">
        <v>11</v>
      </c>
      <c r="F689" s="132" t="s">
        <v>74</v>
      </c>
      <c r="G689" s="132" t="s">
        <v>89</v>
      </c>
      <c r="H689" s="134" t="s">
        <v>35</v>
      </c>
      <c r="I689" s="134">
        <v>432309</v>
      </c>
      <c r="J689" s="132" t="s">
        <v>467</v>
      </c>
      <c r="K689" s="135">
        <v>16</v>
      </c>
      <c r="L689" s="135">
        <v>2</v>
      </c>
      <c r="M689" s="135">
        <v>15</v>
      </c>
      <c r="N689" s="134" t="s">
        <v>91</v>
      </c>
      <c r="O689" s="136">
        <v>44341</v>
      </c>
      <c r="P689" s="134" t="s">
        <v>77</v>
      </c>
      <c r="Q689" s="8"/>
    </row>
    <row r="690" spans="1:17" x14ac:dyDescent="0.25">
      <c r="A690" s="1">
        <v>21</v>
      </c>
      <c r="C690" s="7" t="s">
        <v>469</v>
      </c>
      <c r="D690" s="17">
        <v>26244</v>
      </c>
      <c r="E690" s="7" t="s">
        <v>11</v>
      </c>
      <c r="F690" s="7" t="s">
        <v>461</v>
      </c>
      <c r="G690" s="7" t="s">
        <v>89</v>
      </c>
      <c r="H690" s="8" t="s">
        <v>35</v>
      </c>
      <c r="I690" s="8">
        <v>352466</v>
      </c>
      <c r="J690" s="7" t="s">
        <v>474</v>
      </c>
      <c r="K690" s="44">
        <v>16</v>
      </c>
      <c r="L690" s="44">
        <v>2</v>
      </c>
      <c r="M690" s="44">
        <v>14</v>
      </c>
      <c r="N690" s="8" t="s">
        <v>299</v>
      </c>
      <c r="O690" s="8" t="s">
        <v>300</v>
      </c>
      <c r="P690" s="8" t="s">
        <v>100</v>
      </c>
      <c r="Q690" s="8"/>
    </row>
    <row r="691" spans="1:17" x14ac:dyDescent="0.25">
      <c r="A691" s="1">
        <v>23</v>
      </c>
      <c r="C691" s="7" t="s">
        <v>469</v>
      </c>
      <c r="D691" s="17">
        <v>24348</v>
      </c>
      <c r="E691" s="7" t="s">
        <v>11</v>
      </c>
      <c r="F691" s="7" t="s">
        <v>461</v>
      </c>
      <c r="G691" s="7" t="s">
        <v>62</v>
      </c>
      <c r="H691" s="8" t="s">
        <v>35</v>
      </c>
      <c r="I691" s="8">
        <v>352466</v>
      </c>
      <c r="J691" s="7" t="s">
        <v>474</v>
      </c>
      <c r="K691" s="44">
        <v>24</v>
      </c>
      <c r="L691" s="44">
        <v>3</v>
      </c>
      <c r="M691" s="44">
        <v>13</v>
      </c>
      <c r="N691" s="8" t="s">
        <v>107</v>
      </c>
      <c r="O691" s="8" t="s">
        <v>303</v>
      </c>
      <c r="P691" s="8" t="s">
        <v>100</v>
      </c>
      <c r="Q691" s="8"/>
    </row>
    <row r="692" spans="1:17" x14ac:dyDescent="0.25">
      <c r="A692" s="1">
        <v>24</v>
      </c>
      <c r="C692" s="7" t="s">
        <v>469</v>
      </c>
      <c r="D692" s="17">
        <v>26320</v>
      </c>
      <c r="E692" s="7" t="s">
        <v>11</v>
      </c>
      <c r="F692" s="7" t="s">
        <v>461</v>
      </c>
      <c r="G692" s="7" t="s">
        <v>159</v>
      </c>
      <c r="H692" s="8" t="s">
        <v>35</v>
      </c>
      <c r="I692" s="8">
        <v>352466</v>
      </c>
      <c r="J692" s="7" t="s">
        <v>474</v>
      </c>
      <c r="K692" s="44">
        <v>16</v>
      </c>
      <c r="L692" s="44">
        <v>2</v>
      </c>
      <c r="M692" s="44">
        <v>13</v>
      </c>
      <c r="N692" s="8" t="s">
        <v>108</v>
      </c>
      <c r="O692" s="8" t="s">
        <v>304</v>
      </c>
      <c r="P692" s="8" t="s">
        <v>100</v>
      </c>
      <c r="Q692" s="8"/>
    </row>
    <row r="693" spans="1:17" x14ac:dyDescent="0.25">
      <c r="A693" s="1">
        <v>27</v>
      </c>
      <c r="C693" s="7" t="s">
        <v>466</v>
      </c>
      <c r="D693" s="17">
        <v>25413</v>
      </c>
      <c r="E693" s="7" t="s">
        <v>11</v>
      </c>
      <c r="F693" s="7" t="s">
        <v>74</v>
      </c>
      <c r="G693" s="7" t="s">
        <v>89</v>
      </c>
      <c r="H693" s="8" t="s">
        <v>35</v>
      </c>
      <c r="I693" s="8">
        <v>432309</v>
      </c>
      <c r="J693" s="7" t="s">
        <v>467</v>
      </c>
      <c r="K693" s="44">
        <v>16</v>
      </c>
      <c r="L693" s="44">
        <v>2</v>
      </c>
      <c r="M693" s="44">
        <v>15</v>
      </c>
      <c r="N693" s="8" t="s">
        <v>306</v>
      </c>
      <c r="O693" s="8" t="s">
        <v>115</v>
      </c>
      <c r="P693" s="8" t="s">
        <v>100</v>
      </c>
      <c r="Q693" s="8"/>
    </row>
    <row r="694" spans="1:17" x14ac:dyDescent="0.25">
      <c r="A694" s="106">
        <v>28</v>
      </c>
      <c r="C694" s="7" t="s">
        <v>469</v>
      </c>
      <c r="D694" s="17">
        <v>26751</v>
      </c>
      <c r="E694" s="7" t="s">
        <v>6</v>
      </c>
      <c r="F694" s="7" t="s">
        <v>352</v>
      </c>
      <c r="G694" s="7" t="s">
        <v>89</v>
      </c>
      <c r="H694" s="8" t="s">
        <v>35</v>
      </c>
      <c r="I694" s="8">
        <v>365499</v>
      </c>
      <c r="J694" s="7" t="s">
        <v>291</v>
      </c>
      <c r="K694" s="44">
        <v>16</v>
      </c>
      <c r="L694" s="44">
        <v>2</v>
      </c>
      <c r="M694" s="44">
        <v>10</v>
      </c>
      <c r="N694" s="8" t="s">
        <v>310</v>
      </c>
      <c r="O694" s="8" t="s">
        <v>311</v>
      </c>
      <c r="P694" s="8" t="s">
        <v>119</v>
      </c>
      <c r="Q694" s="8"/>
    </row>
    <row r="695" spans="1:17" x14ac:dyDescent="0.25">
      <c r="A695" s="1">
        <v>30</v>
      </c>
      <c r="C695" s="7" t="s">
        <v>469</v>
      </c>
      <c r="D695" s="17">
        <v>26750</v>
      </c>
      <c r="E695" s="7" t="s">
        <v>6</v>
      </c>
      <c r="F695" s="7" t="s">
        <v>352</v>
      </c>
      <c r="G695" s="7" t="s">
        <v>89</v>
      </c>
      <c r="H695" s="8" t="s">
        <v>35</v>
      </c>
      <c r="I695" s="8">
        <v>365499</v>
      </c>
      <c r="J695" s="7" t="s">
        <v>291</v>
      </c>
      <c r="K695" s="44">
        <v>16</v>
      </c>
      <c r="L695" s="44">
        <v>2</v>
      </c>
      <c r="M695" s="44">
        <v>11</v>
      </c>
      <c r="N695" s="8" t="s">
        <v>123</v>
      </c>
      <c r="O695" s="8" t="s">
        <v>120</v>
      </c>
      <c r="P695" s="8" t="s">
        <v>119</v>
      </c>
      <c r="Q695" s="8"/>
    </row>
    <row r="696" spans="1:17" x14ac:dyDescent="0.25">
      <c r="A696" s="1">
        <v>32</v>
      </c>
      <c r="C696" s="7" t="s">
        <v>466</v>
      </c>
      <c r="D696" s="17">
        <v>25414</v>
      </c>
      <c r="E696" s="7" t="s">
        <v>11</v>
      </c>
      <c r="F696" s="7" t="s">
        <v>74</v>
      </c>
      <c r="G696" s="7" t="s">
        <v>89</v>
      </c>
      <c r="H696" s="8" t="s">
        <v>35</v>
      </c>
      <c r="I696" s="8">
        <v>432309</v>
      </c>
      <c r="J696" s="7" t="s">
        <v>467</v>
      </c>
      <c r="K696" s="44">
        <v>16</v>
      </c>
      <c r="L696" s="44">
        <v>2</v>
      </c>
      <c r="M696" s="44">
        <v>15</v>
      </c>
      <c r="N696" s="8" t="s">
        <v>134</v>
      </c>
      <c r="O696" s="8" t="s">
        <v>135</v>
      </c>
      <c r="P696" s="8" t="s">
        <v>119</v>
      </c>
      <c r="Q696" s="8"/>
    </row>
    <row r="697" spans="1:17" x14ac:dyDescent="0.25">
      <c r="A697" s="1">
        <v>33</v>
      </c>
      <c r="C697" s="7" t="s">
        <v>466</v>
      </c>
      <c r="D697" s="17">
        <v>25420</v>
      </c>
      <c r="E697" s="7" t="s">
        <v>11</v>
      </c>
      <c r="F697" s="7" t="s">
        <v>74</v>
      </c>
      <c r="G697" s="7" t="s">
        <v>89</v>
      </c>
      <c r="H697" s="8" t="s">
        <v>35</v>
      </c>
      <c r="I697" s="8">
        <v>432309</v>
      </c>
      <c r="J697" s="7" t="s">
        <v>467</v>
      </c>
      <c r="K697" s="44">
        <v>16</v>
      </c>
      <c r="L697" s="44">
        <v>2</v>
      </c>
      <c r="M697" s="44">
        <v>15</v>
      </c>
      <c r="N697" s="8" t="s">
        <v>168</v>
      </c>
      <c r="O697" s="8" t="s">
        <v>169</v>
      </c>
      <c r="P697" s="8" t="s">
        <v>141</v>
      </c>
      <c r="Q697" s="8"/>
    </row>
    <row r="698" spans="1:17" x14ac:dyDescent="0.25">
      <c r="A698" s="1">
        <v>34</v>
      </c>
      <c r="C698" s="7" t="s">
        <v>459</v>
      </c>
      <c r="D698" s="17">
        <v>24347</v>
      </c>
      <c r="E698" s="7" t="s">
        <v>11</v>
      </c>
      <c r="F698" s="7" t="s">
        <v>461</v>
      </c>
      <c r="G698" s="7" t="s">
        <v>62</v>
      </c>
      <c r="H698" s="45" t="s">
        <v>35</v>
      </c>
      <c r="I698" s="8">
        <v>570530</v>
      </c>
      <c r="J698" s="7" t="s">
        <v>446</v>
      </c>
      <c r="K698" s="44">
        <v>24</v>
      </c>
      <c r="L698" s="44">
        <v>3</v>
      </c>
      <c r="M698" s="44">
        <v>10</v>
      </c>
      <c r="N698" s="8" t="s">
        <v>181</v>
      </c>
      <c r="O698" s="8" t="s">
        <v>180</v>
      </c>
      <c r="P698" s="8" t="s">
        <v>173</v>
      </c>
      <c r="Q698" s="8"/>
    </row>
    <row r="699" spans="1:17" x14ac:dyDescent="0.25">
      <c r="A699" s="1">
        <v>35</v>
      </c>
      <c r="C699" s="7" t="s">
        <v>469</v>
      </c>
      <c r="D699" s="17">
        <v>26245</v>
      </c>
      <c r="E699" s="7" t="s">
        <v>11</v>
      </c>
      <c r="F699" s="7" t="s">
        <v>461</v>
      </c>
      <c r="G699" s="7" t="s">
        <v>89</v>
      </c>
      <c r="H699" s="8" t="s">
        <v>35</v>
      </c>
      <c r="I699" s="8">
        <v>352466</v>
      </c>
      <c r="J699" s="7" t="s">
        <v>474</v>
      </c>
      <c r="K699" s="44">
        <v>16</v>
      </c>
      <c r="L699" s="44">
        <v>2</v>
      </c>
      <c r="M699" s="44">
        <v>15</v>
      </c>
      <c r="N699" s="8" t="s">
        <v>184</v>
      </c>
      <c r="O699" s="8" t="s">
        <v>185</v>
      </c>
      <c r="P699" s="8" t="s">
        <v>173</v>
      </c>
      <c r="Q699" s="8"/>
    </row>
    <row r="700" spans="1:17" x14ac:dyDescent="0.25">
      <c r="A700" s="1">
        <v>37</v>
      </c>
      <c r="C700" s="7" t="s">
        <v>469</v>
      </c>
      <c r="D700" s="17">
        <v>24349</v>
      </c>
      <c r="E700" s="7" t="s">
        <v>11</v>
      </c>
      <c r="F700" s="7" t="s">
        <v>461</v>
      </c>
      <c r="G700" s="7" t="s">
        <v>62</v>
      </c>
      <c r="H700" s="8" t="s">
        <v>35</v>
      </c>
      <c r="I700" s="8">
        <v>352466</v>
      </c>
      <c r="J700" s="7" t="s">
        <v>474</v>
      </c>
      <c r="K700" s="44">
        <v>24</v>
      </c>
      <c r="L700" s="44">
        <v>3</v>
      </c>
      <c r="M700" s="44">
        <v>14</v>
      </c>
      <c r="N700" s="8" t="s">
        <v>361</v>
      </c>
      <c r="O700" s="8" t="s">
        <v>191</v>
      </c>
      <c r="P700" s="8" t="s">
        <v>173</v>
      </c>
      <c r="Q700" s="8"/>
    </row>
    <row r="701" spans="1:17" x14ac:dyDescent="0.25">
      <c r="A701" s="106">
        <v>38</v>
      </c>
      <c r="C701" s="7" t="s">
        <v>459</v>
      </c>
      <c r="D701" s="17">
        <v>24346</v>
      </c>
      <c r="E701" s="7" t="s">
        <v>11</v>
      </c>
      <c r="F701" s="7" t="s">
        <v>461</v>
      </c>
      <c r="G701" s="7" t="s">
        <v>62</v>
      </c>
      <c r="H701" s="45" t="s">
        <v>35</v>
      </c>
      <c r="I701" s="8">
        <v>570530</v>
      </c>
      <c r="J701" s="7" t="s">
        <v>446</v>
      </c>
      <c r="K701" s="44">
        <v>24</v>
      </c>
      <c r="L701" s="44">
        <v>3</v>
      </c>
      <c r="M701" s="44">
        <v>10</v>
      </c>
      <c r="N701" s="8" t="s">
        <v>190</v>
      </c>
      <c r="O701" s="8" t="s">
        <v>192</v>
      </c>
      <c r="P701" s="8" t="s">
        <v>173</v>
      </c>
      <c r="Q701" s="8"/>
    </row>
    <row r="702" spans="1:17" x14ac:dyDescent="0.25">
      <c r="A702" s="1">
        <v>39</v>
      </c>
      <c r="C702" s="7" t="s">
        <v>469</v>
      </c>
      <c r="D702" s="17">
        <v>26321</v>
      </c>
      <c r="E702" s="7" t="s">
        <v>11</v>
      </c>
      <c r="F702" s="7" t="s">
        <v>461</v>
      </c>
      <c r="G702" s="7" t="s">
        <v>159</v>
      </c>
      <c r="H702" s="8" t="s">
        <v>35</v>
      </c>
      <c r="I702" s="8">
        <v>352466</v>
      </c>
      <c r="J702" s="7" t="s">
        <v>474</v>
      </c>
      <c r="K702" s="44">
        <v>16</v>
      </c>
      <c r="L702" s="44">
        <v>2</v>
      </c>
      <c r="M702" s="44">
        <v>14</v>
      </c>
      <c r="N702" s="8" t="s">
        <v>192</v>
      </c>
      <c r="O702" s="8" t="s">
        <v>193</v>
      </c>
      <c r="P702" s="8" t="s">
        <v>173</v>
      </c>
      <c r="Q702" s="8"/>
    </row>
    <row r="703" spans="1:17" x14ac:dyDescent="0.25">
      <c r="A703" s="1">
        <v>40</v>
      </c>
      <c r="C703" s="7" t="s">
        <v>466</v>
      </c>
      <c r="D703" s="17">
        <v>25426</v>
      </c>
      <c r="E703" s="7" t="s">
        <v>11</v>
      </c>
      <c r="F703" s="7" t="s">
        <v>74</v>
      </c>
      <c r="G703" s="7" t="s">
        <v>89</v>
      </c>
      <c r="H703" s="8" t="s">
        <v>35</v>
      </c>
      <c r="I703" s="8">
        <v>432309</v>
      </c>
      <c r="J703" s="7" t="s">
        <v>467</v>
      </c>
      <c r="K703" s="44">
        <v>16</v>
      </c>
      <c r="L703" s="44">
        <v>2</v>
      </c>
      <c r="M703" s="44">
        <v>15</v>
      </c>
      <c r="N703" s="8" t="s">
        <v>195</v>
      </c>
      <c r="O703" s="8" t="s">
        <v>196</v>
      </c>
      <c r="P703" s="8" t="s">
        <v>173</v>
      </c>
      <c r="Q703" s="8"/>
    </row>
    <row r="704" spans="1:17" x14ac:dyDescent="0.25">
      <c r="A704" s="1">
        <v>41</v>
      </c>
      <c r="C704" s="7" t="s">
        <v>459</v>
      </c>
      <c r="D704" s="17">
        <v>23475</v>
      </c>
      <c r="E704" s="7" t="s">
        <v>11</v>
      </c>
      <c r="F704" s="7" t="s">
        <v>461</v>
      </c>
      <c r="G704" s="7" t="s">
        <v>68</v>
      </c>
      <c r="H704" s="45" t="s">
        <v>35</v>
      </c>
      <c r="I704" s="8">
        <v>570530</v>
      </c>
      <c r="J704" s="7" t="s">
        <v>446</v>
      </c>
      <c r="K704" s="44">
        <v>24</v>
      </c>
      <c r="L704" s="44">
        <v>3</v>
      </c>
      <c r="M704" s="44">
        <v>12</v>
      </c>
      <c r="N704" s="8" t="s">
        <v>196</v>
      </c>
      <c r="O704" s="8" t="s">
        <v>198</v>
      </c>
      <c r="P704" s="8" t="s">
        <v>173</v>
      </c>
      <c r="Q704" s="8"/>
    </row>
    <row r="705" spans="1:17" x14ac:dyDescent="0.25">
      <c r="A705" s="1">
        <v>1</v>
      </c>
      <c r="C705" s="7" t="s">
        <v>475</v>
      </c>
      <c r="D705" s="17">
        <v>27747</v>
      </c>
      <c r="E705" s="7" t="s">
        <v>11</v>
      </c>
      <c r="F705" s="7" t="s">
        <v>476</v>
      </c>
      <c r="G705" s="7" t="s">
        <v>89</v>
      </c>
      <c r="H705" s="45" t="s">
        <v>35</v>
      </c>
      <c r="I705" s="8">
        <v>432309</v>
      </c>
      <c r="J705" s="7" t="s">
        <v>467</v>
      </c>
      <c r="K705" s="44">
        <v>16</v>
      </c>
      <c r="L705" s="44">
        <v>2</v>
      </c>
      <c r="M705" s="44">
        <v>10</v>
      </c>
      <c r="N705" s="8" t="s">
        <v>51</v>
      </c>
      <c r="O705" s="18">
        <v>44260</v>
      </c>
      <c r="P705" s="8" t="s">
        <v>50</v>
      </c>
      <c r="Q705" s="8"/>
    </row>
    <row r="706" spans="1:17" x14ac:dyDescent="0.25">
      <c r="A706" s="1">
        <v>2</v>
      </c>
      <c r="C706" s="7" t="s">
        <v>475</v>
      </c>
      <c r="D706" s="17">
        <v>27597</v>
      </c>
      <c r="E706" s="7" t="s">
        <v>11</v>
      </c>
      <c r="F706" s="7" t="s">
        <v>476</v>
      </c>
      <c r="G706" s="7" t="s">
        <v>264</v>
      </c>
      <c r="H706" s="45" t="s">
        <v>35</v>
      </c>
      <c r="I706" s="8">
        <v>570530</v>
      </c>
      <c r="J706" s="7" t="s">
        <v>446</v>
      </c>
      <c r="K706" s="44">
        <v>8</v>
      </c>
      <c r="L706" s="44">
        <v>1</v>
      </c>
      <c r="M706" s="44">
        <v>11</v>
      </c>
      <c r="N706" s="8" t="s">
        <v>339</v>
      </c>
      <c r="O706" s="18">
        <v>44263</v>
      </c>
      <c r="P706" s="8" t="s">
        <v>50</v>
      </c>
      <c r="Q706" s="8"/>
    </row>
    <row r="707" spans="1:17" x14ac:dyDescent="0.25">
      <c r="A707" s="1">
        <v>3</v>
      </c>
      <c r="C707" s="7" t="s">
        <v>475</v>
      </c>
      <c r="D707" s="17">
        <v>24088</v>
      </c>
      <c r="E707" s="7" t="s">
        <v>11</v>
      </c>
      <c r="F707" s="7" t="s">
        <v>476</v>
      </c>
      <c r="G707" s="7" t="s">
        <v>34</v>
      </c>
      <c r="H707" s="45" t="s">
        <v>35</v>
      </c>
      <c r="I707" s="8">
        <v>514091</v>
      </c>
      <c r="J707" s="7" t="s">
        <v>477</v>
      </c>
      <c r="K707" s="44">
        <v>8</v>
      </c>
      <c r="L707" s="44">
        <v>1</v>
      </c>
      <c r="M707" s="44">
        <v>11</v>
      </c>
      <c r="N707" s="8" t="s">
        <v>53</v>
      </c>
      <c r="O707" s="18">
        <v>44271</v>
      </c>
      <c r="P707" s="8" t="s">
        <v>50</v>
      </c>
      <c r="Q707" s="8"/>
    </row>
    <row r="708" spans="1:17" x14ac:dyDescent="0.25">
      <c r="A708" s="1">
        <v>4</v>
      </c>
      <c r="C708" s="7" t="s">
        <v>475</v>
      </c>
      <c r="D708" s="17">
        <v>27746</v>
      </c>
      <c r="E708" s="7" t="s">
        <v>11</v>
      </c>
      <c r="F708" s="7" t="s">
        <v>476</v>
      </c>
      <c r="G708" s="7" t="s">
        <v>89</v>
      </c>
      <c r="H708" s="45" t="s">
        <v>35</v>
      </c>
      <c r="I708" s="8">
        <v>432309</v>
      </c>
      <c r="J708" s="7" t="s">
        <v>467</v>
      </c>
      <c r="K708" s="44">
        <v>16</v>
      </c>
      <c r="L708" s="44">
        <v>2</v>
      </c>
      <c r="M708" s="44">
        <v>10</v>
      </c>
      <c r="N708" s="8" t="s">
        <v>478</v>
      </c>
      <c r="O708" s="18">
        <v>44281</v>
      </c>
      <c r="P708" s="8" t="s">
        <v>50</v>
      </c>
      <c r="Q708" s="8"/>
    </row>
    <row r="709" spans="1:17" x14ac:dyDescent="0.25">
      <c r="A709" s="1">
        <v>5</v>
      </c>
      <c r="C709" s="7" t="s">
        <v>475</v>
      </c>
      <c r="D709" s="17">
        <v>27596</v>
      </c>
      <c r="E709" s="7" t="s">
        <v>11</v>
      </c>
      <c r="F709" s="7" t="s">
        <v>476</v>
      </c>
      <c r="G709" s="7" t="s">
        <v>264</v>
      </c>
      <c r="H709" s="45" t="s">
        <v>35</v>
      </c>
      <c r="I709" s="8">
        <v>570530</v>
      </c>
      <c r="J709" s="7" t="s">
        <v>446</v>
      </c>
      <c r="K709" s="44">
        <v>8</v>
      </c>
      <c r="L709" s="44">
        <v>1</v>
      </c>
      <c r="M709" s="44">
        <v>12</v>
      </c>
      <c r="N709" s="8" t="s">
        <v>342</v>
      </c>
      <c r="O709" s="18">
        <v>44284</v>
      </c>
      <c r="P709" s="8" t="s">
        <v>50</v>
      </c>
      <c r="Q709" s="8"/>
    </row>
    <row r="710" spans="1:17" x14ac:dyDescent="0.25">
      <c r="A710" s="1">
        <v>6</v>
      </c>
      <c r="C710" s="7" t="s">
        <v>475</v>
      </c>
      <c r="D710" s="17">
        <v>27595</v>
      </c>
      <c r="E710" s="7" t="s">
        <v>11</v>
      </c>
      <c r="F710" s="7" t="s">
        <v>476</v>
      </c>
      <c r="G710" s="7" t="s">
        <v>264</v>
      </c>
      <c r="H710" s="45" t="s">
        <v>35</v>
      </c>
      <c r="I710" s="8">
        <v>570530</v>
      </c>
      <c r="J710" s="7" t="s">
        <v>446</v>
      </c>
      <c r="K710" s="44">
        <v>8</v>
      </c>
      <c r="L710" s="44">
        <v>1</v>
      </c>
      <c r="M710" s="44">
        <v>12</v>
      </c>
      <c r="N710" s="8" t="s">
        <v>266</v>
      </c>
      <c r="O710" s="18">
        <v>44291</v>
      </c>
      <c r="P710" s="8" t="s">
        <v>60</v>
      </c>
      <c r="Q710" s="8"/>
    </row>
    <row r="711" spans="1:17" x14ac:dyDescent="0.25">
      <c r="A711" s="106">
        <v>7</v>
      </c>
      <c r="B711" s="110"/>
      <c r="C711" s="107" t="s">
        <v>475</v>
      </c>
      <c r="D711" s="108">
        <v>27745</v>
      </c>
      <c r="E711" s="107" t="s">
        <v>11</v>
      </c>
      <c r="F711" s="107" t="s">
        <v>476</v>
      </c>
      <c r="G711" s="107" t="s">
        <v>89</v>
      </c>
      <c r="H711" s="123" t="s">
        <v>35</v>
      </c>
      <c r="I711" s="46">
        <v>432309</v>
      </c>
      <c r="J711" s="107" t="s">
        <v>467</v>
      </c>
      <c r="K711" s="124">
        <v>16</v>
      </c>
      <c r="L711" s="124">
        <v>2</v>
      </c>
      <c r="M711" s="124">
        <v>10</v>
      </c>
      <c r="N711" s="46" t="s">
        <v>343</v>
      </c>
      <c r="O711" s="47">
        <v>44295</v>
      </c>
      <c r="P711" s="46" t="s">
        <v>60</v>
      </c>
      <c r="Q711" s="8"/>
    </row>
    <row r="712" spans="1:17" x14ac:dyDescent="0.25">
      <c r="A712" s="1">
        <v>16</v>
      </c>
      <c r="C712" s="7" t="s">
        <v>475</v>
      </c>
      <c r="D712" s="17">
        <v>29327</v>
      </c>
      <c r="E712" s="7" t="s">
        <v>11</v>
      </c>
      <c r="F712" s="7" t="s">
        <v>476</v>
      </c>
      <c r="G712" s="7" t="s">
        <v>105</v>
      </c>
      <c r="H712" s="45" t="s">
        <v>35</v>
      </c>
      <c r="I712" s="8">
        <v>338549</v>
      </c>
      <c r="J712" s="7" t="s">
        <v>479</v>
      </c>
      <c r="K712" s="44">
        <v>16</v>
      </c>
      <c r="L712" s="44">
        <v>2</v>
      </c>
      <c r="M712" s="44">
        <v>4</v>
      </c>
      <c r="N712" s="8" t="s">
        <v>308</v>
      </c>
      <c r="O712" s="8" t="s">
        <v>117</v>
      </c>
      <c r="P712" s="8" t="s">
        <v>119</v>
      </c>
      <c r="Q712" s="8"/>
    </row>
    <row r="713" spans="1:17" x14ac:dyDescent="0.25">
      <c r="A713" s="1">
        <v>17</v>
      </c>
      <c r="C713" s="7" t="s">
        <v>475</v>
      </c>
      <c r="D713" s="17">
        <v>29326</v>
      </c>
      <c r="E713" s="7" t="s">
        <v>11</v>
      </c>
      <c r="F713" s="7" t="s">
        <v>476</v>
      </c>
      <c r="G713" s="7" t="s">
        <v>105</v>
      </c>
      <c r="H713" s="45" t="s">
        <v>35</v>
      </c>
      <c r="I713" s="8">
        <v>338549</v>
      </c>
      <c r="J713" s="7" t="s">
        <v>479</v>
      </c>
      <c r="K713" s="44">
        <v>16</v>
      </c>
      <c r="L713" s="44">
        <v>2</v>
      </c>
      <c r="M713" s="44">
        <v>5</v>
      </c>
      <c r="N713" s="8" t="s">
        <v>310</v>
      </c>
      <c r="O713" s="8" t="s">
        <v>311</v>
      </c>
      <c r="P713" s="8" t="s">
        <v>119</v>
      </c>
      <c r="Q713" s="8"/>
    </row>
    <row r="714" spans="1:17" x14ac:dyDescent="0.25">
      <c r="A714" s="130">
        <v>8</v>
      </c>
      <c r="B714" s="131"/>
      <c r="C714" s="132" t="s">
        <v>475</v>
      </c>
      <c r="D714" s="133">
        <v>27594</v>
      </c>
      <c r="E714" s="132" t="s">
        <v>11</v>
      </c>
      <c r="F714" s="132" t="s">
        <v>476</v>
      </c>
      <c r="G714" s="132" t="s">
        <v>264</v>
      </c>
      <c r="H714" s="138" t="s">
        <v>35</v>
      </c>
      <c r="I714" s="134">
        <v>570530</v>
      </c>
      <c r="J714" s="132" t="s">
        <v>446</v>
      </c>
      <c r="K714" s="135">
        <v>8</v>
      </c>
      <c r="L714" s="135">
        <v>1</v>
      </c>
      <c r="M714" s="135">
        <v>12</v>
      </c>
      <c r="N714" s="134" t="s">
        <v>67</v>
      </c>
      <c r="O714" s="136">
        <v>44305</v>
      </c>
      <c r="P714" s="134" t="s">
        <v>60</v>
      </c>
      <c r="Q714" s="8"/>
    </row>
    <row r="715" spans="1:17" x14ac:dyDescent="0.25">
      <c r="A715" s="1">
        <v>9</v>
      </c>
      <c r="C715" s="7" t="s">
        <v>475</v>
      </c>
      <c r="D715" s="17">
        <v>27744</v>
      </c>
      <c r="E715" s="7" t="s">
        <v>11</v>
      </c>
      <c r="F715" s="7" t="s">
        <v>476</v>
      </c>
      <c r="G715" s="7" t="s">
        <v>89</v>
      </c>
      <c r="H715" s="45" t="s">
        <v>35</v>
      </c>
      <c r="I715" s="8">
        <v>432309</v>
      </c>
      <c r="J715" s="7" t="s">
        <v>467</v>
      </c>
      <c r="K715" s="44">
        <v>16</v>
      </c>
      <c r="L715" s="44">
        <v>2</v>
      </c>
      <c r="M715" s="44">
        <v>11</v>
      </c>
      <c r="N715" s="8" t="s">
        <v>423</v>
      </c>
      <c r="O715" s="18">
        <v>44309</v>
      </c>
      <c r="P715" s="8" t="s">
        <v>60</v>
      </c>
      <c r="Q715" s="8"/>
    </row>
    <row r="716" spans="1:17" x14ac:dyDescent="0.25">
      <c r="A716" s="1">
        <v>10</v>
      </c>
      <c r="C716" s="7" t="s">
        <v>475</v>
      </c>
      <c r="D716" s="17">
        <v>27743</v>
      </c>
      <c r="E716" s="7" t="s">
        <v>11</v>
      </c>
      <c r="F716" s="7" t="s">
        <v>476</v>
      </c>
      <c r="G716" s="7" t="s">
        <v>89</v>
      </c>
      <c r="H716" s="45" t="s">
        <v>35</v>
      </c>
      <c r="I716" s="8">
        <v>432309</v>
      </c>
      <c r="J716" s="7" t="s">
        <v>467</v>
      </c>
      <c r="K716" s="44">
        <v>16</v>
      </c>
      <c r="L716" s="44">
        <v>2</v>
      </c>
      <c r="M716" s="44">
        <v>11</v>
      </c>
      <c r="N716" s="8" t="s">
        <v>275</v>
      </c>
      <c r="O716" s="18">
        <v>44323</v>
      </c>
      <c r="P716" s="8" t="s">
        <v>77</v>
      </c>
      <c r="Q716" s="8"/>
    </row>
    <row r="717" spans="1:17" x14ac:dyDescent="0.25">
      <c r="A717" s="1">
        <v>11</v>
      </c>
      <c r="C717" s="7" t="s">
        <v>475</v>
      </c>
      <c r="D717" s="17">
        <v>24068</v>
      </c>
      <c r="E717" s="7" t="s">
        <v>11</v>
      </c>
      <c r="F717" s="7" t="s">
        <v>476</v>
      </c>
      <c r="G717" s="7" t="s">
        <v>68</v>
      </c>
      <c r="H717" s="45" t="s">
        <v>35</v>
      </c>
      <c r="I717" s="8">
        <v>514091</v>
      </c>
      <c r="J717" s="7" t="s">
        <v>477</v>
      </c>
      <c r="K717" s="44">
        <v>24</v>
      </c>
      <c r="L717" s="44">
        <v>3</v>
      </c>
      <c r="M717" s="44">
        <v>7</v>
      </c>
      <c r="N717" s="8" t="s">
        <v>76</v>
      </c>
      <c r="O717" s="18">
        <v>44330</v>
      </c>
      <c r="P717" s="8" t="s">
        <v>77</v>
      </c>
      <c r="Q717" s="8"/>
    </row>
    <row r="718" spans="1:17" x14ac:dyDescent="0.25">
      <c r="A718" s="1">
        <v>12</v>
      </c>
      <c r="C718" s="7" t="s">
        <v>475</v>
      </c>
      <c r="D718" s="17">
        <v>27742</v>
      </c>
      <c r="E718" s="7" t="s">
        <v>11</v>
      </c>
      <c r="F718" s="7" t="s">
        <v>476</v>
      </c>
      <c r="G718" s="7" t="s">
        <v>89</v>
      </c>
      <c r="H718" s="45" t="s">
        <v>35</v>
      </c>
      <c r="I718" s="8">
        <v>432309</v>
      </c>
      <c r="J718" s="7" t="s">
        <v>467</v>
      </c>
      <c r="K718" s="44">
        <v>16</v>
      </c>
      <c r="L718" s="44">
        <v>2</v>
      </c>
      <c r="M718" s="44">
        <v>11</v>
      </c>
      <c r="N718" s="8" t="s">
        <v>284</v>
      </c>
      <c r="O718" s="18">
        <v>44337</v>
      </c>
      <c r="P718" s="8" t="s">
        <v>77</v>
      </c>
      <c r="Q718" s="8"/>
    </row>
    <row r="719" spans="1:17" x14ac:dyDescent="0.25">
      <c r="A719" s="1">
        <v>13</v>
      </c>
      <c r="C719" s="7" t="s">
        <v>475</v>
      </c>
      <c r="D719" s="17">
        <v>28192</v>
      </c>
      <c r="E719" s="7" t="s">
        <v>11</v>
      </c>
      <c r="F719" s="7" t="s">
        <v>476</v>
      </c>
      <c r="G719" s="7" t="s">
        <v>279</v>
      </c>
      <c r="H719" s="45" t="s">
        <v>35</v>
      </c>
      <c r="I719" s="8">
        <v>432309</v>
      </c>
      <c r="J719" s="7" t="s">
        <v>467</v>
      </c>
      <c r="K719" s="44">
        <v>16</v>
      </c>
      <c r="L719" s="44">
        <v>2</v>
      </c>
      <c r="M719" s="44">
        <v>9</v>
      </c>
      <c r="N719" s="8" t="s">
        <v>289</v>
      </c>
      <c r="O719" s="8" t="s">
        <v>290</v>
      </c>
      <c r="P719" s="8" t="s">
        <v>100</v>
      </c>
      <c r="Q719" s="8"/>
    </row>
    <row r="720" spans="1:17" x14ac:dyDescent="0.25">
      <c r="A720" s="1">
        <v>14</v>
      </c>
      <c r="C720" s="7" t="s">
        <v>475</v>
      </c>
      <c r="D720" s="17">
        <v>24079</v>
      </c>
      <c r="E720" s="7" t="s">
        <v>11</v>
      </c>
      <c r="F720" s="7" t="s">
        <v>476</v>
      </c>
      <c r="G720" s="7" t="s">
        <v>159</v>
      </c>
      <c r="H720" s="45" t="s">
        <v>35</v>
      </c>
      <c r="I720" s="8">
        <v>570530</v>
      </c>
      <c r="J720" s="7" t="s">
        <v>446</v>
      </c>
      <c r="K720" s="44">
        <v>16</v>
      </c>
      <c r="L720" s="44">
        <v>2</v>
      </c>
      <c r="M720" s="44">
        <v>9</v>
      </c>
      <c r="N720" s="8" t="s">
        <v>295</v>
      </c>
      <c r="O720" s="8" t="s">
        <v>102</v>
      </c>
      <c r="P720" s="8" t="s">
        <v>100</v>
      </c>
      <c r="Q720" s="8"/>
    </row>
    <row r="721" spans="1:17" x14ac:dyDescent="0.25">
      <c r="A721" s="1">
        <v>15</v>
      </c>
      <c r="C721" s="7" t="s">
        <v>475</v>
      </c>
      <c r="D721" s="17">
        <v>24067</v>
      </c>
      <c r="E721" s="7" t="s">
        <v>11</v>
      </c>
      <c r="F721" s="7" t="s">
        <v>476</v>
      </c>
      <c r="G721" s="7" t="s">
        <v>68</v>
      </c>
      <c r="H721" s="45" t="s">
        <v>35</v>
      </c>
      <c r="I721" s="8">
        <v>514091</v>
      </c>
      <c r="J721" s="7" t="s">
        <v>477</v>
      </c>
      <c r="K721" s="44">
        <v>24</v>
      </c>
      <c r="L721" s="44">
        <v>3</v>
      </c>
      <c r="M721" s="44">
        <v>8</v>
      </c>
      <c r="N721" s="8" t="s">
        <v>306</v>
      </c>
      <c r="O721" s="8" t="s">
        <v>116</v>
      </c>
      <c r="P721" s="8" t="s">
        <v>100</v>
      </c>
      <c r="Q721" s="8"/>
    </row>
    <row r="722" spans="1:17" x14ac:dyDescent="0.25">
      <c r="A722" s="1">
        <v>18</v>
      </c>
      <c r="C722" s="7" t="s">
        <v>475</v>
      </c>
      <c r="D722" s="17">
        <v>24066</v>
      </c>
      <c r="E722" s="7" t="s">
        <v>11</v>
      </c>
      <c r="F722" s="7" t="s">
        <v>476</v>
      </c>
      <c r="G722" s="7" t="s">
        <v>68</v>
      </c>
      <c r="H722" s="45" t="s">
        <v>35</v>
      </c>
      <c r="I722" s="8">
        <v>514091</v>
      </c>
      <c r="J722" s="7" t="s">
        <v>477</v>
      </c>
      <c r="K722" s="44">
        <v>24</v>
      </c>
      <c r="L722" s="44">
        <v>3</v>
      </c>
      <c r="M722" s="44">
        <v>8</v>
      </c>
      <c r="N722" s="8" t="s">
        <v>310</v>
      </c>
      <c r="O722" s="8" t="s">
        <v>123</v>
      </c>
      <c r="P722" s="8" t="s">
        <v>119</v>
      </c>
      <c r="Q722" s="8"/>
    </row>
    <row r="723" spans="1:17" x14ac:dyDescent="0.25">
      <c r="A723" s="1">
        <v>19</v>
      </c>
      <c r="C723" s="7" t="s">
        <v>475</v>
      </c>
      <c r="D723" s="17">
        <v>27562</v>
      </c>
      <c r="E723" s="7" t="s">
        <v>11</v>
      </c>
      <c r="F723" s="7" t="s">
        <v>476</v>
      </c>
      <c r="G723" s="7" t="s">
        <v>199</v>
      </c>
      <c r="H723" s="45" t="s">
        <v>35</v>
      </c>
      <c r="I723" s="8">
        <v>570441</v>
      </c>
      <c r="J723" s="7" t="s">
        <v>480</v>
      </c>
      <c r="K723" s="44">
        <v>8</v>
      </c>
      <c r="L723" s="44">
        <v>1</v>
      </c>
      <c r="M723" s="44">
        <v>10</v>
      </c>
      <c r="N723" s="8" t="s">
        <v>129</v>
      </c>
      <c r="O723" s="8" t="s">
        <v>129</v>
      </c>
      <c r="P723" s="8" t="s">
        <v>119</v>
      </c>
      <c r="Q723" s="8"/>
    </row>
    <row r="724" spans="1:17" x14ac:dyDescent="0.25">
      <c r="A724" s="1">
        <v>20</v>
      </c>
      <c r="C724" s="7" t="s">
        <v>475</v>
      </c>
      <c r="D724" s="17">
        <v>29328</v>
      </c>
      <c r="E724" s="7" t="s">
        <v>11</v>
      </c>
      <c r="F724" s="7" t="s">
        <v>476</v>
      </c>
      <c r="G724" s="7" t="s">
        <v>302</v>
      </c>
      <c r="H724" s="45" t="s">
        <v>35</v>
      </c>
      <c r="I724" s="8">
        <v>338549</v>
      </c>
      <c r="J724" s="7" t="s">
        <v>479</v>
      </c>
      <c r="K724" s="44">
        <v>8</v>
      </c>
      <c r="L724" s="44">
        <v>1</v>
      </c>
      <c r="M724" s="44">
        <v>9</v>
      </c>
      <c r="N724" s="8" t="s">
        <v>357</v>
      </c>
      <c r="O724" s="8" t="s">
        <v>357</v>
      </c>
      <c r="P724" s="8" t="s">
        <v>119</v>
      </c>
      <c r="Q724" s="8"/>
    </row>
    <row r="725" spans="1:17" x14ac:dyDescent="0.25">
      <c r="A725" s="1">
        <v>21</v>
      </c>
      <c r="C725" s="7" t="s">
        <v>475</v>
      </c>
      <c r="D725" s="17">
        <v>24087</v>
      </c>
      <c r="E725" s="7" t="s">
        <v>11</v>
      </c>
      <c r="F725" s="7" t="s">
        <v>476</v>
      </c>
      <c r="G725" s="7" t="s">
        <v>34</v>
      </c>
      <c r="H725" s="45" t="s">
        <v>35</v>
      </c>
      <c r="I725" s="8">
        <v>514091</v>
      </c>
      <c r="J725" s="7" t="s">
        <v>477</v>
      </c>
      <c r="K725" s="44">
        <v>8</v>
      </c>
      <c r="L725" s="44">
        <v>1</v>
      </c>
      <c r="M725" s="44">
        <v>10</v>
      </c>
      <c r="N725" s="8" t="s">
        <v>444</v>
      </c>
      <c r="O725" s="8" t="s">
        <v>444</v>
      </c>
      <c r="P725" s="8" t="s">
        <v>119</v>
      </c>
      <c r="Q725" s="8"/>
    </row>
    <row r="726" spans="1:17" x14ac:dyDescent="0.25">
      <c r="A726" s="1">
        <v>22</v>
      </c>
      <c r="C726" s="7" t="s">
        <v>475</v>
      </c>
      <c r="D726" s="17">
        <v>27561</v>
      </c>
      <c r="E726" s="7" t="s">
        <v>11</v>
      </c>
      <c r="F726" s="7" t="s">
        <v>476</v>
      </c>
      <c r="G726" s="7" t="s">
        <v>199</v>
      </c>
      <c r="H726" s="45" t="s">
        <v>35</v>
      </c>
      <c r="I726" s="8">
        <v>570441</v>
      </c>
      <c r="J726" s="7" t="s">
        <v>480</v>
      </c>
      <c r="K726" s="44">
        <v>8</v>
      </c>
      <c r="L726" s="44">
        <v>1</v>
      </c>
      <c r="M726" s="44">
        <v>11</v>
      </c>
      <c r="N726" s="8" t="s">
        <v>429</v>
      </c>
      <c r="O726" s="8" t="s">
        <v>429</v>
      </c>
      <c r="P726" s="8" t="s">
        <v>141</v>
      </c>
      <c r="Q726" s="8"/>
    </row>
    <row r="727" spans="1:17" x14ac:dyDescent="0.25">
      <c r="A727" s="1">
        <v>23</v>
      </c>
      <c r="C727" s="7" t="s">
        <v>475</v>
      </c>
      <c r="D727" s="17">
        <v>28190</v>
      </c>
      <c r="E727" s="7" t="s">
        <v>11</v>
      </c>
      <c r="F727" s="7" t="s">
        <v>476</v>
      </c>
      <c r="G727" s="7" t="s">
        <v>40</v>
      </c>
      <c r="H727" s="45" t="s">
        <v>35</v>
      </c>
      <c r="I727" s="8">
        <v>514091</v>
      </c>
      <c r="J727" s="7" t="s">
        <v>477</v>
      </c>
      <c r="K727" s="44">
        <v>24</v>
      </c>
      <c r="L727" s="44">
        <v>3</v>
      </c>
      <c r="M727" s="44">
        <v>12</v>
      </c>
      <c r="N727" s="8" t="s">
        <v>154</v>
      </c>
      <c r="O727" s="8" t="s">
        <v>156</v>
      </c>
      <c r="P727" s="8" t="s">
        <v>141</v>
      </c>
      <c r="Q727" s="8"/>
    </row>
    <row r="728" spans="1:17" x14ac:dyDescent="0.25">
      <c r="A728" s="1">
        <v>24</v>
      </c>
      <c r="C728" s="7" t="s">
        <v>475</v>
      </c>
      <c r="D728" s="17">
        <v>24078</v>
      </c>
      <c r="E728" s="7" t="s">
        <v>11</v>
      </c>
      <c r="F728" s="7" t="s">
        <v>476</v>
      </c>
      <c r="G728" s="7" t="s">
        <v>159</v>
      </c>
      <c r="H728" s="45" t="s">
        <v>35</v>
      </c>
      <c r="I728" s="8">
        <v>570530</v>
      </c>
      <c r="J728" s="7" t="s">
        <v>446</v>
      </c>
      <c r="K728" s="44">
        <v>16</v>
      </c>
      <c r="L728" s="44">
        <v>2</v>
      </c>
      <c r="M728" s="44">
        <v>9</v>
      </c>
      <c r="N728" s="8" t="s">
        <v>172</v>
      </c>
      <c r="O728" s="8" t="s">
        <v>174</v>
      </c>
      <c r="P728" s="8" t="s">
        <v>173</v>
      </c>
      <c r="Q728" s="8"/>
    </row>
    <row r="729" spans="1:17" x14ac:dyDescent="0.25">
      <c r="A729" s="1">
        <v>25</v>
      </c>
      <c r="C729" s="7" t="s">
        <v>475</v>
      </c>
      <c r="D729" s="17">
        <v>24086</v>
      </c>
      <c r="E729" s="7" t="s">
        <v>11</v>
      </c>
      <c r="F729" s="7" t="s">
        <v>476</v>
      </c>
      <c r="G729" s="7" t="s">
        <v>34</v>
      </c>
      <c r="H729" s="45" t="s">
        <v>35</v>
      </c>
      <c r="I729" s="8">
        <v>514091</v>
      </c>
      <c r="J729" s="7" t="s">
        <v>477</v>
      </c>
      <c r="K729" s="44">
        <v>8</v>
      </c>
      <c r="L729" s="44">
        <v>1</v>
      </c>
      <c r="M729" s="44">
        <v>10</v>
      </c>
      <c r="N729" s="8" t="s">
        <v>177</v>
      </c>
      <c r="O729" s="8" t="s">
        <v>177</v>
      </c>
      <c r="P729" s="8" t="s">
        <v>173</v>
      </c>
      <c r="Q729" s="8"/>
    </row>
    <row r="730" spans="1:17" x14ac:dyDescent="0.25">
      <c r="A730" s="1">
        <v>26</v>
      </c>
      <c r="C730" s="7" t="s">
        <v>475</v>
      </c>
      <c r="D730" s="17">
        <v>27560</v>
      </c>
      <c r="E730" s="7" t="s">
        <v>11</v>
      </c>
      <c r="F730" s="7" t="s">
        <v>476</v>
      </c>
      <c r="G730" s="7" t="s">
        <v>199</v>
      </c>
      <c r="H730" s="45" t="s">
        <v>35</v>
      </c>
      <c r="I730" s="8">
        <v>570441</v>
      </c>
      <c r="J730" s="7" t="s">
        <v>480</v>
      </c>
      <c r="K730" s="44">
        <v>8</v>
      </c>
      <c r="L730" s="44">
        <v>1</v>
      </c>
      <c r="M730" s="44">
        <v>11</v>
      </c>
      <c r="N730" s="8" t="s">
        <v>182</v>
      </c>
      <c r="O730" s="8" t="s">
        <v>182</v>
      </c>
      <c r="P730" s="8" t="s">
        <v>173</v>
      </c>
      <c r="Q730" s="8"/>
    </row>
    <row r="731" spans="1:17" x14ac:dyDescent="0.25">
      <c r="A731" s="1">
        <v>27</v>
      </c>
      <c r="C731" s="7" t="s">
        <v>475</v>
      </c>
      <c r="D731" s="17">
        <v>27593</v>
      </c>
      <c r="E731" s="7" t="s">
        <v>11</v>
      </c>
      <c r="F731" s="7" t="s">
        <v>476</v>
      </c>
      <c r="G731" s="7" t="s">
        <v>264</v>
      </c>
      <c r="H731" s="45" t="s">
        <v>35</v>
      </c>
      <c r="I731" s="8">
        <v>570530</v>
      </c>
      <c r="J731" s="7" t="s">
        <v>446</v>
      </c>
      <c r="K731" s="44">
        <v>8</v>
      </c>
      <c r="L731" s="44">
        <v>1</v>
      </c>
      <c r="M731" s="44">
        <v>12</v>
      </c>
      <c r="N731" s="8" t="s">
        <v>195</v>
      </c>
      <c r="O731" s="8" t="s">
        <v>195</v>
      </c>
      <c r="P731" s="8" t="s">
        <v>173</v>
      </c>
      <c r="Q731" s="8"/>
    </row>
    <row r="732" spans="1:17" x14ac:dyDescent="0.25">
      <c r="A732" s="1">
        <v>28</v>
      </c>
      <c r="C732" s="7" t="s">
        <v>475</v>
      </c>
      <c r="D732" s="17">
        <v>24077</v>
      </c>
      <c r="E732" s="7" t="s">
        <v>11</v>
      </c>
      <c r="F732" s="7" t="s">
        <v>476</v>
      </c>
      <c r="G732" s="7" t="s">
        <v>159</v>
      </c>
      <c r="H732" s="45" t="s">
        <v>35</v>
      </c>
      <c r="I732" s="8">
        <v>570530</v>
      </c>
      <c r="J732" s="7" t="s">
        <v>446</v>
      </c>
      <c r="K732" s="44">
        <v>16</v>
      </c>
      <c r="L732" s="44">
        <v>2</v>
      </c>
      <c r="M732" s="44">
        <v>9</v>
      </c>
      <c r="N732" s="8" t="s">
        <v>365</v>
      </c>
      <c r="O732" s="8" t="s">
        <v>228</v>
      </c>
      <c r="P732" s="8" t="s">
        <v>227</v>
      </c>
      <c r="Q732" s="8"/>
    </row>
    <row r="733" spans="1:17" x14ac:dyDescent="0.25">
      <c r="A733" s="1">
        <v>29</v>
      </c>
      <c r="C733" s="7" t="s">
        <v>475</v>
      </c>
      <c r="D733" s="17">
        <v>27559</v>
      </c>
      <c r="E733" s="7" t="s">
        <v>11</v>
      </c>
      <c r="F733" s="7" t="s">
        <v>476</v>
      </c>
      <c r="G733" s="7" t="s">
        <v>199</v>
      </c>
      <c r="H733" s="45" t="s">
        <v>35</v>
      </c>
      <c r="I733" s="8">
        <v>570441</v>
      </c>
      <c r="J733" s="7" t="s">
        <v>480</v>
      </c>
      <c r="K733" s="44">
        <v>8</v>
      </c>
      <c r="L733" s="44">
        <v>1</v>
      </c>
      <c r="M733" s="44">
        <v>11</v>
      </c>
      <c r="N733" s="8" t="s">
        <v>230</v>
      </c>
      <c r="O733" s="8" t="s">
        <v>230</v>
      </c>
      <c r="P733" s="8" t="s">
        <v>227</v>
      </c>
      <c r="Q733" s="8"/>
    </row>
    <row r="734" spans="1:17" x14ac:dyDescent="0.25">
      <c r="A734" s="1">
        <v>30</v>
      </c>
      <c r="C734" s="7" t="s">
        <v>475</v>
      </c>
      <c r="D734" s="17">
        <v>27558</v>
      </c>
      <c r="E734" s="7" t="s">
        <v>11</v>
      </c>
      <c r="F734" s="7" t="s">
        <v>476</v>
      </c>
      <c r="G734" s="7" t="s">
        <v>199</v>
      </c>
      <c r="H734" s="45" t="s">
        <v>35</v>
      </c>
      <c r="I734" s="8">
        <v>570441</v>
      </c>
      <c r="J734" s="7" t="s">
        <v>480</v>
      </c>
      <c r="K734" s="44">
        <v>8</v>
      </c>
      <c r="L734" s="44">
        <v>1</v>
      </c>
      <c r="M734" s="44">
        <v>11</v>
      </c>
      <c r="N734" s="8" t="s">
        <v>247</v>
      </c>
      <c r="O734" s="8" t="s">
        <v>247</v>
      </c>
      <c r="P734" s="8" t="s">
        <v>249</v>
      </c>
      <c r="Q734" s="8"/>
    </row>
    <row r="735" spans="1:17" x14ac:dyDescent="0.25">
      <c r="A735" s="1">
        <v>1</v>
      </c>
      <c r="C735" s="7" t="s">
        <v>481</v>
      </c>
      <c r="D735" s="17">
        <v>23165</v>
      </c>
      <c r="E735" s="7" t="s">
        <v>11</v>
      </c>
      <c r="F735" s="7" t="s">
        <v>74</v>
      </c>
      <c r="G735" s="7" t="s">
        <v>199</v>
      </c>
      <c r="H735" s="45" t="s">
        <v>35</v>
      </c>
      <c r="I735" s="8">
        <v>342974</v>
      </c>
      <c r="J735" s="7" t="s">
        <v>464</v>
      </c>
      <c r="K735" s="44">
        <v>8</v>
      </c>
      <c r="L735" s="44">
        <v>1</v>
      </c>
      <c r="M735" s="44">
        <v>4</v>
      </c>
      <c r="N735" s="8" t="s">
        <v>463</v>
      </c>
      <c r="O735" s="18">
        <v>44258</v>
      </c>
      <c r="P735" s="8" t="s">
        <v>50</v>
      </c>
      <c r="Q735" s="8"/>
    </row>
    <row r="736" spans="1:17" x14ac:dyDescent="0.25">
      <c r="A736" s="1">
        <v>2</v>
      </c>
      <c r="C736" s="7" t="s">
        <v>481</v>
      </c>
      <c r="D736" s="17">
        <v>25646</v>
      </c>
      <c r="E736" s="7" t="s">
        <v>11</v>
      </c>
      <c r="F736" s="7" t="s">
        <v>74</v>
      </c>
      <c r="G736" s="7" t="s">
        <v>34</v>
      </c>
      <c r="H736" s="45" t="s">
        <v>35</v>
      </c>
      <c r="I736" s="8">
        <v>501348</v>
      </c>
      <c r="J736" s="7" t="s">
        <v>455</v>
      </c>
      <c r="K736" s="44">
        <v>8</v>
      </c>
      <c r="L736" s="44">
        <v>1</v>
      </c>
      <c r="M736" s="44">
        <v>2</v>
      </c>
      <c r="N736" s="8" t="s">
        <v>407</v>
      </c>
      <c r="O736" s="18">
        <v>44288</v>
      </c>
      <c r="P736" s="8" t="s">
        <v>60</v>
      </c>
      <c r="Q736" s="8"/>
    </row>
    <row r="737" spans="1:17" x14ac:dyDescent="0.25">
      <c r="A737" s="1">
        <v>3</v>
      </c>
      <c r="C737" s="7" t="s">
        <v>481</v>
      </c>
      <c r="D737" s="17">
        <v>22580</v>
      </c>
      <c r="E737" s="7" t="s">
        <v>11</v>
      </c>
      <c r="F737" s="7" t="s">
        <v>11</v>
      </c>
      <c r="G737" s="7" t="s">
        <v>294</v>
      </c>
      <c r="H737" s="45" t="s">
        <v>35</v>
      </c>
      <c r="I737" s="8">
        <v>386534</v>
      </c>
      <c r="J737" s="7" t="s">
        <v>482</v>
      </c>
      <c r="K737" s="44">
        <v>8</v>
      </c>
      <c r="L737" s="44">
        <v>1</v>
      </c>
      <c r="M737" s="44">
        <v>3</v>
      </c>
      <c r="N737" s="8" t="s">
        <v>64</v>
      </c>
      <c r="O737" s="18">
        <v>44300</v>
      </c>
      <c r="P737" s="8" t="s">
        <v>60</v>
      </c>
      <c r="Q737" s="8"/>
    </row>
    <row r="738" spans="1:17" x14ac:dyDescent="0.25">
      <c r="A738" s="1">
        <v>4</v>
      </c>
      <c r="C738" s="7" t="s">
        <v>481</v>
      </c>
      <c r="D738" s="17">
        <v>21421</v>
      </c>
      <c r="E738" s="7" t="s">
        <v>8</v>
      </c>
      <c r="F738" s="7" t="s">
        <v>8</v>
      </c>
      <c r="G738" s="7" t="s">
        <v>294</v>
      </c>
      <c r="H738" s="45" t="s">
        <v>35</v>
      </c>
      <c r="I738" s="8">
        <v>374049</v>
      </c>
      <c r="J738" s="7" t="s">
        <v>316</v>
      </c>
      <c r="K738" s="44">
        <v>8</v>
      </c>
      <c r="L738" s="44">
        <v>2</v>
      </c>
      <c r="M738" s="44">
        <v>1</v>
      </c>
      <c r="N738" s="8" t="s">
        <v>411</v>
      </c>
      <c r="O738" s="18">
        <v>44300</v>
      </c>
      <c r="P738" s="8" t="s">
        <v>60</v>
      </c>
      <c r="Q738" s="8"/>
    </row>
    <row r="739" spans="1:17" x14ac:dyDescent="0.25">
      <c r="A739" s="106">
        <v>5</v>
      </c>
      <c r="B739" s="110"/>
      <c r="C739" s="107" t="s">
        <v>481</v>
      </c>
      <c r="D739" s="108">
        <v>21034</v>
      </c>
      <c r="E739" s="107" t="s">
        <v>12</v>
      </c>
      <c r="F739" s="107" t="s">
        <v>442</v>
      </c>
      <c r="G739" s="107" t="s">
        <v>302</v>
      </c>
      <c r="H739" s="123" t="s">
        <v>35</v>
      </c>
      <c r="I739" s="46">
        <v>204199</v>
      </c>
      <c r="J739" s="107" t="s">
        <v>483</v>
      </c>
      <c r="K739" s="124">
        <v>8</v>
      </c>
      <c r="L739" s="124">
        <v>1</v>
      </c>
      <c r="M739" s="124">
        <v>6</v>
      </c>
      <c r="N739" s="46" t="s">
        <v>64</v>
      </c>
      <c r="O739" s="47">
        <v>44300</v>
      </c>
      <c r="P739" s="46" t="s">
        <v>60</v>
      </c>
      <c r="Q739" s="8"/>
    </row>
    <row r="740" spans="1:17" x14ac:dyDescent="0.25">
      <c r="A740" s="1">
        <v>6</v>
      </c>
      <c r="C740" s="7" t="s">
        <v>481</v>
      </c>
      <c r="D740" s="17">
        <v>21035</v>
      </c>
      <c r="E740" s="7" t="s">
        <v>12</v>
      </c>
      <c r="F740" s="7" t="s">
        <v>442</v>
      </c>
      <c r="G740" s="7" t="s">
        <v>401</v>
      </c>
      <c r="H740" s="45" t="s">
        <v>72</v>
      </c>
      <c r="I740" s="8">
        <v>201741</v>
      </c>
      <c r="J740" s="7" t="s">
        <v>484</v>
      </c>
      <c r="K740" s="44">
        <v>16</v>
      </c>
      <c r="L740" s="44">
        <v>2</v>
      </c>
      <c r="M740" s="44">
        <v>12</v>
      </c>
      <c r="N740" s="8" t="s">
        <v>423</v>
      </c>
      <c r="O740" s="18">
        <v>44309</v>
      </c>
      <c r="P740" s="8" t="s">
        <v>60</v>
      </c>
      <c r="Q740" s="8"/>
    </row>
    <row r="741" spans="1:17" x14ac:dyDescent="0.25">
      <c r="A741" s="1">
        <v>7</v>
      </c>
      <c r="C741" s="7" t="s">
        <v>481</v>
      </c>
      <c r="D741" s="17">
        <v>25449</v>
      </c>
      <c r="E741" s="7" t="s">
        <v>11</v>
      </c>
      <c r="F741" s="7" t="s">
        <v>74</v>
      </c>
      <c r="G741" s="7" t="s">
        <v>302</v>
      </c>
      <c r="H741" s="45" t="s">
        <v>35</v>
      </c>
      <c r="I741" s="8">
        <v>374049</v>
      </c>
      <c r="J741" s="7" t="s">
        <v>316</v>
      </c>
      <c r="K741" s="44">
        <v>8</v>
      </c>
      <c r="L741" s="44">
        <v>1</v>
      </c>
      <c r="M741" s="44">
        <v>13</v>
      </c>
      <c r="N741" s="8" t="s">
        <v>272</v>
      </c>
      <c r="O741" s="18">
        <v>44320</v>
      </c>
      <c r="P741" s="8" t="s">
        <v>77</v>
      </c>
      <c r="Q741" s="8"/>
    </row>
    <row r="742" spans="1:17" x14ac:dyDescent="0.25">
      <c r="A742" s="1">
        <v>9</v>
      </c>
      <c r="C742" s="7" t="s">
        <v>481</v>
      </c>
      <c r="D742" s="17">
        <v>25403</v>
      </c>
      <c r="E742" s="7" t="s">
        <v>11</v>
      </c>
      <c r="F742" s="7" t="s">
        <v>74</v>
      </c>
      <c r="G742" s="7" t="s">
        <v>89</v>
      </c>
      <c r="H742" s="45" t="s">
        <v>35</v>
      </c>
      <c r="I742" s="8">
        <v>359204</v>
      </c>
      <c r="J742" s="7" t="s">
        <v>447</v>
      </c>
      <c r="K742" s="44">
        <v>16</v>
      </c>
      <c r="L742" s="44">
        <v>2</v>
      </c>
      <c r="M742" s="44">
        <v>20</v>
      </c>
      <c r="N742" s="8" t="s">
        <v>76</v>
      </c>
      <c r="O742" s="18">
        <v>44329</v>
      </c>
      <c r="P742" s="8" t="s">
        <v>77</v>
      </c>
      <c r="Q742" s="8"/>
    </row>
    <row r="743" spans="1:17" x14ac:dyDescent="0.25">
      <c r="A743" s="1">
        <v>18</v>
      </c>
      <c r="C743" s="7" t="s">
        <v>481</v>
      </c>
      <c r="D743" s="17">
        <v>26424</v>
      </c>
      <c r="E743" s="7" t="s">
        <v>6</v>
      </c>
      <c r="F743" s="7" t="s">
        <v>352</v>
      </c>
      <c r="G743" s="7" t="s">
        <v>302</v>
      </c>
      <c r="H743" s="45" t="s">
        <v>35</v>
      </c>
      <c r="I743" s="8">
        <v>374049</v>
      </c>
      <c r="J743" s="7" t="s">
        <v>316</v>
      </c>
      <c r="K743" s="44">
        <v>8</v>
      </c>
      <c r="L743" s="44">
        <v>1</v>
      </c>
      <c r="M743" s="44">
        <v>2</v>
      </c>
      <c r="N743" s="8" t="s">
        <v>306</v>
      </c>
      <c r="O743" s="8" t="s">
        <v>306</v>
      </c>
      <c r="P743" s="8" t="s">
        <v>100</v>
      </c>
      <c r="Q743" s="8"/>
    </row>
    <row r="744" spans="1:17" x14ac:dyDescent="0.25">
      <c r="A744" s="1">
        <v>20</v>
      </c>
      <c r="C744" s="7" t="s">
        <v>475</v>
      </c>
      <c r="D744" s="17">
        <v>26752</v>
      </c>
      <c r="E744" s="7" t="s">
        <v>6</v>
      </c>
      <c r="F744" s="7" t="s">
        <v>352</v>
      </c>
      <c r="G744" s="7" t="s">
        <v>89</v>
      </c>
      <c r="H744" s="45" t="s">
        <v>35</v>
      </c>
      <c r="I744" s="8">
        <v>428350</v>
      </c>
      <c r="J744" s="7" t="s">
        <v>448</v>
      </c>
      <c r="K744" s="44">
        <v>16</v>
      </c>
      <c r="L744" s="44">
        <v>2</v>
      </c>
      <c r="M744" s="44">
        <v>1</v>
      </c>
      <c r="N744" s="8" t="s">
        <v>123</v>
      </c>
      <c r="O744" s="8" t="s">
        <v>120</v>
      </c>
      <c r="P744" s="8" t="s">
        <v>119</v>
      </c>
      <c r="Q744" s="8"/>
    </row>
    <row r="745" spans="1:17" x14ac:dyDescent="0.25">
      <c r="A745" s="1">
        <v>10</v>
      </c>
      <c r="C745" s="7" t="s">
        <v>481</v>
      </c>
      <c r="D745" s="17">
        <v>26122</v>
      </c>
      <c r="E745" s="7" t="s">
        <v>8</v>
      </c>
      <c r="F745" s="7" t="s">
        <v>142</v>
      </c>
      <c r="G745" s="7" t="s">
        <v>94</v>
      </c>
      <c r="H745" s="45" t="s">
        <v>35</v>
      </c>
      <c r="I745" s="8">
        <v>245435</v>
      </c>
      <c r="J745" s="7" t="s">
        <v>485</v>
      </c>
      <c r="K745" s="44">
        <v>16</v>
      </c>
      <c r="L745" s="44">
        <v>2</v>
      </c>
      <c r="M745" s="44">
        <v>1</v>
      </c>
      <c r="N745" s="8" t="s">
        <v>281</v>
      </c>
      <c r="O745" s="18">
        <v>44334</v>
      </c>
      <c r="P745" s="8" t="s">
        <v>77</v>
      </c>
      <c r="Q745" s="8"/>
    </row>
    <row r="746" spans="1:17" x14ac:dyDescent="0.25">
      <c r="A746" s="1">
        <v>15</v>
      </c>
      <c r="C746" s="7" t="s">
        <v>481</v>
      </c>
      <c r="D746" s="17">
        <v>25270</v>
      </c>
      <c r="E746" s="7" t="s">
        <v>11</v>
      </c>
      <c r="F746" s="7" t="s">
        <v>74</v>
      </c>
      <c r="G746" s="7" t="s">
        <v>171</v>
      </c>
      <c r="H746" s="45" t="s">
        <v>35</v>
      </c>
      <c r="I746" s="8">
        <v>309218</v>
      </c>
      <c r="J746" s="7" t="s">
        <v>486</v>
      </c>
      <c r="K746" s="44">
        <v>8</v>
      </c>
      <c r="L746" s="44">
        <v>1</v>
      </c>
      <c r="M746" s="44">
        <v>10</v>
      </c>
      <c r="N746" s="8" t="s">
        <v>108</v>
      </c>
      <c r="O746" s="8" t="s">
        <v>108</v>
      </c>
      <c r="P746" s="8" t="s">
        <v>100</v>
      </c>
      <c r="Q746" s="8"/>
    </row>
    <row r="747" spans="1:17" x14ac:dyDescent="0.25">
      <c r="A747" s="1">
        <v>17</v>
      </c>
      <c r="C747" s="7" t="s">
        <v>475</v>
      </c>
      <c r="D747" s="17">
        <v>26476</v>
      </c>
      <c r="E747" s="7" t="s">
        <v>6</v>
      </c>
      <c r="F747" s="7" t="s">
        <v>352</v>
      </c>
      <c r="G747" s="7" t="s">
        <v>390</v>
      </c>
      <c r="H747" s="45" t="s">
        <v>35</v>
      </c>
      <c r="I747" s="8">
        <v>441106</v>
      </c>
      <c r="J747" s="7" t="s">
        <v>163</v>
      </c>
      <c r="K747" s="44">
        <v>8</v>
      </c>
      <c r="L747" s="44">
        <v>1</v>
      </c>
      <c r="M747" s="44">
        <v>18</v>
      </c>
      <c r="N747" s="8" t="s">
        <v>113</v>
      </c>
      <c r="O747" s="8" t="s">
        <v>113</v>
      </c>
      <c r="P747" s="8" t="s">
        <v>100</v>
      </c>
      <c r="Q747" s="8"/>
    </row>
    <row r="748" spans="1:17" x14ac:dyDescent="0.25">
      <c r="A748" s="1">
        <v>22</v>
      </c>
      <c r="C748" s="7" t="s">
        <v>481</v>
      </c>
      <c r="D748" s="17">
        <v>29558</v>
      </c>
      <c r="E748" s="7" t="s">
        <v>9</v>
      </c>
      <c r="F748" s="7" t="s">
        <v>487</v>
      </c>
      <c r="G748" s="7" t="s">
        <v>302</v>
      </c>
      <c r="H748" s="45" t="s">
        <v>35</v>
      </c>
      <c r="I748" s="8">
        <v>328467</v>
      </c>
      <c r="J748" s="7" t="s">
        <v>488</v>
      </c>
      <c r="K748" s="44">
        <v>8</v>
      </c>
      <c r="L748" s="44">
        <v>2</v>
      </c>
      <c r="M748" s="44">
        <v>1</v>
      </c>
      <c r="N748" s="8" t="s">
        <v>134</v>
      </c>
      <c r="O748" s="8" t="s">
        <v>135</v>
      </c>
      <c r="P748" s="8" t="s">
        <v>119</v>
      </c>
      <c r="Q748" s="8"/>
    </row>
    <row r="749" spans="1:17" x14ac:dyDescent="0.25">
      <c r="A749" s="130">
        <v>8</v>
      </c>
      <c r="B749" s="131"/>
      <c r="C749" s="132" t="s">
        <v>481</v>
      </c>
      <c r="D749" s="133">
        <v>20999</v>
      </c>
      <c r="E749" s="132" t="s">
        <v>12</v>
      </c>
      <c r="F749" s="132" t="s">
        <v>442</v>
      </c>
      <c r="G749" s="132" t="s">
        <v>171</v>
      </c>
      <c r="H749" s="138" t="s">
        <v>72</v>
      </c>
      <c r="I749" s="134">
        <v>201741</v>
      </c>
      <c r="J749" s="132" t="s">
        <v>484</v>
      </c>
      <c r="K749" s="135">
        <v>8</v>
      </c>
      <c r="L749" s="135">
        <v>1</v>
      </c>
      <c r="M749" s="135">
        <v>15</v>
      </c>
      <c r="N749" s="134" t="s">
        <v>76</v>
      </c>
      <c r="O749" s="136">
        <v>44328</v>
      </c>
      <c r="P749" s="134" t="s">
        <v>77</v>
      </c>
      <c r="Q749" s="8"/>
    </row>
    <row r="750" spans="1:17" x14ac:dyDescent="0.25">
      <c r="A750" s="1">
        <v>11</v>
      </c>
      <c r="C750" s="7" t="s">
        <v>481</v>
      </c>
      <c r="D750" s="17">
        <v>20998</v>
      </c>
      <c r="E750" s="7" t="s">
        <v>12</v>
      </c>
      <c r="F750" s="7" t="s">
        <v>442</v>
      </c>
      <c r="G750" s="7" t="s">
        <v>171</v>
      </c>
      <c r="H750" s="45" t="s">
        <v>72</v>
      </c>
      <c r="I750" s="8">
        <v>201741</v>
      </c>
      <c r="J750" s="7" t="s">
        <v>484</v>
      </c>
      <c r="K750" s="44">
        <v>8</v>
      </c>
      <c r="L750" s="44">
        <v>1</v>
      </c>
      <c r="M750" s="44">
        <v>9</v>
      </c>
      <c r="N750" s="8" t="s">
        <v>87</v>
      </c>
      <c r="O750" s="18">
        <v>44335</v>
      </c>
      <c r="P750" s="8" t="s">
        <v>77</v>
      </c>
      <c r="Q750" s="8"/>
    </row>
    <row r="751" spans="1:17" x14ac:dyDescent="0.25">
      <c r="A751" s="1">
        <v>12</v>
      </c>
      <c r="C751" s="7" t="s">
        <v>481</v>
      </c>
      <c r="D751" s="17">
        <v>21033</v>
      </c>
      <c r="E751" s="7" t="s">
        <v>12</v>
      </c>
      <c r="F751" s="7" t="s">
        <v>442</v>
      </c>
      <c r="G751" s="7" t="s">
        <v>331</v>
      </c>
      <c r="H751" s="45" t="s">
        <v>35</v>
      </c>
      <c r="I751" s="8">
        <v>374123</v>
      </c>
      <c r="J751" s="7" t="s">
        <v>412</v>
      </c>
      <c r="K751" s="44">
        <v>32</v>
      </c>
      <c r="L751" s="44">
        <v>4</v>
      </c>
      <c r="M751" s="44">
        <v>13</v>
      </c>
      <c r="N751" s="8" t="s">
        <v>295</v>
      </c>
      <c r="O751" s="8" t="s">
        <v>104</v>
      </c>
      <c r="P751" s="8" t="s">
        <v>100</v>
      </c>
      <c r="Q751" s="8"/>
    </row>
    <row r="752" spans="1:17" x14ac:dyDescent="0.25">
      <c r="A752" s="1">
        <v>13</v>
      </c>
      <c r="C752" s="7" t="s">
        <v>481</v>
      </c>
      <c r="D752" s="17">
        <v>25264</v>
      </c>
      <c r="E752" s="7" t="s">
        <v>11</v>
      </c>
      <c r="F752" s="7" t="s">
        <v>74</v>
      </c>
      <c r="G752" s="7" t="s">
        <v>71</v>
      </c>
      <c r="H752" s="45" t="s">
        <v>72</v>
      </c>
      <c r="I752" s="8">
        <v>315738</v>
      </c>
      <c r="J752" s="7" t="s">
        <v>415</v>
      </c>
      <c r="K752" s="44">
        <v>16</v>
      </c>
      <c r="L752" s="44">
        <v>2</v>
      </c>
      <c r="M752" s="44">
        <v>8</v>
      </c>
      <c r="N752" s="8" t="s">
        <v>299</v>
      </c>
      <c r="O752" s="8" t="s">
        <v>300</v>
      </c>
      <c r="P752" s="8" t="s">
        <v>100</v>
      </c>
      <c r="Q752" s="8"/>
    </row>
    <row r="753" spans="1:17" x14ac:dyDescent="0.25">
      <c r="A753" s="1">
        <v>14</v>
      </c>
      <c r="C753" s="7" t="s">
        <v>481</v>
      </c>
      <c r="D753" s="17">
        <v>20996</v>
      </c>
      <c r="E753" s="7" t="s">
        <v>12</v>
      </c>
      <c r="F753" s="7" t="s">
        <v>442</v>
      </c>
      <c r="G753" s="7" t="s">
        <v>71</v>
      </c>
      <c r="H753" s="45" t="s">
        <v>35</v>
      </c>
      <c r="I753" s="8">
        <v>315738</v>
      </c>
      <c r="J753" s="7" t="s">
        <v>415</v>
      </c>
      <c r="K753" s="44">
        <v>16</v>
      </c>
      <c r="L753" s="44">
        <v>2</v>
      </c>
      <c r="M753" s="44">
        <v>7</v>
      </c>
      <c r="N753" s="8" t="s">
        <v>299</v>
      </c>
      <c r="O753" s="8" t="s">
        <v>300</v>
      </c>
      <c r="P753" s="8" t="s">
        <v>100</v>
      </c>
      <c r="Q753" s="8"/>
    </row>
    <row r="754" spans="1:17" x14ac:dyDescent="0.25">
      <c r="A754" s="1">
        <v>16</v>
      </c>
      <c r="C754" s="7" t="s">
        <v>481</v>
      </c>
      <c r="D754" s="17">
        <v>23904</v>
      </c>
      <c r="E754" s="7" t="s">
        <v>6</v>
      </c>
      <c r="F754" s="7" t="s">
        <v>489</v>
      </c>
      <c r="G754" s="7" t="s">
        <v>127</v>
      </c>
      <c r="H754" s="45" t="s">
        <v>35</v>
      </c>
      <c r="I754" s="8">
        <v>324620</v>
      </c>
      <c r="J754" s="7" t="s">
        <v>329</v>
      </c>
      <c r="K754" s="44">
        <v>16</v>
      </c>
      <c r="L754" s="44">
        <v>2</v>
      </c>
      <c r="M754" s="44">
        <v>2</v>
      </c>
      <c r="N754" s="8" t="s">
        <v>108</v>
      </c>
      <c r="O754" s="8" t="s">
        <v>304</v>
      </c>
      <c r="P754" s="8" t="s">
        <v>100</v>
      </c>
      <c r="Q754" s="8"/>
    </row>
    <row r="755" spans="1:17" x14ac:dyDescent="0.25">
      <c r="A755" s="1">
        <v>19</v>
      </c>
      <c r="C755" s="7" t="s">
        <v>481</v>
      </c>
      <c r="D755" s="17">
        <v>22300</v>
      </c>
      <c r="E755" s="7" t="s">
        <v>12</v>
      </c>
      <c r="F755" s="7" t="s">
        <v>442</v>
      </c>
      <c r="G755" s="7" t="s">
        <v>84</v>
      </c>
      <c r="H755" s="45" t="s">
        <v>72</v>
      </c>
      <c r="I755" s="8">
        <v>201741</v>
      </c>
      <c r="J755" s="7" t="s">
        <v>484</v>
      </c>
      <c r="K755" s="44">
        <v>16</v>
      </c>
      <c r="L755" s="44">
        <v>2</v>
      </c>
      <c r="M755" s="44">
        <v>12</v>
      </c>
      <c r="N755" s="8" t="s">
        <v>310</v>
      </c>
      <c r="O755" s="8" t="s">
        <v>311</v>
      </c>
      <c r="P755" s="8" t="s">
        <v>119</v>
      </c>
      <c r="Q755" s="8"/>
    </row>
    <row r="756" spans="1:17" x14ac:dyDescent="0.25">
      <c r="A756" s="1">
        <v>21</v>
      </c>
      <c r="C756" s="7" t="s">
        <v>481</v>
      </c>
      <c r="D756" s="17">
        <v>21004</v>
      </c>
      <c r="E756" s="7" t="s">
        <v>12</v>
      </c>
      <c r="F756" s="7" t="s">
        <v>442</v>
      </c>
      <c r="G756" s="7" t="s">
        <v>127</v>
      </c>
      <c r="H756" s="45" t="s">
        <v>72</v>
      </c>
      <c r="I756" s="8">
        <v>374123</v>
      </c>
      <c r="J756" s="7" t="s">
        <v>412</v>
      </c>
      <c r="K756" s="44">
        <v>16</v>
      </c>
      <c r="L756" s="44">
        <v>2</v>
      </c>
      <c r="M756" s="44">
        <v>9</v>
      </c>
      <c r="N756" s="8" t="s">
        <v>126</v>
      </c>
      <c r="O756" s="8" t="s">
        <v>315</v>
      </c>
      <c r="P756" s="8" t="s">
        <v>119</v>
      </c>
      <c r="Q756" s="8"/>
    </row>
    <row r="757" spans="1:17" x14ac:dyDescent="0.25">
      <c r="A757" s="1">
        <v>1</v>
      </c>
      <c r="C757" s="7" t="s">
        <v>490</v>
      </c>
      <c r="D757" s="17">
        <v>21954</v>
      </c>
      <c r="E757" s="7" t="s">
        <v>7</v>
      </c>
      <c r="F757" s="7" t="s">
        <v>491</v>
      </c>
      <c r="G757" s="7" t="s">
        <v>362</v>
      </c>
      <c r="H757" s="42" t="s">
        <v>35</v>
      </c>
      <c r="I757" s="8">
        <v>336327</v>
      </c>
      <c r="J757" s="7" t="s">
        <v>492</v>
      </c>
      <c r="K757" s="40">
        <v>24</v>
      </c>
      <c r="L757" s="40">
        <v>3</v>
      </c>
      <c r="M757" s="40">
        <v>1</v>
      </c>
      <c r="N757" s="8" t="s">
        <v>126</v>
      </c>
      <c r="O757" s="8" t="s">
        <v>128</v>
      </c>
      <c r="P757" s="8" t="s">
        <v>119</v>
      </c>
      <c r="Q757" s="8"/>
    </row>
    <row r="758" spans="1:17" x14ac:dyDescent="0.25">
      <c r="A758" s="1">
        <v>2</v>
      </c>
      <c r="C758" s="7" t="s">
        <v>490</v>
      </c>
      <c r="D758" s="17">
        <v>21750</v>
      </c>
      <c r="E758" s="7" t="s">
        <v>7</v>
      </c>
      <c r="F758" s="7" t="s">
        <v>7</v>
      </c>
      <c r="G758" s="7" t="s">
        <v>294</v>
      </c>
      <c r="H758" s="42" t="s">
        <v>35</v>
      </c>
      <c r="I758" s="8">
        <v>374049</v>
      </c>
      <c r="J758" s="7" t="s">
        <v>316</v>
      </c>
      <c r="K758" s="40">
        <v>8</v>
      </c>
      <c r="L758" s="40">
        <v>1</v>
      </c>
      <c r="M758" s="40">
        <v>1</v>
      </c>
      <c r="N758" s="8" t="s">
        <v>132</v>
      </c>
      <c r="O758" s="8" t="s">
        <v>132</v>
      </c>
      <c r="P758" s="8" t="s">
        <v>119</v>
      </c>
      <c r="Q758" s="8"/>
    </row>
    <row r="759" spans="1:17" x14ac:dyDescent="0.25">
      <c r="A759" s="1">
        <v>3</v>
      </c>
      <c r="C759" s="7" t="s">
        <v>490</v>
      </c>
      <c r="D759" s="17">
        <v>27720</v>
      </c>
      <c r="E759" s="7" t="s">
        <v>9</v>
      </c>
      <c r="F759" s="7" t="s">
        <v>9</v>
      </c>
      <c r="G759" s="7" t="s">
        <v>171</v>
      </c>
      <c r="H759" s="42" t="s">
        <v>35</v>
      </c>
      <c r="I759" s="8">
        <v>107392</v>
      </c>
      <c r="J759" s="7" t="s">
        <v>355</v>
      </c>
      <c r="K759" s="40">
        <v>8</v>
      </c>
      <c r="L759" s="40">
        <v>1</v>
      </c>
      <c r="M759" s="40">
        <v>1</v>
      </c>
      <c r="N759" s="8" t="s">
        <v>168</v>
      </c>
      <c r="O759" s="8" t="s">
        <v>168</v>
      </c>
      <c r="P759" s="8" t="s">
        <v>141</v>
      </c>
      <c r="Q759" s="8"/>
    </row>
    <row r="760" spans="1:17" x14ac:dyDescent="0.25">
      <c r="A760" s="1">
        <v>4</v>
      </c>
      <c r="C760" s="7" t="s">
        <v>493</v>
      </c>
      <c r="D760" s="17">
        <v>21982</v>
      </c>
      <c r="E760" s="7" t="s">
        <v>8</v>
      </c>
      <c r="F760" s="7" t="s">
        <v>142</v>
      </c>
      <c r="G760" s="7" t="s">
        <v>40</v>
      </c>
      <c r="H760" s="42" t="s">
        <v>35</v>
      </c>
      <c r="I760" s="8">
        <v>214350</v>
      </c>
      <c r="J760" s="7" t="s">
        <v>324</v>
      </c>
      <c r="K760" s="40">
        <v>24</v>
      </c>
      <c r="L760" s="40">
        <v>3</v>
      </c>
      <c r="M760" s="40">
        <v>5</v>
      </c>
      <c r="N760" s="8" t="s">
        <v>361</v>
      </c>
      <c r="O760" s="8" t="s">
        <v>191</v>
      </c>
      <c r="P760" s="8" t="s">
        <v>173</v>
      </c>
      <c r="Q760" s="8"/>
    </row>
    <row r="761" spans="1:17" x14ac:dyDescent="0.25">
      <c r="A761" s="1">
        <v>1</v>
      </c>
      <c r="C761" s="7" t="s">
        <v>481</v>
      </c>
      <c r="D761" s="17">
        <v>21743</v>
      </c>
      <c r="E761" s="7" t="s">
        <v>12</v>
      </c>
      <c r="F761" s="7" t="s">
        <v>494</v>
      </c>
      <c r="G761" s="7" t="s">
        <v>71</v>
      </c>
      <c r="H761" s="45" t="s">
        <v>72</v>
      </c>
      <c r="I761" s="8">
        <v>315738</v>
      </c>
      <c r="J761" s="7" t="s">
        <v>415</v>
      </c>
      <c r="K761" s="44">
        <v>16</v>
      </c>
      <c r="L761" s="44">
        <v>2</v>
      </c>
      <c r="M761" s="44">
        <v>10</v>
      </c>
      <c r="N761" s="8" t="s">
        <v>99</v>
      </c>
      <c r="O761" s="8" t="s">
        <v>290</v>
      </c>
      <c r="P761" s="8" t="s">
        <v>100</v>
      </c>
      <c r="Q761" s="8"/>
    </row>
    <row r="762" spans="1:17" x14ac:dyDescent="0.25">
      <c r="A762" s="1">
        <v>2</v>
      </c>
      <c r="C762" s="7" t="s">
        <v>319</v>
      </c>
      <c r="D762" s="17">
        <v>21063</v>
      </c>
      <c r="E762" s="7" t="s">
        <v>12</v>
      </c>
      <c r="F762" s="7" t="s">
        <v>494</v>
      </c>
      <c r="G762" s="7" t="s">
        <v>235</v>
      </c>
      <c r="H762" s="8" t="s">
        <v>35</v>
      </c>
      <c r="I762" s="8">
        <v>598519</v>
      </c>
      <c r="J762" s="7" t="s">
        <v>495</v>
      </c>
      <c r="K762" s="38">
        <v>8</v>
      </c>
      <c r="L762" s="38">
        <v>1</v>
      </c>
      <c r="M762" s="38">
        <v>4</v>
      </c>
      <c r="N762" s="8" t="s">
        <v>192</v>
      </c>
      <c r="O762" s="18">
        <v>44462</v>
      </c>
      <c r="P762" s="8" t="s">
        <v>173</v>
      </c>
      <c r="Q762" s="8"/>
    </row>
    <row r="763" spans="1:17" x14ac:dyDescent="0.25">
      <c r="A763" s="1">
        <v>3</v>
      </c>
      <c r="C763" s="7" t="s">
        <v>319</v>
      </c>
      <c r="D763" s="17">
        <v>21064</v>
      </c>
      <c r="E763" s="7" t="s">
        <v>12</v>
      </c>
      <c r="F763" s="7" t="s">
        <v>494</v>
      </c>
      <c r="G763" s="7" t="s">
        <v>235</v>
      </c>
      <c r="H763" s="8" t="s">
        <v>35</v>
      </c>
      <c r="I763" s="8">
        <v>598519</v>
      </c>
      <c r="J763" s="7" t="s">
        <v>495</v>
      </c>
      <c r="K763" s="38">
        <v>8</v>
      </c>
      <c r="L763" s="38">
        <v>1</v>
      </c>
      <c r="M763" s="38">
        <v>3</v>
      </c>
      <c r="N763" s="8" t="s">
        <v>205</v>
      </c>
      <c r="O763" s="18">
        <v>44476</v>
      </c>
      <c r="P763" s="8" t="s">
        <v>202</v>
      </c>
      <c r="Q763" s="8"/>
    </row>
    <row r="764" spans="1:17" x14ac:dyDescent="0.25">
      <c r="A764" s="1">
        <v>4</v>
      </c>
      <c r="C764" s="7" t="s">
        <v>481</v>
      </c>
      <c r="D764" s="17">
        <v>21938</v>
      </c>
      <c r="E764" s="7" t="s">
        <v>12</v>
      </c>
      <c r="F764" s="7" t="s">
        <v>496</v>
      </c>
      <c r="G764" s="7" t="s">
        <v>223</v>
      </c>
      <c r="H764" s="45" t="s">
        <v>35</v>
      </c>
      <c r="I764" s="8">
        <v>361756</v>
      </c>
      <c r="J764" s="7" t="s">
        <v>360</v>
      </c>
      <c r="K764" s="44">
        <v>16</v>
      </c>
      <c r="L764" s="44">
        <v>4</v>
      </c>
      <c r="M764" s="44">
        <v>4</v>
      </c>
      <c r="N764" s="8" t="s">
        <v>330</v>
      </c>
      <c r="O764" s="8" t="s">
        <v>211</v>
      </c>
      <c r="P764" s="8" t="s">
        <v>202</v>
      </c>
      <c r="Q764" s="8"/>
    </row>
    <row r="765" spans="1:17" x14ac:dyDescent="0.25">
      <c r="A765" s="1"/>
      <c r="B765" s="1"/>
      <c r="C765" s="7" t="s">
        <v>497</v>
      </c>
      <c r="D765" s="17">
        <v>29370</v>
      </c>
      <c r="E765" s="7" t="s">
        <v>10</v>
      </c>
      <c r="F765" s="7" t="s">
        <v>74</v>
      </c>
      <c r="G765" s="7" t="s">
        <v>65</v>
      </c>
      <c r="H765" s="7" t="s">
        <v>35</v>
      </c>
      <c r="I765" s="8">
        <v>245435</v>
      </c>
      <c r="J765" s="7" t="s">
        <v>485</v>
      </c>
      <c r="K765" s="20">
        <v>24</v>
      </c>
      <c r="L765" s="20">
        <v>3</v>
      </c>
      <c r="M765" s="20">
        <v>10</v>
      </c>
      <c r="N765" s="8" t="s">
        <v>410</v>
      </c>
      <c r="O765" s="18">
        <v>44294</v>
      </c>
      <c r="P765" s="164">
        <f>MONTH(O765)</f>
        <v>4</v>
      </c>
      <c r="Q765" s="8"/>
    </row>
    <row r="766" spans="1:17" x14ac:dyDescent="0.25">
      <c r="A766" s="1"/>
      <c r="B766" s="1"/>
      <c r="C766" s="7" t="s">
        <v>497</v>
      </c>
      <c r="D766" s="17">
        <v>31050</v>
      </c>
      <c r="E766" s="7" t="s">
        <v>10</v>
      </c>
      <c r="F766" s="7" t="s">
        <v>498</v>
      </c>
      <c r="G766" s="7" t="s">
        <v>346</v>
      </c>
      <c r="H766" s="7" t="s">
        <v>35</v>
      </c>
      <c r="I766" s="8">
        <v>370733</v>
      </c>
      <c r="J766" s="7" t="s">
        <v>499</v>
      </c>
      <c r="K766" s="20">
        <v>16</v>
      </c>
      <c r="L766" s="20">
        <v>2</v>
      </c>
      <c r="M766" s="20">
        <v>9</v>
      </c>
      <c r="N766" s="8" t="s">
        <v>67</v>
      </c>
      <c r="O766" s="18">
        <v>44306</v>
      </c>
      <c r="P766" s="164">
        <f t="shared" ref="P766:P829" si="0">MONTH(O766)</f>
        <v>4</v>
      </c>
      <c r="Q766" s="8"/>
    </row>
    <row r="767" spans="1:17" x14ac:dyDescent="0.25">
      <c r="A767" s="1"/>
      <c r="B767" s="1"/>
      <c r="C767" s="107" t="s">
        <v>497</v>
      </c>
      <c r="D767" s="108">
        <v>29598</v>
      </c>
      <c r="E767" s="107" t="s">
        <v>12</v>
      </c>
      <c r="F767" s="107" t="s">
        <v>61</v>
      </c>
      <c r="G767" s="107" t="s">
        <v>235</v>
      </c>
      <c r="H767" s="107" t="s">
        <v>35</v>
      </c>
      <c r="I767" s="46">
        <v>245435</v>
      </c>
      <c r="J767" s="107" t="s">
        <v>485</v>
      </c>
      <c r="K767" s="114">
        <v>8</v>
      </c>
      <c r="L767" s="114">
        <v>1</v>
      </c>
      <c r="M767" s="114">
        <v>9</v>
      </c>
      <c r="N767" s="46" t="s">
        <v>413</v>
      </c>
      <c r="O767" s="47">
        <v>44313</v>
      </c>
      <c r="P767" s="164">
        <f t="shared" si="0"/>
        <v>4</v>
      </c>
      <c r="Q767" s="8"/>
    </row>
    <row r="768" spans="1:17" x14ac:dyDescent="0.25">
      <c r="A768" s="1"/>
      <c r="B768" s="1"/>
      <c r="C768" s="7" t="s">
        <v>497</v>
      </c>
      <c r="D768" s="17">
        <v>24511</v>
      </c>
      <c r="E768" s="7" t="s">
        <v>7</v>
      </c>
      <c r="F768" s="7" t="s">
        <v>78</v>
      </c>
      <c r="G768" s="7" t="s">
        <v>89</v>
      </c>
      <c r="H768" s="7" t="s">
        <v>35</v>
      </c>
      <c r="I768" s="8">
        <v>245435</v>
      </c>
      <c r="J768" s="7" t="s">
        <v>485</v>
      </c>
      <c r="K768" s="20">
        <v>16</v>
      </c>
      <c r="L768" s="20">
        <v>2</v>
      </c>
      <c r="M768" s="20">
        <v>5</v>
      </c>
      <c r="N768" s="8" t="s">
        <v>271</v>
      </c>
      <c r="O768" s="18">
        <v>44320</v>
      </c>
      <c r="P768" s="164">
        <f t="shared" si="0"/>
        <v>5</v>
      </c>
      <c r="Q768" s="8"/>
    </row>
    <row r="769" spans="1:17" x14ac:dyDescent="0.25">
      <c r="A769" s="1"/>
      <c r="B769" s="1"/>
      <c r="C769" s="7" t="s">
        <v>497</v>
      </c>
      <c r="D769" s="17">
        <v>30261</v>
      </c>
      <c r="E769" s="7" t="s">
        <v>12</v>
      </c>
      <c r="F769" s="7" t="s">
        <v>61</v>
      </c>
      <c r="G769" s="7" t="s">
        <v>199</v>
      </c>
      <c r="H769" s="7" t="s">
        <v>35</v>
      </c>
      <c r="I769" s="8">
        <v>971841</v>
      </c>
      <c r="J769" s="7" t="s">
        <v>457</v>
      </c>
      <c r="K769" s="20">
        <v>8</v>
      </c>
      <c r="L769" s="20">
        <v>1</v>
      </c>
      <c r="M769" s="20">
        <v>6</v>
      </c>
      <c r="N769" s="8" t="s">
        <v>378</v>
      </c>
      <c r="O769" s="18">
        <v>44323</v>
      </c>
      <c r="P769" s="164">
        <f t="shared" si="0"/>
        <v>5</v>
      </c>
      <c r="Q769" s="8"/>
    </row>
    <row r="770" spans="1:17" x14ac:dyDescent="0.25">
      <c r="A770" s="1"/>
      <c r="B770" s="1"/>
      <c r="C770" s="7" t="s">
        <v>497</v>
      </c>
      <c r="D770" s="17">
        <v>25315</v>
      </c>
      <c r="E770" s="7" t="s">
        <v>7</v>
      </c>
      <c r="F770" s="7" t="s">
        <v>78</v>
      </c>
      <c r="G770" s="7" t="s">
        <v>199</v>
      </c>
      <c r="H770" s="7" t="s">
        <v>35</v>
      </c>
      <c r="I770" s="8">
        <v>245434</v>
      </c>
      <c r="J770" s="7" t="s">
        <v>500</v>
      </c>
      <c r="K770" s="20">
        <v>8</v>
      </c>
      <c r="L770" s="20">
        <v>1</v>
      </c>
      <c r="M770" s="20">
        <v>3</v>
      </c>
      <c r="N770" s="8" t="s">
        <v>425</v>
      </c>
      <c r="O770" s="18">
        <v>44326</v>
      </c>
      <c r="P770" s="164">
        <f t="shared" si="0"/>
        <v>5</v>
      </c>
      <c r="Q770" s="8"/>
    </row>
    <row r="771" spans="1:17" x14ac:dyDescent="0.25">
      <c r="A771" s="1"/>
      <c r="B771" s="1"/>
      <c r="C771" s="7" t="s">
        <v>497</v>
      </c>
      <c r="D771" s="17">
        <v>24512</v>
      </c>
      <c r="E771" s="7" t="s">
        <v>7</v>
      </c>
      <c r="F771" s="7" t="s">
        <v>78</v>
      </c>
      <c r="G771" s="7" t="s">
        <v>89</v>
      </c>
      <c r="H771" s="7" t="s">
        <v>35</v>
      </c>
      <c r="I771" s="8">
        <v>245435</v>
      </c>
      <c r="J771" s="7" t="s">
        <v>485</v>
      </c>
      <c r="K771" s="20">
        <v>16</v>
      </c>
      <c r="L771" s="20">
        <v>2</v>
      </c>
      <c r="M771" s="20">
        <v>3</v>
      </c>
      <c r="N771" s="8" t="s">
        <v>80</v>
      </c>
      <c r="O771" s="18">
        <v>44328</v>
      </c>
      <c r="P771" s="164">
        <f t="shared" si="0"/>
        <v>5</v>
      </c>
      <c r="Q771" s="8"/>
    </row>
    <row r="772" spans="1:17" x14ac:dyDescent="0.25">
      <c r="A772" s="1"/>
      <c r="B772" s="1"/>
      <c r="C772" s="7" t="s">
        <v>497</v>
      </c>
      <c r="D772" s="17">
        <v>24732</v>
      </c>
      <c r="E772" s="7" t="s">
        <v>7</v>
      </c>
      <c r="F772" s="7" t="s">
        <v>78</v>
      </c>
      <c r="G772" s="7" t="s">
        <v>40</v>
      </c>
      <c r="H772" s="7" t="s">
        <v>35</v>
      </c>
      <c r="I772" s="8">
        <v>971841</v>
      </c>
      <c r="J772" s="7" t="s">
        <v>457</v>
      </c>
      <c r="K772" s="20">
        <v>24</v>
      </c>
      <c r="L772" s="20">
        <v>3</v>
      </c>
      <c r="M772" s="20">
        <v>3</v>
      </c>
      <c r="N772" s="8" t="s">
        <v>425</v>
      </c>
      <c r="O772" s="18" t="s">
        <v>76</v>
      </c>
      <c r="P772" s="164">
        <f t="shared" si="0"/>
        <v>5</v>
      </c>
      <c r="Q772" s="8"/>
    </row>
    <row r="773" spans="1:17" x14ac:dyDescent="0.25">
      <c r="A773" s="1"/>
      <c r="B773" s="1"/>
      <c r="C773" s="7" t="s">
        <v>497</v>
      </c>
      <c r="D773" s="17">
        <v>24734</v>
      </c>
      <c r="E773" s="7" t="s">
        <v>7</v>
      </c>
      <c r="F773" s="7" t="s">
        <v>78</v>
      </c>
      <c r="G773" s="7" t="s">
        <v>40</v>
      </c>
      <c r="H773" s="7" t="s">
        <v>35</v>
      </c>
      <c r="I773" s="8">
        <v>322115</v>
      </c>
      <c r="J773" s="7" t="s">
        <v>501</v>
      </c>
      <c r="K773" s="20">
        <v>24</v>
      </c>
      <c r="L773" s="20">
        <v>3</v>
      </c>
      <c r="M773" s="20">
        <v>3</v>
      </c>
      <c r="N773" s="8" t="s">
        <v>76</v>
      </c>
      <c r="O773" s="18" t="s">
        <v>380</v>
      </c>
      <c r="P773" s="164">
        <f t="shared" si="0"/>
        <v>5</v>
      </c>
      <c r="Q773" s="8"/>
    </row>
    <row r="774" spans="1:17" x14ac:dyDescent="0.25">
      <c r="A774" s="1"/>
      <c r="B774" s="1"/>
      <c r="C774" s="7" t="s">
        <v>497</v>
      </c>
      <c r="D774" s="17">
        <v>24733</v>
      </c>
      <c r="E774" s="7" t="s">
        <v>7</v>
      </c>
      <c r="F774" s="7" t="s">
        <v>78</v>
      </c>
      <c r="G774" s="7" t="s">
        <v>40</v>
      </c>
      <c r="H774" s="7" t="s">
        <v>35</v>
      </c>
      <c r="I774" s="8">
        <v>971841</v>
      </c>
      <c r="J774" s="7" t="s">
        <v>457</v>
      </c>
      <c r="K774" s="20">
        <v>24</v>
      </c>
      <c r="L774" s="20">
        <v>3</v>
      </c>
      <c r="M774" s="20">
        <v>3</v>
      </c>
      <c r="N774" s="8" t="s">
        <v>281</v>
      </c>
      <c r="O774" s="18" t="s">
        <v>87</v>
      </c>
      <c r="P774" s="164">
        <f t="shared" si="0"/>
        <v>5</v>
      </c>
      <c r="Q774" s="8"/>
    </row>
    <row r="775" spans="1:17" x14ac:dyDescent="0.25">
      <c r="A775" s="1"/>
      <c r="B775" s="1"/>
      <c r="C775" s="7" t="s">
        <v>497</v>
      </c>
      <c r="D775" s="17">
        <v>24513</v>
      </c>
      <c r="E775" s="7" t="s">
        <v>7</v>
      </c>
      <c r="F775" s="7" t="s">
        <v>78</v>
      </c>
      <c r="G775" s="7" t="s">
        <v>89</v>
      </c>
      <c r="H775" s="7" t="s">
        <v>35</v>
      </c>
      <c r="I775" s="8">
        <v>245435</v>
      </c>
      <c r="J775" s="7" t="s">
        <v>485</v>
      </c>
      <c r="K775" s="20">
        <v>16</v>
      </c>
      <c r="L775" s="20">
        <v>2</v>
      </c>
      <c r="M775" s="20">
        <v>3</v>
      </c>
      <c r="N775" s="8" t="s">
        <v>87</v>
      </c>
      <c r="O775" s="18" t="s">
        <v>284</v>
      </c>
      <c r="P775" s="164">
        <f t="shared" si="0"/>
        <v>5</v>
      </c>
      <c r="Q775" s="8"/>
    </row>
    <row r="776" spans="1:17" x14ac:dyDescent="0.25">
      <c r="A776" s="1"/>
      <c r="B776" s="1"/>
      <c r="C776" s="7" t="s">
        <v>497</v>
      </c>
      <c r="D776" s="17">
        <v>25316</v>
      </c>
      <c r="E776" s="7" t="s">
        <v>7</v>
      </c>
      <c r="F776" s="7" t="s">
        <v>78</v>
      </c>
      <c r="G776" s="7" t="s">
        <v>199</v>
      </c>
      <c r="H776" s="7" t="s">
        <v>35</v>
      </c>
      <c r="I776" s="8">
        <v>245434</v>
      </c>
      <c r="J776" s="7" t="s">
        <v>500</v>
      </c>
      <c r="K776" s="20">
        <v>8</v>
      </c>
      <c r="L776" s="20">
        <v>1</v>
      </c>
      <c r="M776" s="20">
        <v>3</v>
      </c>
      <c r="N776" s="8" t="s">
        <v>90</v>
      </c>
      <c r="O776" s="18" t="s">
        <v>90</v>
      </c>
      <c r="P776" s="164">
        <f t="shared" si="0"/>
        <v>5</v>
      </c>
      <c r="Q776" s="8"/>
    </row>
    <row r="777" spans="1:17" x14ac:dyDescent="0.25">
      <c r="A777" s="1"/>
      <c r="B777" s="1"/>
      <c r="C777" s="7" t="s">
        <v>497</v>
      </c>
      <c r="D777" s="17">
        <v>25317</v>
      </c>
      <c r="E777" s="7" t="s">
        <v>7</v>
      </c>
      <c r="F777" s="7" t="s">
        <v>78</v>
      </c>
      <c r="G777" s="7" t="s">
        <v>199</v>
      </c>
      <c r="H777" s="7" t="s">
        <v>35</v>
      </c>
      <c r="I777" s="8">
        <v>245434</v>
      </c>
      <c r="J777" s="7" t="s">
        <v>500</v>
      </c>
      <c r="K777" s="20">
        <v>8</v>
      </c>
      <c r="L777" s="20">
        <v>1</v>
      </c>
      <c r="M777" s="20">
        <v>3</v>
      </c>
      <c r="N777" s="8" t="s">
        <v>93</v>
      </c>
      <c r="O777" s="18" t="s">
        <v>93</v>
      </c>
      <c r="P777" s="164">
        <f t="shared" si="0"/>
        <v>5</v>
      </c>
      <c r="Q777" s="8"/>
    </row>
    <row r="778" spans="1:17" x14ac:dyDescent="0.25">
      <c r="A778" s="1"/>
      <c r="B778" s="1"/>
      <c r="C778" s="7" t="s">
        <v>497</v>
      </c>
      <c r="D778" s="17">
        <v>24515</v>
      </c>
      <c r="E778" s="7" t="s">
        <v>7</v>
      </c>
      <c r="F778" s="7" t="s">
        <v>78</v>
      </c>
      <c r="G778" s="7" t="s">
        <v>89</v>
      </c>
      <c r="H778" s="7" t="s">
        <v>35</v>
      </c>
      <c r="I778" s="8">
        <v>245435</v>
      </c>
      <c r="J778" s="7" t="s">
        <v>485</v>
      </c>
      <c r="K778" s="20">
        <v>16</v>
      </c>
      <c r="L778" s="20">
        <v>2</v>
      </c>
      <c r="M778" s="20">
        <v>3</v>
      </c>
      <c r="N778" s="8" t="s">
        <v>99</v>
      </c>
      <c r="O778" s="18" t="s">
        <v>101</v>
      </c>
      <c r="P778" s="164">
        <f t="shared" si="0"/>
        <v>6</v>
      </c>
      <c r="Q778" s="8"/>
    </row>
    <row r="779" spans="1:17" x14ac:dyDescent="0.25">
      <c r="A779" s="1"/>
      <c r="B779" s="1"/>
      <c r="C779" s="7" t="s">
        <v>497</v>
      </c>
      <c r="D779" s="17">
        <v>24737</v>
      </c>
      <c r="E779" s="7" t="s">
        <v>7</v>
      </c>
      <c r="F779" s="7" t="s">
        <v>78</v>
      </c>
      <c r="G779" s="7" t="s">
        <v>40</v>
      </c>
      <c r="H779" s="7" t="s">
        <v>35</v>
      </c>
      <c r="I779" s="8">
        <v>971841</v>
      </c>
      <c r="J779" s="7" t="s">
        <v>457</v>
      </c>
      <c r="K779" s="20">
        <v>24</v>
      </c>
      <c r="L779" s="20">
        <v>3</v>
      </c>
      <c r="M779" s="20">
        <v>3</v>
      </c>
      <c r="N779" s="8" t="s">
        <v>101</v>
      </c>
      <c r="O779" s="18" t="s">
        <v>290</v>
      </c>
      <c r="P779" s="164">
        <f t="shared" si="0"/>
        <v>6</v>
      </c>
      <c r="Q779" s="8"/>
    </row>
    <row r="780" spans="1:17" x14ac:dyDescent="0.25">
      <c r="A780" s="1"/>
      <c r="B780" s="1"/>
      <c r="C780" s="7" t="s">
        <v>497</v>
      </c>
      <c r="D780" s="17">
        <v>24636</v>
      </c>
      <c r="E780" s="7" t="s">
        <v>7</v>
      </c>
      <c r="F780" s="7" t="s">
        <v>78</v>
      </c>
      <c r="G780" s="7" t="s">
        <v>68</v>
      </c>
      <c r="H780" s="7" t="s">
        <v>35</v>
      </c>
      <c r="I780" s="8">
        <v>245435</v>
      </c>
      <c r="J780" s="7" t="s">
        <v>485</v>
      </c>
      <c r="K780" s="20">
        <v>24</v>
      </c>
      <c r="L780" s="20">
        <v>3</v>
      </c>
      <c r="M780" s="20">
        <v>3</v>
      </c>
      <c r="N780" s="8" t="s">
        <v>295</v>
      </c>
      <c r="O780" s="18" t="s">
        <v>103</v>
      </c>
      <c r="P780" s="164">
        <f t="shared" si="0"/>
        <v>6</v>
      </c>
      <c r="Q780" s="8"/>
    </row>
    <row r="781" spans="1:17" x14ac:dyDescent="0.25">
      <c r="A781" s="1"/>
      <c r="B781" s="1"/>
      <c r="C781" s="7" t="s">
        <v>497</v>
      </c>
      <c r="D781" s="17">
        <v>24736</v>
      </c>
      <c r="E781" s="7" t="s">
        <v>7</v>
      </c>
      <c r="F781" s="7" t="s">
        <v>78</v>
      </c>
      <c r="G781" s="7" t="s">
        <v>40</v>
      </c>
      <c r="H781" s="7" t="s">
        <v>35</v>
      </c>
      <c r="I781" s="8">
        <v>971841</v>
      </c>
      <c r="J781" s="7" t="s">
        <v>457</v>
      </c>
      <c r="K781" s="20">
        <v>24</v>
      </c>
      <c r="L781" s="20">
        <v>3</v>
      </c>
      <c r="M781" s="20">
        <v>3</v>
      </c>
      <c r="N781" s="8" t="s">
        <v>295</v>
      </c>
      <c r="O781" s="18" t="s">
        <v>103</v>
      </c>
      <c r="P781" s="164">
        <f t="shared" si="0"/>
        <v>6</v>
      </c>
      <c r="Q781" s="8"/>
    </row>
    <row r="782" spans="1:17" x14ac:dyDescent="0.25">
      <c r="A782" s="1"/>
      <c r="B782" s="1"/>
      <c r="C782" s="7" t="s">
        <v>497</v>
      </c>
      <c r="D782" s="17">
        <v>24738</v>
      </c>
      <c r="E782" s="7" t="s">
        <v>7</v>
      </c>
      <c r="F782" s="7" t="s">
        <v>78</v>
      </c>
      <c r="G782" s="7" t="s">
        <v>40</v>
      </c>
      <c r="H782" s="7" t="s">
        <v>35</v>
      </c>
      <c r="I782" s="8">
        <v>971841</v>
      </c>
      <c r="J782" s="7" t="s">
        <v>457</v>
      </c>
      <c r="K782" s="20">
        <v>24</v>
      </c>
      <c r="L782" s="20">
        <v>3</v>
      </c>
      <c r="M782" s="20">
        <v>3</v>
      </c>
      <c r="N782" s="8" t="s">
        <v>107</v>
      </c>
      <c r="O782" s="18" t="s">
        <v>303</v>
      </c>
      <c r="P782" s="164">
        <f t="shared" si="0"/>
        <v>6</v>
      </c>
      <c r="Q782" s="8"/>
    </row>
    <row r="783" spans="1:17" x14ac:dyDescent="0.25">
      <c r="A783" s="1"/>
      <c r="B783" s="1"/>
      <c r="C783" s="7" t="s">
        <v>497</v>
      </c>
      <c r="D783" s="17">
        <v>25321</v>
      </c>
      <c r="E783" s="7" t="s">
        <v>7</v>
      </c>
      <c r="F783" s="7" t="s">
        <v>78</v>
      </c>
      <c r="G783" s="7" t="s">
        <v>199</v>
      </c>
      <c r="H783" s="7" t="s">
        <v>35</v>
      </c>
      <c r="I783" s="8">
        <v>245434</v>
      </c>
      <c r="J783" s="7" t="s">
        <v>500</v>
      </c>
      <c r="K783" s="20">
        <v>8</v>
      </c>
      <c r="L783" s="20">
        <v>1</v>
      </c>
      <c r="M783" s="20">
        <v>3</v>
      </c>
      <c r="N783" s="8" t="s">
        <v>305</v>
      </c>
      <c r="O783" s="18" t="s">
        <v>305</v>
      </c>
      <c r="P783" s="164">
        <f t="shared" si="0"/>
        <v>6</v>
      </c>
      <c r="Q783" s="8"/>
    </row>
    <row r="784" spans="1:17" x14ac:dyDescent="0.25">
      <c r="A784" s="1"/>
      <c r="B784" s="1"/>
      <c r="C784" s="7" t="s">
        <v>497</v>
      </c>
      <c r="D784" s="17">
        <v>24638</v>
      </c>
      <c r="E784" s="7" t="s">
        <v>7</v>
      </c>
      <c r="F784" s="7" t="s">
        <v>78</v>
      </c>
      <c r="G784" s="7" t="s">
        <v>68</v>
      </c>
      <c r="H784" s="7" t="s">
        <v>35</v>
      </c>
      <c r="I784" s="8">
        <v>245435</v>
      </c>
      <c r="J784" s="7" t="s">
        <v>485</v>
      </c>
      <c r="K784" s="20">
        <v>24</v>
      </c>
      <c r="L784" s="20">
        <v>3</v>
      </c>
      <c r="M784" s="20">
        <v>3</v>
      </c>
      <c r="N784" s="8" t="s">
        <v>108</v>
      </c>
      <c r="O784" s="18" t="s">
        <v>305</v>
      </c>
      <c r="P784" s="164">
        <f t="shared" si="0"/>
        <v>6</v>
      </c>
      <c r="Q784" s="8"/>
    </row>
    <row r="785" spans="1:17" x14ac:dyDescent="0.25">
      <c r="A785" s="1"/>
      <c r="B785" s="1"/>
      <c r="C785" s="7" t="s">
        <v>497</v>
      </c>
      <c r="D785" s="17">
        <v>24518</v>
      </c>
      <c r="E785" s="7" t="s">
        <v>7</v>
      </c>
      <c r="F785" s="7" t="s">
        <v>78</v>
      </c>
      <c r="G785" s="7" t="s">
        <v>89</v>
      </c>
      <c r="H785" s="7" t="s">
        <v>35</v>
      </c>
      <c r="I785" s="8">
        <v>245435</v>
      </c>
      <c r="J785" s="7" t="s">
        <v>485</v>
      </c>
      <c r="K785" s="20">
        <v>16</v>
      </c>
      <c r="L785" s="20">
        <v>2</v>
      </c>
      <c r="M785" s="20">
        <v>3</v>
      </c>
      <c r="N785" s="8" t="s">
        <v>110</v>
      </c>
      <c r="O785" s="18" t="s">
        <v>113</v>
      </c>
      <c r="P785" s="164">
        <f t="shared" si="0"/>
        <v>6</v>
      </c>
      <c r="Q785" s="8"/>
    </row>
    <row r="786" spans="1:17" x14ac:dyDescent="0.25">
      <c r="A786" s="1"/>
      <c r="B786" s="1"/>
      <c r="C786" s="7" t="s">
        <v>497</v>
      </c>
      <c r="D786" s="17">
        <v>24519</v>
      </c>
      <c r="E786" s="7" t="s">
        <v>7</v>
      </c>
      <c r="F786" s="7" t="s">
        <v>78</v>
      </c>
      <c r="G786" s="7" t="s">
        <v>89</v>
      </c>
      <c r="H786" s="7" t="s">
        <v>35</v>
      </c>
      <c r="I786" s="8">
        <v>245435</v>
      </c>
      <c r="J786" s="7" t="s">
        <v>485</v>
      </c>
      <c r="K786" s="20">
        <v>16</v>
      </c>
      <c r="L786" s="20">
        <v>2</v>
      </c>
      <c r="M786" s="20">
        <v>3</v>
      </c>
      <c r="N786" s="8" t="s">
        <v>306</v>
      </c>
      <c r="O786" s="18" t="s">
        <v>115</v>
      </c>
      <c r="P786" s="164">
        <f t="shared" si="0"/>
        <v>6</v>
      </c>
      <c r="Q786" s="8"/>
    </row>
    <row r="787" spans="1:17" x14ac:dyDescent="0.25">
      <c r="A787" s="1"/>
      <c r="B787" s="1"/>
      <c r="C787" s="7" t="s">
        <v>497</v>
      </c>
      <c r="D787" s="17">
        <v>25322</v>
      </c>
      <c r="E787" s="7" t="s">
        <v>7</v>
      </c>
      <c r="F787" s="7" t="s">
        <v>78</v>
      </c>
      <c r="G787" s="7" t="s">
        <v>199</v>
      </c>
      <c r="H787" s="7" t="s">
        <v>35</v>
      </c>
      <c r="I787" s="8">
        <v>245434</v>
      </c>
      <c r="J787" s="7" t="s">
        <v>500</v>
      </c>
      <c r="K787" s="20">
        <v>8</v>
      </c>
      <c r="L787" s="20">
        <v>1</v>
      </c>
      <c r="M787" s="20">
        <v>3</v>
      </c>
      <c r="N787" s="8" t="s">
        <v>116</v>
      </c>
      <c r="O787" s="18" t="s">
        <v>116</v>
      </c>
      <c r="P787" s="164">
        <f t="shared" si="0"/>
        <v>6</v>
      </c>
      <c r="Q787" s="8"/>
    </row>
    <row r="788" spans="1:17" x14ac:dyDescent="0.25">
      <c r="A788" s="1"/>
      <c r="B788" s="1"/>
      <c r="C788" s="7" t="s">
        <v>497</v>
      </c>
      <c r="D788" s="17">
        <v>24609</v>
      </c>
      <c r="E788" s="7" t="s">
        <v>7</v>
      </c>
      <c r="F788" s="7" t="s">
        <v>78</v>
      </c>
      <c r="G788" s="7" t="s">
        <v>317</v>
      </c>
      <c r="H788" s="7" t="s">
        <v>35</v>
      </c>
      <c r="I788" s="8">
        <v>322115</v>
      </c>
      <c r="J788" s="7" t="s">
        <v>501</v>
      </c>
      <c r="K788" s="20">
        <v>16</v>
      </c>
      <c r="L788" s="20">
        <v>2</v>
      </c>
      <c r="M788" s="20">
        <v>3</v>
      </c>
      <c r="N788" s="8" t="s">
        <v>308</v>
      </c>
      <c r="O788" s="18" t="s">
        <v>117</v>
      </c>
      <c r="P788" s="164">
        <f t="shared" si="0"/>
        <v>7</v>
      </c>
      <c r="Q788" s="8"/>
    </row>
    <row r="789" spans="1:17" x14ac:dyDescent="0.25">
      <c r="A789" s="1"/>
      <c r="B789" s="1"/>
      <c r="C789" s="7" t="s">
        <v>497</v>
      </c>
      <c r="D789" s="17">
        <v>24610</v>
      </c>
      <c r="E789" s="7" t="s">
        <v>7</v>
      </c>
      <c r="F789" s="7" t="s">
        <v>78</v>
      </c>
      <c r="G789" s="7" t="s">
        <v>317</v>
      </c>
      <c r="H789" s="7" t="s">
        <v>35</v>
      </c>
      <c r="I789" s="8">
        <v>245435</v>
      </c>
      <c r="J789" s="7" t="s">
        <v>485</v>
      </c>
      <c r="K789" s="20">
        <v>16</v>
      </c>
      <c r="L789" s="20">
        <v>2</v>
      </c>
      <c r="M789" s="20">
        <v>3</v>
      </c>
      <c r="N789" s="8" t="s">
        <v>310</v>
      </c>
      <c r="O789" s="18" t="s">
        <v>311</v>
      </c>
      <c r="P789" s="164">
        <f t="shared" si="0"/>
        <v>7</v>
      </c>
      <c r="Q789" s="8"/>
    </row>
    <row r="790" spans="1:17" x14ac:dyDescent="0.25">
      <c r="A790" s="1"/>
      <c r="B790" s="1"/>
      <c r="C790" s="7" t="s">
        <v>497</v>
      </c>
      <c r="D790" s="17">
        <v>24412</v>
      </c>
      <c r="E790" s="7" t="s">
        <v>7</v>
      </c>
      <c r="F790" s="7" t="s">
        <v>78</v>
      </c>
      <c r="G790" s="7" t="s">
        <v>302</v>
      </c>
      <c r="H790" s="7" t="s">
        <v>35</v>
      </c>
      <c r="I790" s="8">
        <v>499974</v>
      </c>
      <c r="J790" s="7" t="s">
        <v>502</v>
      </c>
      <c r="K790" s="20">
        <v>8</v>
      </c>
      <c r="L790" s="20">
        <v>1</v>
      </c>
      <c r="M790" s="20">
        <v>8</v>
      </c>
      <c r="N790" s="8" t="s">
        <v>311</v>
      </c>
      <c r="O790" s="18" t="s">
        <v>311</v>
      </c>
      <c r="P790" s="164">
        <f t="shared" si="0"/>
        <v>7</v>
      </c>
      <c r="Q790" s="8"/>
    </row>
    <row r="791" spans="1:17" x14ac:dyDescent="0.25">
      <c r="A791" s="1"/>
      <c r="B791" s="1"/>
      <c r="C791" s="7" t="s">
        <v>497</v>
      </c>
      <c r="D791" s="17">
        <v>25323</v>
      </c>
      <c r="E791" s="7" t="s">
        <v>7</v>
      </c>
      <c r="F791" s="7" t="s">
        <v>78</v>
      </c>
      <c r="G791" s="7" t="s">
        <v>199</v>
      </c>
      <c r="H791" s="7" t="s">
        <v>35</v>
      </c>
      <c r="I791" s="8">
        <v>245434</v>
      </c>
      <c r="J791" s="7" t="s">
        <v>500</v>
      </c>
      <c r="K791" s="20">
        <v>8</v>
      </c>
      <c r="L791" s="20">
        <v>1</v>
      </c>
      <c r="M791" s="20">
        <v>3</v>
      </c>
      <c r="N791" s="8" t="s">
        <v>123</v>
      </c>
      <c r="O791" s="18" t="s">
        <v>123</v>
      </c>
      <c r="P791" s="164">
        <f t="shared" si="0"/>
        <v>7</v>
      </c>
      <c r="Q791" s="8"/>
    </row>
    <row r="792" spans="1:17" x14ac:dyDescent="0.25">
      <c r="A792" s="1"/>
      <c r="B792" s="1"/>
      <c r="C792" s="7" t="s">
        <v>497</v>
      </c>
      <c r="D792" s="17">
        <v>24520</v>
      </c>
      <c r="E792" s="7" t="s">
        <v>7</v>
      </c>
      <c r="F792" s="7" t="s">
        <v>78</v>
      </c>
      <c r="G792" s="7" t="s">
        <v>89</v>
      </c>
      <c r="H792" s="7" t="s">
        <v>35</v>
      </c>
      <c r="I792" s="8">
        <v>245435</v>
      </c>
      <c r="J792" s="7" t="s">
        <v>485</v>
      </c>
      <c r="K792" s="20">
        <v>16</v>
      </c>
      <c r="L792" s="20">
        <v>2</v>
      </c>
      <c r="M792" s="20">
        <v>3</v>
      </c>
      <c r="N792" s="8" t="s">
        <v>120</v>
      </c>
      <c r="O792" s="18" t="s">
        <v>121</v>
      </c>
      <c r="P792" s="164">
        <f t="shared" si="0"/>
        <v>7</v>
      </c>
      <c r="Q792" s="8"/>
    </row>
    <row r="793" spans="1:17" x14ac:dyDescent="0.25">
      <c r="A793" s="1"/>
      <c r="B793" s="1"/>
      <c r="C793" s="7" t="s">
        <v>497</v>
      </c>
      <c r="D793" s="17">
        <v>24724</v>
      </c>
      <c r="E793" s="7" t="s">
        <v>7</v>
      </c>
      <c r="F793" s="7" t="s">
        <v>78</v>
      </c>
      <c r="G793" s="7" t="s">
        <v>40</v>
      </c>
      <c r="H793" s="7" t="s">
        <v>35</v>
      </c>
      <c r="I793" s="8">
        <v>971841</v>
      </c>
      <c r="J793" s="7" t="s">
        <v>457</v>
      </c>
      <c r="K793" s="20">
        <v>24</v>
      </c>
      <c r="L793" s="20">
        <v>3</v>
      </c>
      <c r="M793" s="20">
        <v>7</v>
      </c>
      <c r="N793" s="8" t="s">
        <v>123</v>
      </c>
      <c r="O793" s="18" t="s">
        <v>121</v>
      </c>
      <c r="P793" s="164">
        <f t="shared" si="0"/>
        <v>7</v>
      </c>
      <c r="Q793" s="8"/>
    </row>
    <row r="794" spans="1:17" x14ac:dyDescent="0.25">
      <c r="A794" s="1"/>
      <c r="B794" s="1"/>
      <c r="C794" s="7" t="s">
        <v>497</v>
      </c>
      <c r="D794" s="17">
        <v>24611</v>
      </c>
      <c r="E794" s="7" t="s">
        <v>7</v>
      </c>
      <c r="F794" s="7" t="s">
        <v>78</v>
      </c>
      <c r="G794" s="7" t="s">
        <v>317</v>
      </c>
      <c r="H794" s="7" t="s">
        <v>35</v>
      </c>
      <c r="I794" s="8">
        <v>322115</v>
      </c>
      <c r="J794" s="7" t="s">
        <v>501</v>
      </c>
      <c r="K794" s="20">
        <v>16</v>
      </c>
      <c r="L794" s="20">
        <v>2</v>
      </c>
      <c r="M794" s="20">
        <v>3</v>
      </c>
      <c r="N794" s="8" t="s">
        <v>126</v>
      </c>
      <c r="O794" s="18" t="s">
        <v>315</v>
      </c>
      <c r="P794" s="164">
        <f t="shared" si="0"/>
        <v>7</v>
      </c>
      <c r="Q794" s="8"/>
    </row>
    <row r="795" spans="1:17" x14ac:dyDescent="0.25">
      <c r="A795" s="1"/>
      <c r="B795" s="1"/>
      <c r="C795" s="7" t="s">
        <v>497</v>
      </c>
      <c r="D795" s="17">
        <v>24725</v>
      </c>
      <c r="E795" s="7" t="s">
        <v>7</v>
      </c>
      <c r="F795" s="7" t="s">
        <v>78</v>
      </c>
      <c r="G795" s="7" t="s">
        <v>40</v>
      </c>
      <c r="H795" s="7" t="s">
        <v>35</v>
      </c>
      <c r="I795" s="8">
        <v>971841</v>
      </c>
      <c r="J795" s="7" t="s">
        <v>457</v>
      </c>
      <c r="K795" s="20">
        <v>24</v>
      </c>
      <c r="L795" s="20">
        <v>3</v>
      </c>
      <c r="M795" s="20">
        <v>7</v>
      </c>
      <c r="N795" s="8" t="s">
        <v>126</v>
      </c>
      <c r="O795" s="18" t="s">
        <v>128</v>
      </c>
      <c r="P795" s="164">
        <f t="shared" si="0"/>
        <v>7</v>
      </c>
      <c r="Q795" s="8"/>
    </row>
    <row r="796" spans="1:17" x14ac:dyDescent="0.25">
      <c r="A796" s="1"/>
      <c r="B796" s="1"/>
      <c r="C796" s="7" t="s">
        <v>497</v>
      </c>
      <c r="D796" s="17">
        <v>24521</v>
      </c>
      <c r="E796" s="7" t="s">
        <v>7</v>
      </c>
      <c r="F796" s="7" t="s">
        <v>78</v>
      </c>
      <c r="G796" s="7" t="s">
        <v>89</v>
      </c>
      <c r="H796" s="7" t="s">
        <v>35</v>
      </c>
      <c r="I796" s="8">
        <v>322115</v>
      </c>
      <c r="J796" s="7" t="s">
        <v>501</v>
      </c>
      <c r="K796" s="20">
        <v>16</v>
      </c>
      <c r="L796" s="20">
        <v>2</v>
      </c>
      <c r="M796" s="20">
        <v>3</v>
      </c>
      <c r="N796" s="8" t="s">
        <v>128</v>
      </c>
      <c r="O796" s="18" t="s">
        <v>318</v>
      </c>
      <c r="P796" s="164">
        <f t="shared" si="0"/>
        <v>7</v>
      </c>
      <c r="Q796" s="8"/>
    </row>
    <row r="797" spans="1:17" x14ac:dyDescent="0.25">
      <c r="A797" s="1"/>
      <c r="B797" s="1"/>
      <c r="C797" s="7" t="s">
        <v>497</v>
      </c>
      <c r="D797" s="17">
        <v>24641</v>
      </c>
      <c r="E797" s="7" t="s">
        <v>7</v>
      </c>
      <c r="F797" s="7" t="s">
        <v>78</v>
      </c>
      <c r="G797" s="7" t="s">
        <v>68</v>
      </c>
      <c r="H797" s="7" t="s">
        <v>35</v>
      </c>
      <c r="I797" s="8">
        <v>373645</v>
      </c>
      <c r="J797" s="7" t="s">
        <v>503</v>
      </c>
      <c r="K797" s="20">
        <v>24</v>
      </c>
      <c r="L797" s="20">
        <v>3</v>
      </c>
      <c r="M797" s="20">
        <v>3</v>
      </c>
      <c r="N797" s="8" t="s">
        <v>128</v>
      </c>
      <c r="O797" s="18" t="s">
        <v>129</v>
      </c>
      <c r="P797" s="164">
        <f t="shared" si="0"/>
        <v>7</v>
      </c>
      <c r="Q797" s="8"/>
    </row>
    <row r="798" spans="1:17" x14ac:dyDescent="0.25">
      <c r="A798" s="1"/>
      <c r="B798" s="1"/>
      <c r="C798" s="7" t="s">
        <v>497</v>
      </c>
      <c r="D798" s="17">
        <v>25325</v>
      </c>
      <c r="E798" s="7" t="s">
        <v>7</v>
      </c>
      <c r="F798" s="7" t="s">
        <v>78</v>
      </c>
      <c r="G798" s="7" t="s">
        <v>199</v>
      </c>
      <c r="H798" s="7" t="s">
        <v>35</v>
      </c>
      <c r="I798" s="8">
        <v>245434</v>
      </c>
      <c r="J798" s="7" t="s">
        <v>500</v>
      </c>
      <c r="K798" s="20">
        <v>8</v>
      </c>
      <c r="L798" s="20">
        <v>1</v>
      </c>
      <c r="M798" s="20">
        <v>3</v>
      </c>
      <c r="N798" s="8" t="s">
        <v>357</v>
      </c>
      <c r="O798" s="18" t="s">
        <v>357</v>
      </c>
      <c r="P798" s="164">
        <f t="shared" si="0"/>
        <v>7</v>
      </c>
      <c r="Q798" s="8"/>
    </row>
    <row r="799" spans="1:17" x14ac:dyDescent="0.25">
      <c r="A799" s="1"/>
      <c r="B799" s="1"/>
      <c r="C799" s="7" t="s">
        <v>497</v>
      </c>
      <c r="D799" s="17">
        <v>24850</v>
      </c>
      <c r="E799" s="7" t="s">
        <v>7</v>
      </c>
      <c r="F799" s="7" t="s">
        <v>78</v>
      </c>
      <c r="G799" s="7" t="s">
        <v>84</v>
      </c>
      <c r="H799" s="7" t="s">
        <v>35</v>
      </c>
      <c r="I799" s="8">
        <v>322115</v>
      </c>
      <c r="J799" s="7" t="s">
        <v>501</v>
      </c>
      <c r="K799" s="20">
        <v>16</v>
      </c>
      <c r="L799" s="20">
        <v>2</v>
      </c>
      <c r="M799" s="20">
        <v>6</v>
      </c>
      <c r="N799" s="8" t="s">
        <v>357</v>
      </c>
      <c r="O799" s="18" t="s">
        <v>504</v>
      </c>
      <c r="P799" s="164">
        <f t="shared" si="0"/>
        <v>7</v>
      </c>
      <c r="Q799" s="8"/>
    </row>
    <row r="800" spans="1:17" x14ac:dyDescent="0.25">
      <c r="A800" s="1"/>
      <c r="B800" s="1"/>
      <c r="C800" s="7" t="s">
        <v>497</v>
      </c>
      <c r="D800" s="17">
        <v>24726</v>
      </c>
      <c r="E800" s="7" t="s">
        <v>7</v>
      </c>
      <c r="F800" s="7" t="s">
        <v>78</v>
      </c>
      <c r="G800" s="7" t="s">
        <v>40</v>
      </c>
      <c r="H800" s="7" t="s">
        <v>35</v>
      </c>
      <c r="I800" s="8">
        <v>389297</v>
      </c>
      <c r="J800" s="7" t="s">
        <v>505</v>
      </c>
      <c r="K800" s="20">
        <v>24</v>
      </c>
      <c r="L800" s="20">
        <v>3</v>
      </c>
      <c r="M800" s="20">
        <v>7</v>
      </c>
      <c r="N800" s="8" t="s">
        <v>357</v>
      </c>
      <c r="O800" s="18" t="s">
        <v>131</v>
      </c>
      <c r="P800" s="164">
        <f t="shared" si="0"/>
        <v>7</v>
      </c>
      <c r="Q800" s="8"/>
    </row>
    <row r="801" spans="1:17" x14ac:dyDescent="0.25">
      <c r="A801" s="1"/>
      <c r="B801" s="1"/>
      <c r="C801" s="7" t="s">
        <v>497</v>
      </c>
      <c r="D801" s="17">
        <v>24612</v>
      </c>
      <c r="E801" s="7" t="s">
        <v>7</v>
      </c>
      <c r="F801" s="7" t="s">
        <v>78</v>
      </c>
      <c r="G801" s="7" t="s">
        <v>317</v>
      </c>
      <c r="H801" s="7" t="s">
        <v>35</v>
      </c>
      <c r="I801" s="8">
        <v>245434</v>
      </c>
      <c r="J801" s="7" t="s">
        <v>500</v>
      </c>
      <c r="K801" s="20">
        <v>16</v>
      </c>
      <c r="L801" s="20">
        <v>2</v>
      </c>
      <c r="M801" s="20">
        <v>3</v>
      </c>
      <c r="N801" s="8" t="s">
        <v>132</v>
      </c>
      <c r="O801" s="18" t="s">
        <v>444</v>
      </c>
      <c r="P801" s="164">
        <f t="shared" si="0"/>
        <v>7</v>
      </c>
      <c r="Q801" s="8"/>
    </row>
    <row r="802" spans="1:17" x14ac:dyDescent="0.25">
      <c r="A802" s="1"/>
      <c r="B802" s="1"/>
      <c r="C802" s="7" t="s">
        <v>497</v>
      </c>
      <c r="D802" s="17">
        <v>24658</v>
      </c>
      <c r="E802" s="7" t="s">
        <v>7</v>
      </c>
      <c r="F802" s="7" t="s">
        <v>78</v>
      </c>
      <c r="G802" s="7" t="s">
        <v>68</v>
      </c>
      <c r="H802" s="7" t="s">
        <v>35</v>
      </c>
      <c r="I802" s="8">
        <v>245435</v>
      </c>
      <c r="J802" s="7" t="s">
        <v>485</v>
      </c>
      <c r="K802" s="20">
        <v>24</v>
      </c>
      <c r="L802" s="20">
        <v>3</v>
      </c>
      <c r="M802" s="20">
        <v>3</v>
      </c>
      <c r="N802" s="8" t="s">
        <v>131</v>
      </c>
      <c r="O802" s="18" t="s">
        <v>444</v>
      </c>
      <c r="P802" s="164">
        <f t="shared" si="0"/>
        <v>7</v>
      </c>
      <c r="Q802" s="8"/>
    </row>
    <row r="803" spans="1:17" x14ac:dyDescent="0.25">
      <c r="A803" s="1"/>
      <c r="B803" s="1"/>
      <c r="C803" s="7" t="s">
        <v>497</v>
      </c>
      <c r="D803" s="17">
        <v>24642</v>
      </c>
      <c r="E803" s="7" t="s">
        <v>7</v>
      </c>
      <c r="F803" s="7" t="s">
        <v>78</v>
      </c>
      <c r="G803" s="7" t="s">
        <v>68</v>
      </c>
      <c r="H803" s="7" t="s">
        <v>35</v>
      </c>
      <c r="I803" s="8">
        <v>322115</v>
      </c>
      <c r="J803" s="7" t="s">
        <v>501</v>
      </c>
      <c r="K803" s="20">
        <v>24</v>
      </c>
      <c r="L803" s="20">
        <v>3</v>
      </c>
      <c r="M803" s="20">
        <v>3</v>
      </c>
      <c r="N803" s="8" t="s">
        <v>131</v>
      </c>
      <c r="O803" s="18" t="s">
        <v>444</v>
      </c>
      <c r="P803" s="164">
        <f t="shared" si="0"/>
        <v>7</v>
      </c>
      <c r="Q803" s="8"/>
    </row>
    <row r="804" spans="1:17" x14ac:dyDescent="0.25">
      <c r="A804" s="1"/>
      <c r="B804" s="1"/>
      <c r="C804" s="7" t="s">
        <v>497</v>
      </c>
      <c r="D804" s="17">
        <v>25326</v>
      </c>
      <c r="E804" s="7" t="s">
        <v>7</v>
      </c>
      <c r="F804" s="7" t="s">
        <v>78</v>
      </c>
      <c r="G804" s="7" t="s">
        <v>199</v>
      </c>
      <c r="H804" s="7" t="s">
        <v>35</v>
      </c>
      <c r="I804" s="8">
        <v>245434</v>
      </c>
      <c r="J804" s="7" t="s">
        <v>500</v>
      </c>
      <c r="K804" s="20">
        <v>8</v>
      </c>
      <c r="L804" s="20">
        <v>1</v>
      </c>
      <c r="M804" s="20">
        <v>2</v>
      </c>
      <c r="N804" s="8" t="s">
        <v>136</v>
      </c>
      <c r="O804" s="18" t="s">
        <v>136</v>
      </c>
      <c r="P804" s="164">
        <f t="shared" si="0"/>
        <v>7</v>
      </c>
      <c r="Q804" s="8"/>
    </row>
    <row r="805" spans="1:17" x14ac:dyDescent="0.25">
      <c r="A805" s="1"/>
      <c r="B805" s="1"/>
      <c r="C805" s="7" t="s">
        <v>497</v>
      </c>
      <c r="D805" s="17">
        <v>24876</v>
      </c>
      <c r="E805" s="7" t="s">
        <v>7</v>
      </c>
      <c r="F805" s="7" t="s">
        <v>78</v>
      </c>
      <c r="G805" s="7" t="s">
        <v>148</v>
      </c>
      <c r="H805" s="7" t="s">
        <v>35</v>
      </c>
      <c r="I805" s="8">
        <v>245435</v>
      </c>
      <c r="J805" s="7" t="s">
        <v>485</v>
      </c>
      <c r="K805" s="20">
        <v>8</v>
      </c>
      <c r="L805" s="20">
        <v>1</v>
      </c>
      <c r="M805" s="20">
        <v>11</v>
      </c>
      <c r="N805" s="8" t="s">
        <v>137</v>
      </c>
      <c r="O805" s="18" t="s">
        <v>137</v>
      </c>
      <c r="P805" s="164">
        <f t="shared" si="0"/>
        <v>7</v>
      </c>
      <c r="Q805" s="8"/>
    </row>
    <row r="806" spans="1:17" x14ac:dyDescent="0.25">
      <c r="A806" s="1"/>
      <c r="B806" s="1"/>
      <c r="C806" s="7" t="s">
        <v>497</v>
      </c>
      <c r="D806" s="17">
        <v>24523</v>
      </c>
      <c r="E806" s="7" t="s">
        <v>7</v>
      </c>
      <c r="F806" s="7" t="s">
        <v>78</v>
      </c>
      <c r="G806" s="7" t="s">
        <v>89</v>
      </c>
      <c r="H806" s="7" t="s">
        <v>35</v>
      </c>
      <c r="I806" s="8">
        <v>322115</v>
      </c>
      <c r="J806" s="7" t="s">
        <v>501</v>
      </c>
      <c r="K806" s="20">
        <v>16</v>
      </c>
      <c r="L806" s="20">
        <v>2</v>
      </c>
      <c r="M806" s="20">
        <v>3</v>
      </c>
      <c r="N806" s="8" t="s">
        <v>137</v>
      </c>
      <c r="O806" s="18" t="s">
        <v>358</v>
      </c>
      <c r="P806" s="164">
        <f t="shared" si="0"/>
        <v>7</v>
      </c>
      <c r="Q806" s="8"/>
    </row>
    <row r="807" spans="1:17" x14ac:dyDescent="0.25">
      <c r="A807" s="1"/>
      <c r="B807" s="1"/>
      <c r="C807" s="7" t="s">
        <v>497</v>
      </c>
      <c r="D807" s="17">
        <v>24643</v>
      </c>
      <c r="E807" s="7" t="s">
        <v>7</v>
      </c>
      <c r="F807" s="7" t="s">
        <v>78</v>
      </c>
      <c r="G807" s="7" t="s">
        <v>68</v>
      </c>
      <c r="H807" s="7" t="s">
        <v>35</v>
      </c>
      <c r="I807" s="8">
        <v>373645</v>
      </c>
      <c r="J807" s="7" t="s">
        <v>503</v>
      </c>
      <c r="K807" s="20">
        <v>24</v>
      </c>
      <c r="L807" s="20">
        <v>3</v>
      </c>
      <c r="M807" s="20">
        <v>3</v>
      </c>
      <c r="N807" s="8" t="s">
        <v>136</v>
      </c>
      <c r="O807" s="18" t="s">
        <v>358</v>
      </c>
      <c r="P807" s="164">
        <f t="shared" si="0"/>
        <v>7</v>
      </c>
      <c r="Q807" s="8"/>
    </row>
    <row r="808" spans="1:17" x14ac:dyDescent="0.25">
      <c r="A808" s="1"/>
      <c r="B808" s="1"/>
      <c r="C808" s="7" t="s">
        <v>497</v>
      </c>
      <c r="D808" s="17">
        <v>24614</v>
      </c>
      <c r="E808" s="7" t="s">
        <v>7</v>
      </c>
      <c r="F808" s="7" t="s">
        <v>78</v>
      </c>
      <c r="G808" s="7" t="s">
        <v>317</v>
      </c>
      <c r="H808" s="7" t="s">
        <v>35</v>
      </c>
      <c r="I808" s="8">
        <v>245434</v>
      </c>
      <c r="J808" s="7" t="s">
        <v>500</v>
      </c>
      <c r="K808" s="20">
        <v>16</v>
      </c>
      <c r="L808" s="20">
        <v>2</v>
      </c>
      <c r="M808" s="20">
        <v>3</v>
      </c>
      <c r="N808" s="8" t="s">
        <v>139</v>
      </c>
      <c r="O808" s="18" t="s">
        <v>140</v>
      </c>
      <c r="P808" s="164">
        <f t="shared" si="0"/>
        <v>8</v>
      </c>
      <c r="Q808" s="8"/>
    </row>
    <row r="809" spans="1:17" x14ac:dyDescent="0.25">
      <c r="A809" s="1"/>
      <c r="B809" s="1"/>
      <c r="C809" s="7" t="s">
        <v>497</v>
      </c>
      <c r="D809" s="17">
        <v>25305</v>
      </c>
      <c r="E809" s="7" t="s">
        <v>7</v>
      </c>
      <c r="F809" s="7" t="s">
        <v>78</v>
      </c>
      <c r="G809" s="7" t="s">
        <v>199</v>
      </c>
      <c r="H809" s="7" t="s">
        <v>35</v>
      </c>
      <c r="I809" s="8">
        <v>373645</v>
      </c>
      <c r="J809" s="7" t="s">
        <v>503</v>
      </c>
      <c r="K809" s="20">
        <v>8</v>
      </c>
      <c r="L809" s="20">
        <v>1</v>
      </c>
      <c r="M809" s="20">
        <v>6</v>
      </c>
      <c r="N809" s="8" t="s">
        <v>140</v>
      </c>
      <c r="O809" s="18" t="s">
        <v>140</v>
      </c>
      <c r="P809" s="164">
        <f t="shared" si="0"/>
        <v>8</v>
      </c>
      <c r="Q809" s="8"/>
    </row>
    <row r="810" spans="1:17" x14ac:dyDescent="0.25">
      <c r="A810" s="1"/>
      <c r="B810" s="1"/>
      <c r="C810" s="7" t="s">
        <v>497</v>
      </c>
      <c r="D810" s="17">
        <v>24728</v>
      </c>
      <c r="E810" s="7" t="s">
        <v>7</v>
      </c>
      <c r="F810" s="7" t="s">
        <v>78</v>
      </c>
      <c r="G810" s="7" t="s">
        <v>40</v>
      </c>
      <c r="H810" s="7" t="s">
        <v>35</v>
      </c>
      <c r="I810" s="8">
        <v>322115</v>
      </c>
      <c r="J810" s="7" t="s">
        <v>501</v>
      </c>
      <c r="K810" s="20">
        <v>24</v>
      </c>
      <c r="L810" s="20">
        <v>3</v>
      </c>
      <c r="M810" s="20">
        <v>3</v>
      </c>
      <c r="N810" s="8" t="s">
        <v>139</v>
      </c>
      <c r="O810" s="18" t="s">
        <v>143</v>
      </c>
      <c r="P810" s="164">
        <f t="shared" si="0"/>
        <v>8</v>
      </c>
      <c r="Q810" s="8"/>
    </row>
    <row r="811" spans="1:17" x14ac:dyDescent="0.25">
      <c r="A811" s="1"/>
      <c r="B811" s="1"/>
      <c r="C811" s="7" t="s">
        <v>497</v>
      </c>
      <c r="D811" s="17">
        <v>25303</v>
      </c>
      <c r="E811" s="7" t="s">
        <v>7</v>
      </c>
      <c r="F811" s="7" t="s">
        <v>78</v>
      </c>
      <c r="G811" s="7" t="s">
        <v>199</v>
      </c>
      <c r="H811" s="7" t="s">
        <v>35</v>
      </c>
      <c r="I811" s="8">
        <v>329860</v>
      </c>
      <c r="J811" s="7" t="s">
        <v>506</v>
      </c>
      <c r="K811" s="20">
        <v>8</v>
      </c>
      <c r="L811" s="20">
        <v>1</v>
      </c>
      <c r="M811" s="20">
        <v>6</v>
      </c>
      <c r="N811" s="8" t="s">
        <v>145</v>
      </c>
      <c r="O811" s="18" t="s">
        <v>145</v>
      </c>
      <c r="P811" s="164">
        <f t="shared" si="0"/>
        <v>8</v>
      </c>
      <c r="Q811" s="8"/>
    </row>
    <row r="812" spans="1:17" x14ac:dyDescent="0.25">
      <c r="A812" s="1"/>
      <c r="B812" s="1"/>
      <c r="C812" s="7" t="s">
        <v>497</v>
      </c>
      <c r="D812" s="17">
        <v>24637</v>
      </c>
      <c r="E812" s="7" t="s">
        <v>7</v>
      </c>
      <c r="F812" s="7" t="s">
        <v>78</v>
      </c>
      <c r="G812" s="7" t="s">
        <v>68</v>
      </c>
      <c r="H812" s="7" t="s">
        <v>35</v>
      </c>
      <c r="I812" s="8">
        <v>245434</v>
      </c>
      <c r="J812" s="7" t="s">
        <v>500</v>
      </c>
      <c r="K812" s="20">
        <v>24</v>
      </c>
      <c r="L812" s="20">
        <v>3</v>
      </c>
      <c r="M812" s="20">
        <v>3</v>
      </c>
      <c r="N812" s="8" t="s">
        <v>143</v>
      </c>
      <c r="O812" s="18" t="s">
        <v>146</v>
      </c>
      <c r="P812" s="164">
        <f t="shared" si="0"/>
        <v>8</v>
      </c>
      <c r="Q812" s="8"/>
    </row>
    <row r="813" spans="1:17" x14ac:dyDescent="0.25">
      <c r="A813" s="1"/>
      <c r="B813" s="1"/>
      <c r="C813" s="7" t="s">
        <v>497</v>
      </c>
      <c r="D813" s="17">
        <v>24644</v>
      </c>
      <c r="E813" s="7" t="s">
        <v>7</v>
      </c>
      <c r="F813" s="7" t="s">
        <v>78</v>
      </c>
      <c r="G813" s="7" t="s">
        <v>68</v>
      </c>
      <c r="H813" s="7" t="s">
        <v>35</v>
      </c>
      <c r="I813" s="8">
        <v>373645</v>
      </c>
      <c r="J813" s="7" t="s">
        <v>503</v>
      </c>
      <c r="K813" s="20">
        <v>24</v>
      </c>
      <c r="L813" s="20">
        <v>3</v>
      </c>
      <c r="M813" s="20">
        <v>3</v>
      </c>
      <c r="N813" s="8" t="s">
        <v>143</v>
      </c>
      <c r="O813" s="18" t="s">
        <v>146</v>
      </c>
      <c r="P813" s="164">
        <f t="shared" si="0"/>
        <v>8</v>
      </c>
      <c r="Q813" s="8"/>
    </row>
    <row r="814" spans="1:17" x14ac:dyDescent="0.25">
      <c r="A814" s="1"/>
      <c r="B814" s="1"/>
      <c r="C814" s="7" t="s">
        <v>497</v>
      </c>
      <c r="D814" s="17">
        <v>24525</v>
      </c>
      <c r="E814" s="7" t="s">
        <v>7</v>
      </c>
      <c r="F814" s="7" t="s">
        <v>78</v>
      </c>
      <c r="G814" s="7" t="s">
        <v>89</v>
      </c>
      <c r="H814" s="7" t="s">
        <v>35</v>
      </c>
      <c r="I814" s="8">
        <v>322115</v>
      </c>
      <c r="J814" s="7" t="s">
        <v>501</v>
      </c>
      <c r="K814" s="20">
        <v>16</v>
      </c>
      <c r="L814" s="20">
        <v>2</v>
      </c>
      <c r="M814" s="20">
        <v>3</v>
      </c>
      <c r="N814" s="8" t="s">
        <v>151</v>
      </c>
      <c r="O814" s="18" t="s">
        <v>152</v>
      </c>
      <c r="P814" s="164">
        <f t="shared" si="0"/>
        <v>8</v>
      </c>
      <c r="Q814" s="8"/>
    </row>
    <row r="815" spans="1:17" x14ac:dyDescent="0.25">
      <c r="A815" s="1"/>
      <c r="B815" s="1"/>
      <c r="C815" s="7" t="s">
        <v>497</v>
      </c>
      <c r="D815" s="17">
        <v>24645</v>
      </c>
      <c r="E815" s="7" t="s">
        <v>7</v>
      </c>
      <c r="F815" s="7" t="s">
        <v>78</v>
      </c>
      <c r="G815" s="7" t="s">
        <v>68</v>
      </c>
      <c r="H815" s="7" t="s">
        <v>35</v>
      </c>
      <c r="I815" s="8">
        <v>373645</v>
      </c>
      <c r="J815" s="7" t="s">
        <v>503</v>
      </c>
      <c r="K815" s="20">
        <v>24</v>
      </c>
      <c r="L815" s="20">
        <v>3</v>
      </c>
      <c r="M815" s="20">
        <v>3</v>
      </c>
      <c r="N815" s="8" t="s">
        <v>149</v>
      </c>
      <c r="O815" s="18" t="s">
        <v>152</v>
      </c>
      <c r="P815" s="164">
        <f t="shared" si="0"/>
        <v>8</v>
      </c>
      <c r="Q815" s="8"/>
    </row>
    <row r="816" spans="1:17" x14ac:dyDescent="0.25">
      <c r="A816" s="1"/>
      <c r="B816" s="1"/>
      <c r="C816" s="7" t="s">
        <v>497</v>
      </c>
      <c r="D816" s="17">
        <v>24615</v>
      </c>
      <c r="E816" s="7" t="s">
        <v>7</v>
      </c>
      <c r="F816" s="7" t="s">
        <v>78</v>
      </c>
      <c r="G816" s="7" t="s">
        <v>317</v>
      </c>
      <c r="H816" s="7" t="s">
        <v>35</v>
      </c>
      <c r="I816" s="8">
        <v>245434</v>
      </c>
      <c r="J816" s="7" t="s">
        <v>500</v>
      </c>
      <c r="K816" s="20">
        <v>16</v>
      </c>
      <c r="L816" s="20">
        <v>2</v>
      </c>
      <c r="M816" s="20">
        <v>3</v>
      </c>
      <c r="N816" s="8" t="s">
        <v>153</v>
      </c>
      <c r="O816" s="18" t="s">
        <v>429</v>
      </c>
      <c r="P816" s="164">
        <f t="shared" si="0"/>
        <v>8</v>
      </c>
      <c r="Q816" s="8"/>
    </row>
    <row r="817" spans="1:17" x14ac:dyDescent="0.25">
      <c r="A817" s="1"/>
      <c r="B817" s="1"/>
      <c r="C817" s="7" t="s">
        <v>497</v>
      </c>
      <c r="D817" s="17">
        <v>24526</v>
      </c>
      <c r="E817" s="7" t="s">
        <v>7</v>
      </c>
      <c r="F817" s="7" t="s">
        <v>78</v>
      </c>
      <c r="G817" s="7" t="s">
        <v>89</v>
      </c>
      <c r="H817" s="7" t="s">
        <v>35</v>
      </c>
      <c r="I817" s="8">
        <v>245435</v>
      </c>
      <c r="J817" s="7" t="s">
        <v>485</v>
      </c>
      <c r="K817" s="20">
        <v>16</v>
      </c>
      <c r="L817" s="20">
        <v>2</v>
      </c>
      <c r="M817" s="20">
        <v>3</v>
      </c>
      <c r="N817" s="8" t="s">
        <v>154</v>
      </c>
      <c r="O817" s="18" t="s">
        <v>155</v>
      </c>
      <c r="P817" s="164">
        <f t="shared" si="0"/>
        <v>8</v>
      </c>
      <c r="Q817" s="8"/>
    </row>
    <row r="818" spans="1:17" x14ac:dyDescent="0.25">
      <c r="A818" s="1"/>
      <c r="B818" s="1"/>
      <c r="C818" s="7" t="s">
        <v>497</v>
      </c>
      <c r="D818" s="17">
        <v>24729</v>
      </c>
      <c r="E818" s="7" t="s">
        <v>7</v>
      </c>
      <c r="F818" s="7" t="s">
        <v>78</v>
      </c>
      <c r="G818" s="7" t="s">
        <v>40</v>
      </c>
      <c r="H818" s="7" t="s">
        <v>35</v>
      </c>
      <c r="I818" s="8">
        <v>389297</v>
      </c>
      <c r="J818" s="7" t="s">
        <v>505</v>
      </c>
      <c r="K818" s="20">
        <v>24</v>
      </c>
      <c r="L818" s="20">
        <v>3</v>
      </c>
      <c r="M818" s="20">
        <v>3</v>
      </c>
      <c r="N818" s="8" t="s">
        <v>154</v>
      </c>
      <c r="O818" s="18" t="s">
        <v>156</v>
      </c>
      <c r="P818" s="164">
        <f t="shared" si="0"/>
        <v>8</v>
      </c>
      <c r="Q818" s="8"/>
    </row>
    <row r="819" spans="1:17" x14ac:dyDescent="0.25">
      <c r="A819" s="1"/>
      <c r="B819" s="1"/>
      <c r="C819" s="7" t="s">
        <v>497</v>
      </c>
      <c r="D819" s="17">
        <v>24616</v>
      </c>
      <c r="E819" s="7" t="s">
        <v>7</v>
      </c>
      <c r="F819" s="7" t="s">
        <v>78</v>
      </c>
      <c r="G819" s="7" t="s">
        <v>317</v>
      </c>
      <c r="H819" s="7" t="s">
        <v>35</v>
      </c>
      <c r="I819" s="8">
        <v>245434</v>
      </c>
      <c r="J819" s="7" t="s">
        <v>500</v>
      </c>
      <c r="K819" s="20">
        <v>16</v>
      </c>
      <c r="L819" s="20">
        <v>2</v>
      </c>
      <c r="M819" s="20">
        <v>3</v>
      </c>
      <c r="N819" s="8" t="s">
        <v>157</v>
      </c>
      <c r="O819" s="18" t="s">
        <v>158</v>
      </c>
      <c r="P819" s="164">
        <f t="shared" si="0"/>
        <v>8</v>
      </c>
      <c r="Q819" s="8"/>
    </row>
    <row r="820" spans="1:17" x14ac:dyDescent="0.25">
      <c r="A820" s="1"/>
      <c r="B820" s="1"/>
      <c r="C820" s="7" t="s">
        <v>497</v>
      </c>
      <c r="D820" s="17">
        <v>25306</v>
      </c>
      <c r="E820" s="7" t="s">
        <v>7</v>
      </c>
      <c r="F820" s="7" t="s">
        <v>78</v>
      </c>
      <c r="G820" s="7" t="s">
        <v>199</v>
      </c>
      <c r="H820" s="7" t="s">
        <v>35</v>
      </c>
      <c r="I820" s="8">
        <v>245434</v>
      </c>
      <c r="J820" s="7" t="s">
        <v>500</v>
      </c>
      <c r="K820" s="20">
        <v>8</v>
      </c>
      <c r="L820" s="20">
        <v>1</v>
      </c>
      <c r="M820" s="20">
        <v>6</v>
      </c>
      <c r="N820" s="8" t="s">
        <v>161</v>
      </c>
      <c r="O820" s="18" t="s">
        <v>161</v>
      </c>
      <c r="P820" s="164">
        <f t="shared" si="0"/>
        <v>8</v>
      </c>
      <c r="Q820" s="8"/>
    </row>
    <row r="821" spans="1:17" x14ac:dyDescent="0.25">
      <c r="A821" s="1"/>
      <c r="B821" s="1"/>
      <c r="C821" s="7" t="s">
        <v>497</v>
      </c>
      <c r="D821" s="17">
        <v>24617</v>
      </c>
      <c r="E821" s="7" t="s">
        <v>7</v>
      </c>
      <c r="F821" s="7" t="s">
        <v>78</v>
      </c>
      <c r="G821" s="7" t="s">
        <v>317</v>
      </c>
      <c r="H821" s="7" t="s">
        <v>35</v>
      </c>
      <c r="I821" s="8">
        <v>245434</v>
      </c>
      <c r="J821" s="7" t="s">
        <v>500</v>
      </c>
      <c r="K821" s="20">
        <v>16</v>
      </c>
      <c r="L821" s="20">
        <v>2</v>
      </c>
      <c r="M821" s="20">
        <v>3</v>
      </c>
      <c r="N821" s="8" t="s">
        <v>164</v>
      </c>
      <c r="O821" s="18" t="s">
        <v>165</v>
      </c>
      <c r="P821" s="164">
        <f t="shared" si="0"/>
        <v>8</v>
      </c>
      <c r="Q821" s="8"/>
    </row>
    <row r="822" spans="1:17" x14ac:dyDescent="0.25">
      <c r="A822" s="1"/>
      <c r="B822" s="1"/>
      <c r="C822" s="7" t="s">
        <v>497</v>
      </c>
      <c r="D822" s="17">
        <v>24647</v>
      </c>
      <c r="E822" s="7" t="s">
        <v>7</v>
      </c>
      <c r="F822" s="7" t="s">
        <v>78</v>
      </c>
      <c r="G822" s="7" t="s">
        <v>68</v>
      </c>
      <c r="H822" s="7" t="s">
        <v>35</v>
      </c>
      <c r="I822" s="8">
        <v>245435</v>
      </c>
      <c r="J822" s="7" t="s">
        <v>485</v>
      </c>
      <c r="K822" s="20">
        <v>24</v>
      </c>
      <c r="L822" s="20">
        <v>3</v>
      </c>
      <c r="M822" s="20">
        <v>3</v>
      </c>
      <c r="N822" s="8" t="s">
        <v>161</v>
      </c>
      <c r="O822" s="18" t="s">
        <v>165</v>
      </c>
      <c r="P822" s="164">
        <f t="shared" si="0"/>
        <v>8</v>
      </c>
      <c r="Q822" s="8"/>
    </row>
    <row r="823" spans="1:17" x14ac:dyDescent="0.25">
      <c r="A823" s="1"/>
      <c r="B823" s="1"/>
      <c r="C823" s="7" t="s">
        <v>497</v>
      </c>
      <c r="D823" s="17">
        <v>24527</v>
      </c>
      <c r="E823" s="7" t="s">
        <v>7</v>
      </c>
      <c r="F823" s="7" t="s">
        <v>78</v>
      </c>
      <c r="G823" s="7" t="s">
        <v>89</v>
      </c>
      <c r="H823" s="7" t="s">
        <v>35</v>
      </c>
      <c r="I823" s="8">
        <v>245435</v>
      </c>
      <c r="J823" s="7" t="s">
        <v>485</v>
      </c>
      <c r="K823" s="20">
        <v>16</v>
      </c>
      <c r="L823" s="20">
        <v>2</v>
      </c>
      <c r="M823" s="20">
        <v>3</v>
      </c>
      <c r="N823" s="8" t="s">
        <v>166</v>
      </c>
      <c r="O823" s="18" t="s">
        <v>167</v>
      </c>
      <c r="P823" s="164">
        <f t="shared" si="0"/>
        <v>8</v>
      </c>
      <c r="Q823" s="8"/>
    </row>
    <row r="824" spans="1:17" x14ac:dyDescent="0.25">
      <c r="A824" s="1"/>
      <c r="B824" s="1"/>
      <c r="C824" s="7" t="s">
        <v>497</v>
      </c>
      <c r="D824" s="17">
        <v>24727</v>
      </c>
      <c r="E824" s="7" t="s">
        <v>7</v>
      </c>
      <c r="F824" s="7" t="s">
        <v>78</v>
      </c>
      <c r="G824" s="7" t="s">
        <v>40</v>
      </c>
      <c r="H824" s="7" t="s">
        <v>35</v>
      </c>
      <c r="I824" s="8">
        <v>971841</v>
      </c>
      <c r="J824" s="7" t="s">
        <v>457</v>
      </c>
      <c r="K824" s="20">
        <v>24</v>
      </c>
      <c r="L824" s="20">
        <v>3</v>
      </c>
      <c r="M824" s="20">
        <v>3</v>
      </c>
      <c r="N824" s="8" t="s">
        <v>166</v>
      </c>
      <c r="O824" s="18" t="s">
        <v>323</v>
      </c>
      <c r="P824" s="164">
        <f t="shared" si="0"/>
        <v>8</v>
      </c>
      <c r="Q824" s="8"/>
    </row>
    <row r="825" spans="1:17" x14ac:dyDescent="0.25">
      <c r="A825" s="1"/>
      <c r="B825" s="1"/>
      <c r="C825" s="7" t="s">
        <v>497</v>
      </c>
      <c r="D825" s="17">
        <v>25307</v>
      </c>
      <c r="E825" s="7" t="s">
        <v>7</v>
      </c>
      <c r="F825" s="7" t="s">
        <v>78</v>
      </c>
      <c r="G825" s="7" t="s">
        <v>199</v>
      </c>
      <c r="H825" s="7" t="s">
        <v>35</v>
      </c>
      <c r="I825" s="8">
        <v>245434</v>
      </c>
      <c r="J825" s="7" t="s">
        <v>500</v>
      </c>
      <c r="K825" s="20">
        <v>8</v>
      </c>
      <c r="L825" s="20">
        <v>1</v>
      </c>
      <c r="M825" s="20">
        <v>6</v>
      </c>
      <c r="N825" s="8" t="s">
        <v>168</v>
      </c>
      <c r="O825" s="18" t="s">
        <v>168</v>
      </c>
      <c r="P825" s="164">
        <f t="shared" si="0"/>
        <v>8</v>
      </c>
      <c r="Q825" s="8"/>
    </row>
    <row r="826" spans="1:17" x14ac:dyDescent="0.25">
      <c r="A826" s="1"/>
      <c r="B826" s="1"/>
      <c r="C826" s="7" t="s">
        <v>497</v>
      </c>
      <c r="D826" s="17">
        <v>24528</v>
      </c>
      <c r="E826" s="7" t="s">
        <v>7</v>
      </c>
      <c r="F826" s="7" t="s">
        <v>78</v>
      </c>
      <c r="G826" s="7" t="s">
        <v>89</v>
      </c>
      <c r="H826" s="7" t="s">
        <v>35</v>
      </c>
      <c r="I826" s="8">
        <v>245435</v>
      </c>
      <c r="J826" s="7" t="s">
        <v>485</v>
      </c>
      <c r="K826" s="20">
        <v>16</v>
      </c>
      <c r="L826" s="20">
        <v>2</v>
      </c>
      <c r="M826" s="20">
        <v>3</v>
      </c>
      <c r="N826" s="8" t="s">
        <v>168</v>
      </c>
      <c r="O826" s="18" t="s">
        <v>169</v>
      </c>
      <c r="P826" s="164">
        <f t="shared" si="0"/>
        <v>8</v>
      </c>
      <c r="Q826" s="8"/>
    </row>
    <row r="827" spans="1:17" x14ac:dyDescent="0.25">
      <c r="A827" s="1"/>
      <c r="B827" s="1"/>
      <c r="C827" s="7" t="s">
        <v>497</v>
      </c>
      <c r="D827" s="17">
        <v>24741</v>
      </c>
      <c r="E827" s="7" t="s">
        <v>7</v>
      </c>
      <c r="F827" s="7" t="s">
        <v>78</v>
      </c>
      <c r="G827" s="7" t="s">
        <v>40</v>
      </c>
      <c r="H827" s="7" t="s">
        <v>35</v>
      </c>
      <c r="I827" s="8">
        <v>971841</v>
      </c>
      <c r="J827" s="7" t="s">
        <v>457</v>
      </c>
      <c r="K827" s="20">
        <v>24</v>
      </c>
      <c r="L827" s="20">
        <v>3</v>
      </c>
      <c r="M827" s="20">
        <v>3</v>
      </c>
      <c r="N827" s="8" t="s">
        <v>168</v>
      </c>
      <c r="O827" s="18" t="s">
        <v>170</v>
      </c>
      <c r="P827" s="164">
        <f t="shared" si="0"/>
        <v>9</v>
      </c>
      <c r="Q827" s="8"/>
    </row>
    <row r="828" spans="1:17" x14ac:dyDescent="0.25">
      <c r="A828" s="1"/>
      <c r="B828" s="1"/>
      <c r="C828" s="7" t="s">
        <v>497</v>
      </c>
      <c r="D828" s="17">
        <v>24648</v>
      </c>
      <c r="E828" s="7" t="s">
        <v>7</v>
      </c>
      <c r="F828" s="7" t="s">
        <v>78</v>
      </c>
      <c r="G828" s="7" t="s">
        <v>68</v>
      </c>
      <c r="H828" s="7" t="s">
        <v>35</v>
      </c>
      <c r="I828" s="8">
        <v>245435</v>
      </c>
      <c r="J828" s="7" t="s">
        <v>485</v>
      </c>
      <c r="K828" s="20">
        <v>24</v>
      </c>
      <c r="L828" s="20">
        <v>3</v>
      </c>
      <c r="M828" s="20">
        <v>3</v>
      </c>
      <c r="N828" s="8" t="s">
        <v>170</v>
      </c>
      <c r="O828" s="18" t="s">
        <v>174</v>
      </c>
      <c r="P828" s="164">
        <f t="shared" si="0"/>
        <v>9</v>
      </c>
      <c r="Q828" s="8"/>
    </row>
    <row r="829" spans="1:17" x14ac:dyDescent="0.25">
      <c r="A829" s="1"/>
      <c r="B829" s="1"/>
      <c r="C829" s="7" t="s">
        <v>497</v>
      </c>
      <c r="D829" s="17">
        <v>24649</v>
      </c>
      <c r="E829" s="7" t="s">
        <v>7</v>
      </c>
      <c r="F829" s="7" t="s">
        <v>78</v>
      </c>
      <c r="G829" s="7" t="s">
        <v>68</v>
      </c>
      <c r="H829" s="7" t="s">
        <v>35</v>
      </c>
      <c r="I829" s="8">
        <v>245435</v>
      </c>
      <c r="J829" s="7" t="s">
        <v>485</v>
      </c>
      <c r="K829" s="20">
        <v>24</v>
      </c>
      <c r="L829" s="20">
        <v>3</v>
      </c>
      <c r="M829" s="20">
        <v>3</v>
      </c>
      <c r="N829" s="8" t="s">
        <v>177</v>
      </c>
      <c r="O829" s="18" t="s">
        <v>179</v>
      </c>
      <c r="P829" s="164">
        <f t="shared" si="0"/>
        <v>9</v>
      </c>
      <c r="Q829" s="8"/>
    </row>
    <row r="830" spans="1:17" x14ac:dyDescent="0.25">
      <c r="A830" s="1"/>
      <c r="B830" s="1"/>
      <c r="C830" s="7" t="s">
        <v>497</v>
      </c>
      <c r="D830" s="17">
        <v>26985</v>
      </c>
      <c r="E830" s="7" t="s">
        <v>7</v>
      </c>
      <c r="F830" s="7" t="s">
        <v>78</v>
      </c>
      <c r="G830" s="7" t="s">
        <v>401</v>
      </c>
      <c r="H830" s="7" t="s">
        <v>35</v>
      </c>
      <c r="I830" s="8">
        <v>445938</v>
      </c>
      <c r="J830" s="7" t="s">
        <v>507</v>
      </c>
      <c r="K830" s="20">
        <v>16</v>
      </c>
      <c r="L830" s="20">
        <v>2</v>
      </c>
      <c r="M830" s="20">
        <v>3</v>
      </c>
      <c r="N830" s="8" t="s">
        <v>181</v>
      </c>
      <c r="O830" s="18" t="s">
        <v>179</v>
      </c>
      <c r="P830" s="164">
        <f t="shared" ref="P830:P893" si="1">MONTH(O830)</f>
        <v>9</v>
      </c>
      <c r="Q830" s="8"/>
    </row>
    <row r="831" spans="1:17" x14ac:dyDescent="0.25">
      <c r="A831" s="1"/>
      <c r="B831" s="1"/>
      <c r="C831" s="7" t="s">
        <v>497</v>
      </c>
      <c r="D831" s="17">
        <v>24742</v>
      </c>
      <c r="E831" s="7" t="s">
        <v>7</v>
      </c>
      <c r="F831" s="7" t="s">
        <v>78</v>
      </c>
      <c r="G831" s="7" t="s">
        <v>40</v>
      </c>
      <c r="H831" s="7" t="s">
        <v>35</v>
      </c>
      <c r="I831" s="8">
        <v>971841</v>
      </c>
      <c r="J831" s="7" t="s">
        <v>457</v>
      </c>
      <c r="K831" s="20">
        <v>24</v>
      </c>
      <c r="L831" s="20">
        <v>3</v>
      </c>
      <c r="M831" s="20">
        <v>3</v>
      </c>
      <c r="N831" s="8" t="s">
        <v>177</v>
      </c>
      <c r="O831" s="18" t="s">
        <v>179</v>
      </c>
      <c r="P831" s="164">
        <f t="shared" si="1"/>
        <v>9</v>
      </c>
      <c r="Q831" s="8"/>
    </row>
    <row r="832" spans="1:17" x14ac:dyDescent="0.25">
      <c r="A832" s="1"/>
      <c r="B832" s="1"/>
      <c r="C832" s="7" t="s">
        <v>497</v>
      </c>
      <c r="D832" s="17">
        <v>24619</v>
      </c>
      <c r="E832" s="7" t="s">
        <v>7</v>
      </c>
      <c r="F832" s="7" t="s">
        <v>78</v>
      </c>
      <c r="G832" s="7" t="s">
        <v>317</v>
      </c>
      <c r="H832" s="7" t="s">
        <v>35</v>
      </c>
      <c r="I832" s="8">
        <v>971841</v>
      </c>
      <c r="J832" s="7" t="s">
        <v>457</v>
      </c>
      <c r="K832" s="20">
        <v>16</v>
      </c>
      <c r="L832" s="20">
        <v>2</v>
      </c>
      <c r="M832" s="20">
        <v>3</v>
      </c>
      <c r="N832" s="8" t="s">
        <v>180</v>
      </c>
      <c r="O832" s="18" t="s">
        <v>182</v>
      </c>
      <c r="P832" s="164">
        <f t="shared" si="1"/>
        <v>9</v>
      </c>
      <c r="Q832" s="8"/>
    </row>
    <row r="833" spans="1:17" x14ac:dyDescent="0.25">
      <c r="A833" s="1"/>
      <c r="B833" s="1"/>
      <c r="C833" s="7" t="s">
        <v>497</v>
      </c>
      <c r="D833" s="17">
        <v>24620</v>
      </c>
      <c r="E833" s="7" t="s">
        <v>7</v>
      </c>
      <c r="F833" s="7" t="s">
        <v>78</v>
      </c>
      <c r="G833" s="7" t="s">
        <v>317</v>
      </c>
      <c r="H833" s="7" t="s">
        <v>35</v>
      </c>
      <c r="I833" s="8">
        <v>245434</v>
      </c>
      <c r="J833" s="7" t="s">
        <v>500</v>
      </c>
      <c r="K833" s="20">
        <v>16</v>
      </c>
      <c r="L833" s="20">
        <v>2</v>
      </c>
      <c r="M833" s="20">
        <v>3</v>
      </c>
      <c r="N833" s="8" t="s">
        <v>184</v>
      </c>
      <c r="O833" s="18" t="s">
        <v>185</v>
      </c>
      <c r="P833" s="164">
        <f t="shared" si="1"/>
        <v>9</v>
      </c>
      <c r="Q833" s="8"/>
    </row>
    <row r="834" spans="1:17" x14ac:dyDescent="0.25">
      <c r="A834" s="1"/>
      <c r="B834" s="1"/>
      <c r="C834" s="7" t="s">
        <v>497</v>
      </c>
      <c r="D834" s="17">
        <v>24530</v>
      </c>
      <c r="E834" s="7" t="s">
        <v>7</v>
      </c>
      <c r="F834" s="7" t="s">
        <v>78</v>
      </c>
      <c r="G834" s="7" t="s">
        <v>89</v>
      </c>
      <c r="H834" s="7" t="s">
        <v>35</v>
      </c>
      <c r="I834" s="8">
        <v>245435</v>
      </c>
      <c r="J834" s="7" t="s">
        <v>485</v>
      </c>
      <c r="K834" s="20">
        <v>16</v>
      </c>
      <c r="L834" s="20">
        <v>2</v>
      </c>
      <c r="M834" s="20">
        <v>3</v>
      </c>
      <c r="N834" s="8" t="s">
        <v>184</v>
      </c>
      <c r="O834" s="18" t="s">
        <v>185</v>
      </c>
      <c r="P834" s="164">
        <f t="shared" si="1"/>
        <v>9</v>
      </c>
      <c r="Q834" s="8"/>
    </row>
    <row r="835" spans="1:17" x14ac:dyDescent="0.25">
      <c r="A835" s="1"/>
      <c r="B835" s="1"/>
      <c r="C835" s="7" t="s">
        <v>497</v>
      </c>
      <c r="D835" s="17">
        <v>25308</v>
      </c>
      <c r="E835" s="7" t="s">
        <v>7</v>
      </c>
      <c r="F835" s="7" t="s">
        <v>78</v>
      </c>
      <c r="G835" s="7" t="s">
        <v>199</v>
      </c>
      <c r="H835" s="7" t="s">
        <v>35</v>
      </c>
      <c r="I835" s="8">
        <v>306572</v>
      </c>
      <c r="J835" s="7" t="s">
        <v>508</v>
      </c>
      <c r="K835" s="20">
        <v>8</v>
      </c>
      <c r="L835" s="20">
        <v>1</v>
      </c>
      <c r="M835" s="20">
        <v>6</v>
      </c>
      <c r="N835" s="8" t="s">
        <v>189</v>
      </c>
      <c r="O835" s="18" t="s">
        <v>189</v>
      </c>
      <c r="P835" s="164">
        <f t="shared" si="1"/>
        <v>9</v>
      </c>
      <c r="Q835" s="8"/>
    </row>
    <row r="836" spans="1:17" x14ac:dyDescent="0.25">
      <c r="A836" s="1"/>
      <c r="B836" s="1"/>
      <c r="C836" s="7" t="s">
        <v>497</v>
      </c>
      <c r="D836" s="17">
        <v>24744</v>
      </c>
      <c r="E836" s="7" t="s">
        <v>7</v>
      </c>
      <c r="F836" s="7" t="s">
        <v>78</v>
      </c>
      <c r="G836" s="7" t="s">
        <v>40</v>
      </c>
      <c r="H836" s="7" t="s">
        <v>35</v>
      </c>
      <c r="I836" s="8">
        <v>971841</v>
      </c>
      <c r="J836" s="7" t="s">
        <v>457</v>
      </c>
      <c r="K836" s="20">
        <v>24</v>
      </c>
      <c r="L836" s="20">
        <v>3</v>
      </c>
      <c r="M836" s="20">
        <v>3</v>
      </c>
      <c r="N836" s="8" t="s">
        <v>361</v>
      </c>
      <c r="O836" s="18" t="s">
        <v>191</v>
      </c>
      <c r="P836" s="164">
        <f t="shared" si="1"/>
        <v>9</v>
      </c>
      <c r="Q836" s="8"/>
    </row>
    <row r="837" spans="1:17" x14ac:dyDescent="0.25">
      <c r="A837" s="1"/>
      <c r="B837" s="1"/>
      <c r="C837" s="7" t="s">
        <v>497</v>
      </c>
      <c r="D837" s="17">
        <v>24621</v>
      </c>
      <c r="E837" s="7" t="s">
        <v>7</v>
      </c>
      <c r="F837" s="7" t="s">
        <v>78</v>
      </c>
      <c r="G837" s="7" t="s">
        <v>317</v>
      </c>
      <c r="H837" s="7" t="s">
        <v>35</v>
      </c>
      <c r="I837" s="8">
        <v>245434</v>
      </c>
      <c r="J837" s="7" t="s">
        <v>500</v>
      </c>
      <c r="K837" s="20">
        <v>16</v>
      </c>
      <c r="L837" s="20">
        <v>2</v>
      </c>
      <c r="M837" s="20">
        <v>3</v>
      </c>
      <c r="N837" s="8" t="s">
        <v>192</v>
      </c>
      <c r="O837" s="18" t="s">
        <v>193</v>
      </c>
      <c r="P837" s="164">
        <f t="shared" si="1"/>
        <v>9</v>
      </c>
      <c r="Q837" s="8"/>
    </row>
    <row r="838" spans="1:17" x14ac:dyDescent="0.25">
      <c r="A838" s="1"/>
      <c r="B838" s="1"/>
      <c r="C838" s="7" t="s">
        <v>497</v>
      </c>
      <c r="D838" s="17">
        <v>24531</v>
      </c>
      <c r="E838" s="7" t="s">
        <v>7</v>
      </c>
      <c r="F838" s="7" t="s">
        <v>78</v>
      </c>
      <c r="G838" s="7" t="s">
        <v>89</v>
      </c>
      <c r="H838" s="7" t="s">
        <v>35</v>
      </c>
      <c r="I838" s="8">
        <v>245435</v>
      </c>
      <c r="J838" s="7" t="s">
        <v>485</v>
      </c>
      <c r="K838" s="20">
        <v>16</v>
      </c>
      <c r="L838" s="20">
        <v>2</v>
      </c>
      <c r="M838" s="20">
        <v>3</v>
      </c>
      <c r="N838" s="8" t="s">
        <v>192</v>
      </c>
      <c r="O838" s="18" t="s">
        <v>193</v>
      </c>
      <c r="P838" s="164">
        <f t="shared" si="1"/>
        <v>9</v>
      </c>
      <c r="Q838" s="8"/>
    </row>
    <row r="839" spans="1:17" x14ac:dyDescent="0.25">
      <c r="A839" s="1"/>
      <c r="B839" s="1"/>
      <c r="C839" s="7" t="s">
        <v>497</v>
      </c>
      <c r="D839" s="17">
        <v>24622</v>
      </c>
      <c r="E839" s="7" t="s">
        <v>7</v>
      </c>
      <c r="F839" s="7" t="s">
        <v>78</v>
      </c>
      <c r="G839" s="7" t="s">
        <v>317</v>
      </c>
      <c r="H839" s="7" t="s">
        <v>35</v>
      </c>
      <c r="I839" s="8">
        <v>245434</v>
      </c>
      <c r="J839" s="7" t="s">
        <v>500</v>
      </c>
      <c r="K839" s="20">
        <v>16</v>
      </c>
      <c r="L839" s="20">
        <v>2</v>
      </c>
      <c r="M839" s="20">
        <v>3</v>
      </c>
      <c r="N839" s="8" t="s">
        <v>195</v>
      </c>
      <c r="O839" s="18" t="s">
        <v>196</v>
      </c>
      <c r="P839" s="164">
        <f t="shared" si="1"/>
        <v>9</v>
      </c>
      <c r="Q839" s="8"/>
    </row>
    <row r="840" spans="1:17" x14ac:dyDescent="0.25">
      <c r="A840" s="1"/>
      <c r="B840" s="1"/>
      <c r="C840" s="7" t="s">
        <v>497</v>
      </c>
      <c r="D840" s="17">
        <v>24651</v>
      </c>
      <c r="E840" s="7" t="s">
        <v>7</v>
      </c>
      <c r="F840" s="7" t="s">
        <v>78</v>
      </c>
      <c r="G840" s="7" t="s">
        <v>68</v>
      </c>
      <c r="H840" s="7" t="s">
        <v>35</v>
      </c>
      <c r="I840" s="8">
        <v>322115</v>
      </c>
      <c r="J840" s="7" t="s">
        <v>501</v>
      </c>
      <c r="K840" s="20">
        <v>24</v>
      </c>
      <c r="L840" s="20">
        <v>3</v>
      </c>
      <c r="M840" s="20">
        <v>3</v>
      </c>
      <c r="N840" s="8" t="s">
        <v>195</v>
      </c>
      <c r="O840" s="18" t="s">
        <v>197</v>
      </c>
      <c r="P840" s="164">
        <f t="shared" si="1"/>
        <v>9</v>
      </c>
      <c r="Q840" s="8"/>
    </row>
    <row r="841" spans="1:17" x14ac:dyDescent="0.25">
      <c r="A841" s="1"/>
      <c r="B841" s="1"/>
      <c r="C841" s="7" t="s">
        <v>497</v>
      </c>
      <c r="D841" s="17">
        <v>26147</v>
      </c>
      <c r="E841" s="7" t="s">
        <v>7</v>
      </c>
      <c r="F841" s="7" t="s">
        <v>78</v>
      </c>
      <c r="G841" s="7" t="s">
        <v>279</v>
      </c>
      <c r="H841" s="7" t="s">
        <v>35</v>
      </c>
      <c r="I841" s="8">
        <v>445938</v>
      </c>
      <c r="J841" s="7" t="s">
        <v>507</v>
      </c>
      <c r="K841" s="20">
        <v>16</v>
      </c>
      <c r="L841" s="20">
        <v>2</v>
      </c>
      <c r="M841" s="20">
        <v>1</v>
      </c>
      <c r="N841" s="8" t="s">
        <v>196</v>
      </c>
      <c r="O841" s="18" t="s">
        <v>197</v>
      </c>
      <c r="P841" s="164">
        <f t="shared" si="1"/>
        <v>9</v>
      </c>
      <c r="Q841" s="8"/>
    </row>
    <row r="842" spans="1:17" x14ac:dyDescent="0.25">
      <c r="A842" s="1"/>
      <c r="B842" s="1"/>
      <c r="C842" s="7" t="s">
        <v>497</v>
      </c>
      <c r="D842" s="17">
        <v>24532</v>
      </c>
      <c r="E842" s="7" t="s">
        <v>7</v>
      </c>
      <c r="F842" s="7" t="s">
        <v>78</v>
      </c>
      <c r="G842" s="7" t="s">
        <v>89</v>
      </c>
      <c r="H842" s="7" t="s">
        <v>35</v>
      </c>
      <c r="I842" s="8">
        <v>245435</v>
      </c>
      <c r="J842" s="7" t="s">
        <v>485</v>
      </c>
      <c r="K842" s="20">
        <v>16</v>
      </c>
      <c r="L842" s="20">
        <v>2</v>
      </c>
      <c r="M842" s="20">
        <v>3</v>
      </c>
      <c r="N842" s="8" t="s">
        <v>197</v>
      </c>
      <c r="O842" s="18" t="s">
        <v>198</v>
      </c>
      <c r="P842" s="164">
        <f t="shared" si="1"/>
        <v>9</v>
      </c>
      <c r="Q842" s="8"/>
    </row>
    <row r="843" spans="1:17" x14ac:dyDescent="0.25">
      <c r="A843" s="1"/>
      <c r="B843" s="1"/>
      <c r="C843" s="7" t="s">
        <v>497</v>
      </c>
      <c r="D843" s="17">
        <v>25310</v>
      </c>
      <c r="E843" s="7" t="s">
        <v>7</v>
      </c>
      <c r="F843" s="7" t="s">
        <v>78</v>
      </c>
      <c r="G843" s="7" t="s">
        <v>199</v>
      </c>
      <c r="H843" s="7" t="s">
        <v>35</v>
      </c>
      <c r="I843" s="8">
        <v>245434</v>
      </c>
      <c r="J843" s="7" t="s">
        <v>500</v>
      </c>
      <c r="K843" s="20">
        <v>8</v>
      </c>
      <c r="L843" s="20">
        <v>1</v>
      </c>
      <c r="M843" s="20">
        <v>6</v>
      </c>
      <c r="N843" s="8" t="s">
        <v>200</v>
      </c>
      <c r="O843" s="18" t="s">
        <v>200</v>
      </c>
      <c r="P843" s="164">
        <f t="shared" si="1"/>
        <v>10</v>
      </c>
      <c r="Q843" s="8"/>
    </row>
    <row r="844" spans="1:17" x14ac:dyDescent="0.25">
      <c r="A844" s="1"/>
      <c r="B844" s="1"/>
      <c r="C844" s="7" t="s">
        <v>497</v>
      </c>
      <c r="D844" s="17">
        <v>24623</v>
      </c>
      <c r="E844" s="7" t="s">
        <v>7</v>
      </c>
      <c r="F844" s="7" t="s">
        <v>78</v>
      </c>
      <c r="G844" s="7" t="s">
        <v>317</v>
      </c>
      <c r="H844" s="7" t="s">
        <v>35</v>
      </c>
      <c r="I844" s="8">
        <v>245434</v>
      </c>
      <c r="J844" s="7" t="s">
        <v>500</v>
      </c>
      <c r="K844" s="20">
        <v>16</v>
      </c>
      <c r="L844" s="20">
        <v>2</v>
      </c>
      <c r="M844" s="20">
        <v>3</v>
      </c>
      <c r="N844" s="8" t="s">
        <v>327</v>
      </c>
      <c r="O844" s="18" t="s">
        <v>203</v>
      </c>
      <c r="P844" s="164">
        <f t="shared" si="1"/>
        <v>10</v>
      </c>
      <c r="Q844" s="8"/>
    </row>
    <row r="845" spans="1:17" x14ac:dyDescent="0.25">
      <c r="A845" s="1"/>
      <c r="B845" s="1"/>
      <c r="C845" s="7" t="s">
        <v>497</v>
      </c>
      <c r="D845" s="17">
        <v>25311</v>
      </c>
      <c r="E845" s="7" t="s">
        <v>7</v>
      </c>
      <c r="F845" s="7" t="s">
        <v>78</v>
      </c>
      <c r="G845" s="7" t="s">
        <v>199</v>
      </c>
      <c r="H845" s="7" t="s">
        <v>35</v>
      </c>
      <c r="I845" s="8">
        <v>322115</v>
      </c>
      <c r="J845" s="7" t="s">
        <v>501</v>
      </c>
      <c r="K845" s="20">
        <v>8</v>
      </c>
      <c r="L845" s="20">
        <v>1</v>
      </c>
      <c r="M845" s="20">
        <v>6</v>
      </c>
      <c r="N845" s="8" t="s">
        <v>203</v>
      </c>
      <c r="O845" s="18" t="s">
        <v>203</v>
      </c>
      <c r="P845" s="164">
        <f t="shared" si="1"/>
        <v>10</v>
      </c>
      <c r="Q845" s="8"/>
    </row>
    <row r="846" spans="1:17" x14ac:dyDescent="0.25">
      <c r="A846" s="1"/>
      <c r="B846" s="1"/>
      <c r="C846" s="7" t="s">
        <v>497</v>
      </c>
      <c r="D846" s="17">
        <v>24879</v>
      </c>
      <c r="E846" s="7" t="s">
        <v>7</v>
      </c>
      <c r="F846" s="7" t="s">
        <v>78</v>
      </c>
      <c r="G846" s="7" t="s">
        <v>34</v>
      </c>
      <c r="H846" s="7" t="s">
        <v>35</v>
      </c>
      <c r="I846" s="8">
        <v>325029</v>
      </c>
      <c r="J846" s="7" t="s">
        <v>509</v>
      </c>
      <c r="K846" s="20">
        <v>8</v>
      </c>
      <c r="L846" s="20">
        <v>1</v>
      </c>
      <c r="M846" s="20">
        <v>10</v>
      </c>
      <c r="N846" s="8" t="s">
        <v>203</v>
      </c>
      <c r="O846" s="18" t="s">
        <v>203</v>
      </c>
      <c r="P846" s="164">
        <f t="shared" si="1"/>
        <v>10</v>
      </c>
      <c r="Q846" s="8"/>
    </row>
    <row r="847" spans="1:17" x14ac:dyDescent="0.25">
      <c r="A847" s="1"/>
      <c r="B847" s="1"/>
      <c r="C847" s="7" t="s">
        <v>497</v>
      </c>
      <c r="D847" s="17">
        <v>24745</v>
      </c>
      <c r="E847" s="7" t="s">
        <v>7</v>
      </c>
      <c r="F847" s="7" t="s">
        <v>78</v>
      </c>
      <c r="G847" s="7" t="s">
        <v>40</v>
      </c>
      <c r="H847" s="7" t="s">
        <v>35</v>
      </c>
      <c r="I847" s="8">
        <v>322115</v>
      </c>
      <c r="J847" s="7" t="s">
        <v>501</v>
      </c>
      <c r="K847" s="20">
        <v>24</v>
      </c>
      <c r="L847" s="20">
        <v>3</v>
      </c>
      <c r="M847" s="20">
        <v>3</v>
      </c>
      <c r="N847" s="8" t="s">
        <v>204</v>
      </c>
      <c r="O847" s="18" t="s">
        <v>206</v>
      </c>
      <c r="P847" s="164">
        <f t="shared" si="1"/>
        <v>10</v>
      </c>
      <c r="Q847" s="8"/>
    </row>
    <row r="848" spans="1:17" x14ac:dyDescent="0.25">
      <c r="A848" s="1"/>
      <c r="B848" s="1"/>
      <c r="C848" s="7" t="s">
        <v>497</v>
      </c>
      <c r="D848" s="17">
        <v>25312</v>
      </c>
      <c r="E848" s="7" t="s">
        <v>7</v>
      </c>
      <c r="F848" s="7" t="s">
        <v>78</v>
      </c>
      <c r="G848" s="7" t="s">
        <v>199</v>
      </c>
      <c r="H848" s="7" t="s">
        <v>35</v>
      </c>
      <c r="I848" s="8">
        <v>245434</v>
      </c>
      <c r="J848" s="7" t="s">
        <v>500</v>
      </c>
      <c r="K848" s="20">
        <v>8</v>
      </c>
      <c r="L848" s="20">
        <v>1</v>
      </c>
      <c r="M848" s="20">
        <v>5</v>
      </c>
      <c r="N848" s="8" t="s">
        <v>208</v>
      </c>
      <c r="O848" s="18" t="s">
        <v>208</v>
      </c>
      <c r="P848" s="164">
        <f t="shared" si="1"/>
        <v>10</v>
      </c>
      <c r="Q848" s="8"/>
    </row>
    <row r="849" spans="1:17" x14ac:dyDescent="0.25">
      <c r="A849" s="1"/>
      <c r="B849" s="1"/>
      <c r="C849" s="7" t="s">
        <v>497</v>
      </c>
      <c r="D849" s="17">
        <v>24534</v>
      </c>
      <c r="E849" s="7" t="s">
        <v>7</v>
      </c>
      <c r="F849" s="7" t="s">
        <v>78</v>
      </c>
      <c r="G849" s="7" t="s">
        <v>89</v>
      </c>
      <c r="H849" s="7" t="s">
        <v>35</v>
      </c>
      <c r="I849" s="8">
        <v>245435</v>
      </c>
      <c r="J849" s="7" t="s">
        <v>485</v>
      </c>
      <c r="K849" s="20">
        <v>16</v>
      </c>
      <c r="L849" s="20">
        <v>2</v>
      </c>
      <c r="M849" s="20">
        <v>3</v>
      </c>
      <c r="N849" s="8" t="s">
        <v>210</v>
      </c>
      <c r="O849" s="18" t="s">
        <v>211</v>
      </c>
      <c r="P849" s="164">
        <f t="shared" si="1"/>
        <v>10</v>
      </c>
      <c r="Q849" s="8"/>
    </row>
    <row r="850" spans="1:17" x14ac:dyDescent="0.25">
      <c r="A850" s="1"/>
      <c r="B850" s="1"/>
      <c r="C850" s="7" t="s">
        <v>497</v>
      </c>
      <c r="D850" s="17">
        <v>24653</v>
      </c>
      <c r="E850" s="7" t="s">
        <v>7</v>
      </c>
      <c r="F850" s="7" t="s">
        <v>78</v>
      </c>
      <c r="G850" s="7" t="s">
        <v>68</v>
      </c>
      <c r="H850" s="7" t="s">
        <v>35</v>
      </c>
      <c r="I850" s="8">
        <v>322115</v>
      </c>
      <c r="J850" s="7" t="s">
        <v>501</v>
      </c>
      <c r="K850" s="20">
        <v>24</v>
      </c>
      <c r="L850" s="20">
        <v>3</v>
      </c>
      <c r="M850" s="20">
        <v>3</v>
      </c>
      <c r="N850" s="8" t="s">
        <v>209</v>
      </c>
      <c r="O850" s="18" t="s">
        <v>211</v>
      </c>
      <c r="P850" s="164">
        <f t="shared" si="1"/>
        <v>10</v>
      </c>
      <c r="Q850" s="8"/>
    </row>
    <row r="851" spans="1:17" x14ac:dyDescent="0.25">
      <c r="A851" s="1"/>
      <c r="B851" s="1"/>
      <c r="C851" s="7" t="s">
        <v>497</v>
      </c>
      <c r="D851" s="17">
        <v>29390</v>
      </c>
      <c r="E851" s="7" t="s">
        <v>10</v>
      </c>
      <c r="F851" s="7" t="s">
        <v>74</v>
      </c>
      <c r="G851" s="7" t="s">
        <v>65</v>
      </c>
      <c r="H851" s="7" t="s">
        <v>35</v>
      </c>
      <c r="I851" s="8">
        <v>370733</v>
      </c>
      <c r="J851" s="7" t="s">
        <v>499</v>
      </c>
      <c r="K851" s="20">
        <v>24</v>
      </c>
      <c r="L851" s="20">
        <v>3</v>
      </c>
      <c r="M851" s="20">
        <v>4</v>
      </c>
      <c r="N851" s="8" t="s">
        <v>210</v>
      </c>
      <c r="O851" s="18" t="s">
        <v>212</v>
      </c>
      <c r="P851" s="164">
        <f t="shared" si="1"/>
        <v>10</v>
      </c>
      <c r="Q851" s="8"/>
    </row>
    <row r="852" spans="1:17" x14ac:dyDescent="0.25">
      <c r="A852" s="1"/>
      <c r="B852" s="1"/>
      <c r="C852" s="7" t="s">
        <v>497</v>
      </c>
      <c r="D852" s="17">
        <v>24654</v>
      </c>
      <c r="E852" s="7" t="s">
        <v>7</v>
      </c>
      <c r="F852" s="7" t="s">
        <v>78</v>
      </c>
      <c r="G852" s="7" t="s">
        <v>68</v>
      </c>
      <c r="H852" s="7" t="s">
        <v>35</v>
      </c>
      <c r="I852" s="8">
        <v>245435</v>
      </c>
      <c r="J852" s="7" t="s">
        <v>485</v>
      </c>
      <c r="K852" s="20">
        <v>24</v>
      </c>
      <c r="L852" s="20">
        <v>3</v>
      </c>
      <c r="M852" s="20">
        <v>3</v>
      </c>
      <c r="N852" s="8" t="s">
        <v>333</v>
      </c>
      <c r="O852" s="18" t="s">
        <v>215</v>
      </c>
      <c r="P852" s="164">
        <f t="shared" si="1"/>
        <v>10</v>
      </c>
      <c r="Q852" s="8"/>
    </row>
    <row r="853" spans="1:17" x14ac:dyDescent="0.25">
      <c r="A853" s="1"/>
      <c r="B853" s="1"/>
      <c r="C853" s="7" t="s">
        <v>497</v>
      </c>
      <c r="D853" s="17">
        <v>24746</v>
      </c>
      <c r="E853" s="7" t="s">
        <v>7</v>
      </c>
      <c r="F853" s="7" t="s">
        <v>78</v>
      </c>
      <c r="G853" s="7" t="s">
        <v>40</v>
      </c>
      <c r="H853" s="7" t="s">
        <v>35</v>
      </c>
      <c r="I853" s="8">
        <v>971841</v>
      </c>
      <c r="J853" s="7" t="s">
        <v>457</v>
      </c>
      <c r="K853" s="20">
        <v>24</v>
      </c>
      <c r="L853" s="20">
        <v>3</v>
      </c>
      <c r="M853" s="20">
        <v>3</v>
      </c>
      <c r="N853" s="8" t="s">
        <v>333</v>
      </c>
      <c r="O853" s="18" t="s">
        <v>215</v>
      </c>
      <c r="P853" s="164">
        <f t="shared" si="1"/>
        <v>10</v>
      </c>
      <c r="Q853" s="8"/>
    </row>
    <row r="854" spans="1:17" x14ac:dyDescent="0.25">
      <c r="A854" s="1"/>
      <c r="B854" s="1"/>
      <c r="C854" s="7" t="s">
        <v>497</v>
      </c>
      <c r="D854" s="17">
        <v>24624</v>
      </c>
      <c r="E854" s="7" t="s">
        <v>7</v>
      </c>
      <c r="F854" s="7" t="s">
        <v>78</v>
      </c>
      <c r="G854" s="7" t="s">
        <v>317</v>
      </c>
      <c r="H854" s="7" t="s">
        <v>35</v>
      </c>
      <c r="I854" s="8">
        <v>245434</v>
      </c>
      <c r="J854" s="7" t="s">
        <v>500</v>
      </c>
      <c r="K854" s="20">
        <v>16</v>
      </c>
      <c r="L854" s="20">
        <v>2</v>
      </c>
      <c r="M854" s="20">
        <v>3</v>
      </c>
      <c r="N854" s="8" t="s">
        <v>216</v>
      </c>
      <c r="O854" s="18" t="s">
        <v>218</v>
      </c>
      <c r="P854" s="164">
        <f t="shared" si="1"/>
        <v>10</v>
      </c>
      <c r="Q854" s="8"/>
    </row>
    <row r="855" spans="1:17" x14ac:dyDescent="0.25">
      <c r="A855" s="1"/>
      <c r="B855" s="1"/>
      <c r="C855" s="7" t="s">
        <v>497</v>
      </c>
      <c r="D855" s="17">
        <v>24888</v>
      </c>
      <c r="E855" s="7" t="s">
        <v>7</v>
      </c>
      <c r="F855" s="7" t="s">
        <v>78</v>
      </c>
      <c r="G855" s="7" t="s">
        <v>235</v>
      </c>
      <c r="H855" s="7" t="s">
        <v>35</v>
      </c>
      <c r="I855" s="8">
        <v>245435</v>
      </c>
      <c r="J855" s="7" t="s">
        <v>485</v>
      </c>
      <c r="K855" s="20">
        <v>8</v>
      </c>
      <c r="L855" s="20">
        <v>1</v>
      </c>
      <c r="M855" s="20">
        <v>4</v>
      </c>
      <c r="N855" s="8" t="s">
        <v>218</v>
      </c>
      <c r="O855" s="18" t="s">
        <v>218</v>
      </c>
      <c r="P855" s="164">
        <f t="shared" si="1"/>
        <v>10</v>
      </c>
      <c r="Q855" s="8"/>
    </row>
    <row r="856" spans="1:17" x14ac:dyDescent="0.25">
      <c r="A856" s="1"/>
      <c r="B856" s="1"/>
      <c r="C856" s="7" t="s">
        <v>497</v>
      </c>
      <c r="D856" s="17">
        <v>24655</v>
      </c>
      <c r="E856" s="7" t="s">
        <v>7</v>
      </c>
      <c r="F856" s="7" t="s">
        <v>78</v>
      </c>
      <c r="G856" s="7" t="s">
        <v>68</v>
      </c>
      <c r="H856" s="7" t="s">
        <v>35</v>
      </c>
      <c r="I856" s="8">
        <v>245435</v>
      </c>
      <c r="J856" s="7" t="s">
        <v>485</v>
      </c>
      <c r="K856" s="20">
        <v>24</v>
      </c>
      <c r="L856" s="20">
        <v>3</v>
      </c>
      <c r="M856" s="20">
        <v>3</v>
      </c>
      <c r="N856" s="8" t="s">
        <v>221</v>
      </c>
      <c r="O856" s="18" t="s">
        <v>224</v>
      </c>
      <c r="P856" s="164">
        <f t="shared" si="1"/>
        <v>10</v>
      </c>
      <c r="Q856" s="8"/>
    </row>
    <row r="857" spans="1:17" x14ac:dyDescent="0.25">
      <c r="A857" s="1"/>
      <c r="B857" s="1"/>
      <c r="C857" s="7" t="s">
        <v>497</v>
      </c>
      <c r="D857" s="17">
        <v>24851</v>
      </c>
      <c r="E857" s="7" t="s">
        <v>7</v>
      </c>
      <c r="F857" s="7" t="s">
        <v>78</v>
      </c>
      <c r="G857" s="7" t="s">
        <v>84</v>
      </c>
      <c r="H857" s="7" t="s">
        <v>35</v>
      </c>
      <c r="I857" s="8">
        <v>322115</v>
      </c>
      <c r="J857" s="7" t="s">
        <v>501</v>
      </c>
      <c r="K857" s="20">
        <v>16</v>
      </c>
      <c r="L857" s="20">
        <v>2</v>
      </c>
      <c r="M857" s="20">
        <v>6</v>
      </c>
      <c r="N857" s="8" t="s">
        <v>222</v>
      </c>
      <c r="O857" s="18" t="s">
        <v>224</v>
      </c>
      <c r="P857" s="164">
        <f t="shared" si="1"/>
        <v>10</v>
      </c>
      <c r="Q857" s="8"/>
    </row>
    <row r="858" spans="1:17" x14ac:dyDescent="0.25">
      <c r="A858" s="1"/>
      <c r="B858" s="1"/>
      <c r="C858" s="7" t="s">
        <v>497</v>
      </c>
      <c r="D858" s="17">
        <v>24626</v>
      </c>
      <c r="E858" s="7" t="s">
        <v>7</v>
      </c>
      <c r="F858" s="7" t="s">
        <v>78</v>
      </c>
      <c r="G858" s="7" t="s">
        <v>317</v>
      </c>
      <c r="H858" s="7" t="s">
        <v>35</v>
      </c>
      <c r="I858" s="8">
        <v>245434</v>
      </c>
      <c r="J858" s="7" t="s">
        <v>500</v>
      </c>
      <c r="K858" s="20">
        <v>16</v>
      </c>
      <c r="L858" s="20">
        <v>2</v>
      </c>
      <c r="M858" s="20">
        <v>3</v>
      </c>
      <c r="N858" s="8" t="s">
        <v>365</v>
      </c>
      <c r="O858" s="18" t="s">
        <v>228</v>
      </c>
      <c r="P858" s="164">
        <f t="shared" si="1"/>
        <v>11</v>
      </c>
      <c r="Q858" s="8"/>
    </row>
    <row r="859" spans="1:17" x14ac:dyDescent="0.25">
      <c r="A859" s="1"/>
      <c r="B859" s="1"/>
      <c r="C859" s="7" t="s">
        <v>497</v>
      </c>
      <c r="D859" s="17">
        <v>24627</v>
      </c>
      <c r="E859" s="7" t="s">
        <v>7</v>
      </c>
      <c r="F859" s="7" t="s">
        <v>78</v>
      </c>
      <c r="G859" s="7" t="s">
        <v>317</v>
      </c>
      <c r="H859" s="7" t="s">
        <v>35</v>
      </c>
      <c r="I859" s="8">
        <v>373645</v>
      </c>
      <c r="J859" s="7" t="s">
        <v>503</v>
      </c>
      <c r="K859" s="20">
        <v>16</v>
      </c>
      <c r="L859" s="20">
        <v>2</v>
      </c>
      <c r="M859" s="20">
        <v>3</v>
      </c>
      <c r="N859" s="8" t="s">
        <v>232</v>
      </c>
      <c r="O859" s="18" t="s">
        <v>233</v>
      </c>
      <c r="P859" s="164">
        <f t="shared" si="1"/>
        <v>11</v>
      </c>
      <c r="Q859" s="8"/>
    </row>
    <row r="860" spans="1:17" x14ac:dyDescent="0.25">
      <c r="A860" s="1"/>
      <c r="B860" s="1"/>
      <c r="C860" s="7" t="s">
        <v>497</v>
      </c>
      <c r="D860" s="17">
        <v>24747</v>
      </c>
      <c r="E860" s="7" t="s">
        <v>7</v>
      </c>
      <c r="F860" s="7" t="s">
        <v>78</v>
      </c>
      <c r="G860" s="7" t="s">
        <v>40</v>
      </c>
      <c r="H860" s="7" t="s">
        <v>35</v>
      </c>
      <c r="I860" s="8">
        <v>971841</v>
      </c>
      <c r="J860" s="7" t="s">
        <v>457</v>
      </c>
      <c r="K860" s="20">
        <v>24</v>
      </c>
      <c r="L860" s="20">
        <v>3</v>
      </c>
      <c r="M860" s="20">
        <v>3</v>
      </c>
      <c r="N860" s="8" t="s">
        <v>366</v>
      </c>
      <c r="O860" s="18" t="s">
        <v>233</v>
      </c>
      <c r="P860" s="164">
        <f t="shared" si="1"/>
        <v>11</v>
      </c>
      <c r="Q860" s="8"/>
    </row>
    <row r="861" spans="1:17" x14ac:dyDescent="0.25">
      <c r="A861" s="1"/>
      <c r="B861" s="1"/>
      <c r="C861" s="7" t="s">
        <v>497</v>
      </c>
      <c r="D861" s="17">
        <v>24657</v>
      </c>
      <c r="E861" s="7" t="s">
        <v>7</v>
      </c>
      <c r="F861" s="7" t="s">
        <v>78</v>
      </c>
      <c r="G861" s="7" t="s">
        <v>68</v>
      </c>
      <c r="H861" s="7" t="s">
        <v>35</v>
      </c>
      <c r="I861" s="8">
        <v>245435</v>
      </c>
      <c r="J861" s="7" t="s">
        <v>485</v>
      </c>
      <c r="K861" s="20">
        <v>24</v>
      </c>
      <c r="L861" s="20">
        <v>3</v>
      </c>
      <c r="M861" s="20">
        <v>4</v>
      </c>
      <c r="N861" s="8" t="s">
        <v>238</v>
      </c>
      <c r="O861" s="18" t="s">
        <v>240</v>
      </c>
      <c r="P861" s="164">
        <f t="shared" si="1"/>
        <v>11</v>
      </c>
      <c r="Q861" s="8"/>
    </row>
    <row r="862" spans="1:17" x14ac:dyDescent="0.25">
      <c r="A862" s="1"/>
      <c r="B862" s="1"/>
      <c r="C862" s="7" t="s">
        <v>497</v>
      </c>
      <c r="D862" s="17">
        <v>24629</v>
      </c>
      <c r="E862" s="7" t="s">
        <v>7</v>
      </c>
      <c r="F862" s="7" t="s">
        <v>78</v>
      </c>
      <c r="G862" s="7" t="s">
        <v>317</v>
      </c>
      <c r="H862" s="7" t="s">
        <v>35</v>
      </c>
      <c r="I862" s="8">
        <v>245434</v>
      </c>
      <c r="J862" s="7" t="s">
        <v>500</v>
      </c>
      <c r="K862" s="20">
        <v>16</v>
      </c>
      <c r="L862" s="20">
        <v>2</v>
      </c>
      <c r="M862" s="20">
        <v>3</v>
      </c>
      <c r="N862" s="8" t="s">
        <v>242</v>
      </c>
      <c r="O862" s="18" t="s">
        <v>244</v>
      </c>
      <c r="P862" s="164">
        <f t="shared" si="1"/>
        <v>11</v>
      </c>
      <c r="Q862" s="8"/>
    </row>
    <row r="863" spans="1:17" x14ac:dyDescent="0.25">
      <c r="A863" s="1"/>
      <c r="B863" s="1"/>
      <c r="C863" s="7" t="s">
        <v>497</v>
      </c>
      <c r="D863" s="17">
        <v>24630</v>
      </c>
      <c r="E863" s="7" t="s">
        <v>7</v>
      </c>
      <c r="F863" s="7" t="s">
        <v>78</v>
      </c>
      <c r="G863" s="7" t="s">
        <v>317</v>
      </c>
      <c r="H863" s="7" t="s">
        <v>35</v>
      </c>
      <c r="I863" s="8">
        <v>245434</v>
      </c>
      <c r="J863" s="7" t="s">
        <v>500</v>
      </c>
      <c r="K863" s="20">
        <v>16</v>
      </c>
      <c r="L863" s="20">
        <v>2</v>
      </c>
      <c r="M863" s="20">
        <v>3</v>
      </c>
      <c r="N863" s="8" t="s">
        <v>384</v>
      </c>
      <c r="O863" s="18" t="s">
        <v>246</v>
      </c>
      <c r="P863" s="164">
        <f t="shared" si="1"/>
        <v>11</v>
      </c>
      <c r="Q863" s="8"/>
    </row>
    <row r="864" spans="1:17" x14ac:dyDescent="0.25">
      <c r="A864" s="1"/>
      <c r="B864" s="1"/>
      <c r="C864" s="7" t="s">
        <v>497</v>
      </c>
      <c r="D864" s="17">
        <v>24632</v>
      </c>
      <c r="E864" s="7" t="s">
        <v>7</v>
      </c>
      <c r="F864" s="7" t="s">
        <v>78</v>
      </c>
      <c r="G864" s="7" t="s">
        <v>317</v>
      </c>
      <c r="H864" s="7" t="s">
        <v>35</v>
      </c>
      <c r="I864" s="8">
        <v>245434</v>
      </c>
      <c r="J864" s="7" t="s">
        <v>500</v>
      </c>
      <c r="K864" s="20">
        <v>16</v>
      </c>
      <c r="L864" s="20">
        <v>2</v>
      </c>
      <c r="M864" s="20">
        <v>2</v>
      </c>
      <c r="N864" s="8" t="s">
        <v>441</v>
      </c>
      <c r="O864" s="18" t="s">
        <v>510</v>
      </c>
      <c r="P864" s="164">
        <f t="shared" si="1"/>
        <v>12</v>
      </c>
      <c r="Q864" s="8"/>
    </row>
    <row r="865" spans="1:17" x14ac:dyDescent="0.25">
      <c r="A865" s="1"/>
      <c r="B865" s="1"/>
      <c r="C865" s="132" t="s">
        <v>497</v>
      </c>
      <c r="D865" s="133">
        <v>30518</v>
      </c>
      <c r="E865" s="132" t="s">
        <v>10</v>
      </c>
      <c r="F865" s="132" t="s">
        <v>511</v>
      </c>
      <c r="G865" s="132" t="s">
        <v>65</v>
      </c>
      <c r="H865" s="132" t="s">
        <v>35</v>
      </c>
      <c r="I865" s="134">
        <v>245435</v>
      </c>
      <c r="J865" s="132" t="s">
        <v>485</v>
      </c>
      <c r="K865" s="157">
        <v>24</v>
      </c>
      <c r="L865" s="157">
        <v>3</v>
      </c>
      <c r="M865" s="157">
        <v>12</v>
      </c>
      <c r="N865" s="134" t="s">
        <v>59</v>
      </c>
      <c r="O865" s="136">
        <v>44303</v>
      </c>
      <c r="P865" s="164">
        <f t="shared" si="1"/>
        <v>4</v>
      </c>
      <c r="Q865" s="8"/>
    </row>
    <row r="866" spans="1:17" x14ac:dyDescent="0.25">
      <c r="A866" s="1"/>
      <c r="B866" s="1"/>
      <c r="C866" s="7" t="s">
        <v>497</v>
      </c>
      <c r="D866" s="17">
        <v>24884</v>
      </c>
      <c r="E866" s="7" t="s">
        <v>7</v>
      </c>
      <c r="F866" s="7" t="s">
        <v>78</v>
      </c>
      <c r="G866" s="7" t="s">
        <v>34</v>
      </c>
      <c r="H866" s="7" t="s">
        <v>35</v>
      </c>
      <c r="I866" s="8">
        <v>245434</v>
      </c>
      <c r="J866" s="7" t="s">
        <v>500</v>
      </c>
      <c r="K866" s="20">
        <v>8</v>
      </c>
      <c r="L866" s="20">
        <v>1</v>
      </c>
      <c r="M866" s="20">
        <v>10</v>
      </c>
      <c r="N866" s="8" t="s">
        <v>275</v>
      </c>
      <c r="O866" s="18">
        <v>44322</v>
      </c>
      <c r="P866" s="164">
        <f t="shared" si="1"/>
        <v>5</v>
      </c>
      <c r="Q866" s="8"/>
    </row>
    <row r="867" spans="1:17" x14ac:dyDescent="0.25">
      <c r="A867" s="1"/>
      <c r="B867" s="1"/>
      <c r="C867" s="7" t="s">
        <v>497</v>
      </c>
      <c r="D867" s="17">
        <v>24886</v>
      </c>
      <c r="E867" s="7" t="s">
        <v>7</v>
      </c>
      <c r="F867" s="7" t="s">
        <v>78</v>
      </c>
      <c r="G867" s="7" t="s">
        <v>34</v>
      </c>
      <c r="H867" s="7" t="s">
        <v>35</v>
      </c>
      <c r="I867" s="8">
        <v>245434</v>
      </c>
      <c r="J867" s="7" t="s">
        <v>500</v>
      </c>
      <c r="K867" s="20">
        <v>8</v>
      </c>
      <c r="L867" s="20">
        <v>1</v>
      </c>
      <c r="M867" s="20">
        <v>8</v>
      </c>
      <c r="N867" s="8" t="s">
        <v>380</v>
      </c>
      <c r="O867" s="18" t="s">
        <v>380</v>
      </c>
      <c r="P867" s="164">
        <f t="shared" si="1"/>
        <v>5</v>
      </c>
      <c r="Q867" s="8"/>
    </row>
    <row r="868" spans="1:17" x14ac:dyDescent="0.25">
      <c r="A868" s="1"/>
      <c r="B868" s="1"/>
      <c r="C868" s="7" t="s">
        <v>497</v>
      </c>
      <c r="D868" s="17">
        <v>31049</v>
      </c>
      <c r="E868" s="7" t="s">
        <v>10</v>
      </c>
      <c r="F868" s="7" t="s">
        <v>498</v>
      </c>
      <c r="G868" s="7" t="s">
        <v>346</v>
      </c>
      <c r="H868" s="7" t="s">
        <v>35</v>
      </c>
      <c r="I868" s="8">
        <v>370733</v>
      </c>
      <c r="J868" s="7" t="s">
        <v>499</v>
      </c>
      <c r="K868" s="20">
        <v>16</v>
      </c>
      <c r="L868" s="20">
        <v>2</v>
      </c>
      <c r="M868" s="20">
        <v>10</v>
      </c>
      <c r="N868" s="8" t="s">
        <v>284</v>
      </c>
      <c r="O868" s="18" t="s">
        <v>90</v>
      </c>
      <c r="P868" s="164">
        <f t="shared" si="1"/>
        <v>5</v>
      </c>
      <c r="Q868" s="8"/>
    </row>
    <row r="869" spans="1:17" x14ac:dyDescent="0.25">
      <c r="A869" s="1"/>
      <c r="B869" s="1"/>
      <c r="C869" s="7" t="s">
        <v>497</v>
      </c>
      <c r="D869" s="17">
        <v>31205</v>
      </c>
      <c r="E869" s="7" t="s">
        <v>10</v>
      </c>
      <c r="F869" s="7" t="s">
        <v>498</v>
      </c>
      <c r="G869" s="7" t="s">
        <v>65</v>
      </c>
      <c r="H869" s="7" t="s">
        <v>35</v>
      </c>
      <c r="I869" s="8">
        <v>245435</v>
      </c>
      <c r="J869" s="7" t="s">
        <v>485</v>
      </c>
      <c r="K869" s="20">
        <v>24</v>
      </c>
      <c r="L869" s="20">
        <v>3</v>
      </c>
      <c r="M869" s="20">
        <v>10</v>
      </c>
      <c r="N869" s="8" t="s">
        <v>90</v>
      </c>
      <c r="O869" s="18" t="s">
        <v>512</v>
      </c>
      <c r="P869" s="164">
        <f t="shared" si="1"/>
        <v>5</v>
      </c>
      <c r="Q869" s="8"/>
    </row>
    <row r="870" spans="1:17" x14ac:dyDescent="0.25">
      <c r="A870" s="1"/>
      <c r="B870" s="1"/>
      <c r="C870" s="7" t="s">
        <v>497</v>
      </c>
      <c r="D870" s="17">
        <v>24874</v>
      </c>
      <c r="E870" s="7" t="s">
        <v>7</v>
      </c>
      <c r="F870" s="7" t="s">
        <v>78</v>
      </c>
      <c r="G870" s="7" t="s">
        <v>148</v>
      </c>
      <c r="H870" s="7" t="s">
        <v>35</v>
      </c>
      <c r="I870" s="8">
        <v>245435</v>
      </c>
      <c r="J870" s="7" t="s">
        <v>485</v>
      </c>
      <c r="K870" s="20">
        <v>8</v>
      </c>
      <c r="L870" s="20">
        <v>1</v>
      </c>
      <c r="M870" s="20">
        <v>11</v>
      </c>
      <c r="N870" s="8" t="s">
        <v>426</v>
      </c>
      <c r="O870" s="18" t="s">
        <v>426</v>
      </c>
      <c r="P870" s="164">
        <f t="shared" si="1"/>
        <v>5</v>
      </c>
      <c r="Q870" s="8"/>
    </row>
    <row r="871" spans="1:17" x14ac:dyDescent="0.25">
      <c r="A871" s="1"/>
      <c r="B871" s="1"/>
      <c r="C871" s="7" t="s">
        <v>497</v>
      </c>
      <c r="D871" s="17">
        <v>24514</v>
      </c>
      <c r="E871" s="7" t="s">
        <v>7</v>
      </c>
      <c r="F871" s="7" t="s">
        <v>78</v>
      </c>
      <c r="G871" s="7" t="s">
        <v>89</v>
      </c>
      <c r="H871" s="7" t="s">
        <v>35</v>
      </c>
      <c r="I871" s="8">
        <v>322115</v>
      </c>
      <c r="J871" s="7" t="s">
        <v>501</v>
      </c>
      <c r="K871" s="20">
        <v>16</v>
      </c>
      <c r="L871" s="20">
        <v>2</v>
      </c>
      <c r="M871" s="20">
        <v>3</v>
      </c>
      <c r="N871" s="8" t="s">
        <v>91</v>
      </c>
      <c r="O871" s="18" t="s">
        <v>426</v>
      </c>
      <c r="P871" s="164">
        <f t="shared" si="1"/>
        <v>5</v>
      </c>
      <c r="Q871" s="8"/>
    </row>
    <row r="872" spans="1:17" x14ac:dyDescent="0.25">
      <c r="A872" s="1"/>
      <c r="B872" s="1"/>
      <c r="C872" s="7" t="s">
        <v>497</v>
      </c>
      <c r="D872" s="17">
        <v>24811</v>
      </c>
      <c r="E872" s="7" t="s">
        <v>7</v>
      </c>
      <c r="F872" s="7" t="s">
        <v>78</v>
      </c>
      <c r="G872" s="7" t="s">
        <v>294</v>
      </c>
      <c r="H872" s="7" t="s">
        <v>35</v>
      </c>
      <c r="I872" s="8">
        <v>971841</v>
      </c>
      <c r="J872" s="7" t="s">
        <v>457</v>
      </c>
      <c r="K872" s="20">
        <v>8</v>
      </c>
      <c r="L872" s="20">
        <v>1</v>
      </c>
      <c r="M872" s="20">
        <v>6</v>
      </c>
      <c r="N872" s="8" t="s">
        <v>426</v>
      </c>
      <c r="O872" s="18" t="s">
        <v>426</v>
      </c>
      <c r="P872" s="164">
        <f t="shared" si="1"/>
        <v>5</v>
      </c>
      <c r="Q872" s="8"/>
    </row>
    <row r="873" spans="1:17" x14ac:dyDescent="0.25">
      <c r="A873" s="1"/>
      <c r="B873" s="1"/>
      <c r="C873" s="7" t="s">
        <v>497</v>
      </c>
      <c r="D873" s="17">
        <v>24735</v>
      </c>
      <c r="E873" s="7" t="s">
        <v>7</v>
      </c>
      <c r="F873" s="7" t="s">
        <v>78</v>
      </c>
      <c r="G873" s="7" t="s">
        <v>40</v>
      </c>
      <c r="H873" s="7" t="s">
        <v>35</v>
      </c>
      <c r="I873" s="8">
        <v>971841</v>
      </c>
      <c r="J873" s="7" t="s">
        <v>457</v>
      </c>
      <c r="K873" s="20">
        <v>24</v>
      </c>
      <c r="L873" s="20">
        <v>3</v>
      </c>
      <c r="M873" s="20">
        <v>3</v>
      </c>
      <c r="N873" s="8" t="s">
        <v>93</v>
      </c>
      <c r="O873" s="18" t="s">
        <v>428</v>
      </c>
      <c r="P873" s="164">
        <f t="shared" si="1"/>
        <v>5</v>
      </c>
      <c r="Q873" s="8"/>
    </row>
    <row r="874" spans="1:17" x14ac:dyDescent="0.25">
      <c r="A874" s="1"/>
      <c r="B874" s="1"/>
      <c r="C874" s="7" t="s">
        <v>497</v>
      </c>
      <c r="D874" s="17">
        <v>25318</v>
      </c>
      <c r="E874" s="7" t="s">
        <v>7</v>
      </c>
      <c r="F874" s="7" t="s">
        <v>78</v>
      </c>
      <c r="G874" s="7" t="s">
        <v>199</v>
      </c>
      <c r="H874" s="7" t="s">
        <v>35</v>
      </c>
      <c r="I874" s="8">
        <v>245434</v>
      </c>
      <c r="J874" s="7" t="s">
        <v>500</v>
      </c>
      <c r="K874" s="20">
        <v>8</v>
      </c>
      <c r="L874" s="20">
        <v>1</v>
      </c>
      <c r="M874" s="20">
        <v>3</v>
      </c>
      <c r="N874" s="8" t="s">
        <v>350</v>
      </c>
      <c r="O874" s="18" t="s">
        <v>350</v>
      </c>
      <c r="P874" s="164">
        <f t="shared" si="1"/>
        <v>5</v>
      </c>
      <c r="Q874" s="8"/>
    </row>
    <row r="875" spans="1:17" x14ac:dyDescent="0.25">
      <c r="A875" s="1"/>
      <c r="B875" s="1"/>
      <c r="C875" s="7" t="s">
        <v>497</v>
      </c>
      <c r="D875" s="17">
        <v>24635</v>
      </c>
      <c r="E875" s="7" t="s">
        <v>7</v>
      </c>
      <c r="F875" s="7" t="s">
        <v>78</v>
      </c>
      <c r="G875" s="7" t="s">
        <v>68</v>
      </c>
      <c r="H875" s="7" t="s">
        <v>35</v>
      </c>
      <c r="I875" s="8">
        <v>322115</v>
      </c>
      <c r="J875" s="7" t="s">
        <v>501</v>
      </c>
      <c r="K875" s="20">
        <v>24</v>
      </c>
      <c r="L875" s="20">
        <v>3</v>
      </c>
      <c r="M875" s="20">
        <v>4</v>
      </c>
      <c r="N875" s="8" t="s">
        <v>350</v>
      </c>
      <c r="O875" s="18" t="s">
        <v>101</v>
      </c>
      <c r="P875" s="164">
        <f t="shared" si="1"/>
        <v>6</v>
      </c>
      <c r="Q875" s="8"/>
    </row>
    <row r="876" spans="1:17" x14ac:dyDescent="0.25">
      <c r="A876" s="1"/>
      <c r="B876" s="1"/>
      <c r="C876" s="7" t="s">
        <v>497</v>
      </c>
      <c r="D876" s="17">
        <v>24882</v>
      </c>
      <c r="E876" s="7" t="s">
        <v>7</v>
      </c>
      <c r="F876" s="7" t="s">
        <v>78</v>
      </c>
      <c r="G876" s="7" t="s">
        <v>34</v>
      </c>
      <c r="H876" s="7" t="s">
        <v>35</v>
      </c>
      <c r="I876" s="8">
        <v>245434</v>
      </c>
      <c r="J876" s="7" t="s">
        <v>500</v>
      </c>
      <c r="K876" s="20">
        <v>8</v>
      </c>
      <c r="L876" s="20">
        <v>1</v>
      </c>
      <c r="M876" s="20">
        <v>10</v>
      </c>
      <c r="N876" s="8" t="s">
        <v>289</v>
      </c>
      <c r="O876" s="18" t="s">
        <v>289</v>
      </c>
      <c r="P876" s="164">
        <f t="shared" si="1"/>
        <v>6</v>
      </c>
      <c r="Q876" s="8"/>
    </row>
    <row r="877" spans="1:17" x14ac:dyDescent="0.25">
      <c r="A877" s="1"/>
      <c r="B877" s="1"/>
      <c r="C877" s="7" t="s">
        <v>497</v>
      </c>
      <c r="D877" s="17">
        <v>24516</v>
      </c>
      <c r="E877" s="7" t="s">
        <v>7</v>
      </c>
      <c r="F877" s="7" t="s">
        <v>78</v>
      </c>
      <c r="G877" s="7" t="s">
        <v>89</v>
      </c>
      <c r="H877" s="7" t="s">
        <v>35</v>
      </c>
      <c r="I877" s="8">
        <v>245435</v>
      </c>
      <c r="J877" s="7" t="s">
        <v>485</v>
      </c>
      <c r="K877" s="20">
        <v>16</v>
      </c>
      <c r="L877" s="20">
        <v>2</v>
      </c>
      <c r="M877" s="20">
        <v>3</v>
      </c>
      <c r="N877" s="8" t="s">
        <v>104</v>
      </c>
      <c r="O877" s="18" t="s">
        <v>298</v>
      </c>
      <c r="P877" s="164">
        <f t="shared" si="1"/>
        <v>6</v>
      </c>
      <c r="Q877" s="8"/>
    </row>
    <row r="878" spans="1:17" x14ac:dyDescent="0.25">
      <c r="A878" s="1"/>
      <c r="B878" s="1"/>
      <c r="C878" s="7" t="s">
        <v>497</v>
      </c>
      <c r="D878" s="17">
        <v>29376</v>
      </c>
      <c r="E878" s="7" t="s">
        <v>10</v>
      </c>
      <c r="F878" s="7" t="s">
        <v>74</v>
      </c>
      <c r="G878" s="7" t="s">
        <v>65</v>
      </c>
      <c r="H878" s="7" t="s">
        <v>35</v>
      </c>
      <c r="I878" s="8">
        <v>322115</v>
      </c>
      <c r="J878" s="7" t="s">
        <v>501</v>
      </c>
      <c r="K878" s="20">
        <v>24</v>
      </c>
      <c r="L878" s="20">
        <v>3</v>
      </c>
      <c r="M878" s="20">
        <v>13</v>
      </c>
      <c r="N878" s="8" t="s">
        <v>103</v>
      </c>
      <c r="O878" s="18" t="s">
        <v>298</v>
      </c>
      <c r="P878" s="164">
        <f t="shared" si="1"/>
        <v>6</v>
      </c>
      <c r="Q878" s="8"/>
    </row>
    <row r="879" spans="1:17" x14ac:dyDescent="0.25">
      <c r="A879" s="1"/>
      <c r="B879" s="1"/>
      <c r="C879" s="7" t="s">
        <v>497</v>
      </c>
      <c r="D879" s="17">
        <v>25320</v>
      </c>
      <c r="E879" s="7" t="s">
        <v>7</v>
      </c>
      <c r="F879" s="7" t="s">
        <v>78</v>
      </c>
      <c r="G879" s="7" t="s">
        <v>199</v>
      </c>
      <c r="H879" s="7" t="s">
        <v>35</v>
      </c>
      <c r="I879" s="8">
        <v>245434</v>
      </c>
      <c r="J879" s="7" t="s">
        <v>500</v>
      </c>
      <c r="K879" s="20">
        <v>8</v>
      </c>
      <c r="L879" s="20">
        <v>1</v>
      </c>
      <c r="M879" s="20">
        <v>3</v>
      </c>
      <c r="N879" s="8" t="s">
        <v>300</v>
      </c>
      <c r="O879" s="18" t="s">
        <v>300</v>
      </c>
      <c r="P879" s="164">
        <f t="shared" si="1"/>
        <v>6</v>
      </c>
      <c r="Q879" s="8"/>
    </row>
    <row r="880" spans="1:17" x14ac:dyDescent="0.25">
      <c r="A880" s="1"/>
      <c r="B880" s="1"/>
      <c r="C880" s="7" t="s">
        <v>497</v>
      </c>
      <c r="D880" s="17">
        <v>24517</v>
      </c>
      <c r="E880" s="7" t="s">
        <v>7</v>
      </c>
      <c r="F880" s="7" t="s">
        <v>78</v>
      </c>
      <c r="G880" s="7" t="s">
        <v>89</v>
      </c>
      <c r="H880" s="7" t="s">
        <v>35</v>
      </c>
      <c r="I880" s="8">
        <v>245435</v>
      </c>
      <c r="J880" s="7" t="s">
        <v>485</v>
      </c>
      <c r="K880" s="20">
        <v>16</v>
      </c>
      <c r="L880" s="20">
        <v>2</v>
      </c>
      <c r="M880" s="20">
        <v>3</v>
      </c>
      <c r="N880" s="8" t="s">
        <v>299</v>
      </c>
      <c r="O880" s="18" t="s">
        <v>300</v>
      </c>
      <c r="P880" s="164">
        <f t="shared" si="1"/>
        <v>6</v>
      </c>
      <c r="Q880" s="8"/>
    </row>
    <row r="881" spans="1:17" x14ac:dyDescent="0.25">
      <c r="A881" s="1"/>
      <c r="B881" s="1"/>
      <c r="C881" s="7" t="s">
        <v>497</v>
      </c>
      <c r="D881" s="17">
        <v>31048</v>
      </c>
      <c r="E881" s="7" t="s">
        <v>10</v>
      </c>
      <c r="F881" s="7" t="s">
        <v>498</v>
      </c>
      <c r="G881" s="7" t="s">
        <v>346</v>
      </c>
      <c r="H881" s="7" t="s">
        <v>35</v>
      </c>
      <c r="I881" s="8">
        <v>370733</v>
      </c>
      <c r="J881" s="7" t="s">
        <v>499</v>
      </c>
      <c r="K881" s="20">
        <v>16</v>
      </c>
      <c r="L881" s="20">
        <v>2</v>
      </c>
      <c r="M881" s="20">
        <v>10</v>
      </c>
      <c r="N881" s="8" t="s">
        <v>299</v>
      </c>
      <c r="O881" s="18" t="s">
        <v>300</v>
      </c>
      <c r="P881" s="164">
        <f t="shared" si="1"/>
        <v>6</v>
      </c>
      <c r="Q881" s="8"/>
    </row>
    <row r="882" spans="1:17" x14ac:dyDescent="0.25">
      <c r="A882" s="1"/>
      <c r="B882" s="1"/>
      <c r="C882" s="7" t="s">
        <v>497</v>
      </c>
      <c r="D882" s="17">
        <v>24861</v>
      </c>
      <c r="E882" s="7" t="s">
        <v>7</v>
      </c>
      <c r="F882" s="7" t="s">
        <v>78</v>
      </c>
      <c r="G882" s="7" t="s">
        <v>362</v>
      </c>
      <c r="H882" s="7" t="s">
        <v>35</v>
      </c>
      <c r="I882" s="8">
        <v>445938</v>
      </c>
      <c r="J882" s="7" t="s">
        <v>507</v>
      </c>
      <c r="K882" s="20">
        <v>24</v>
      </c>
      <c r="L882" s="20">
        <v>3</v>
      </c>
      <c r="M882" s="20">
        <v>3</v>
      </c>
      <c r="N882" s="8" t="s">
        <v>299</v>
      </c>
      <c r="O882" s="18" t="s">
        <v>107</v>
      </c>
      <c r="P882" s="164">
        <f t="shared" si="1"/>
        <v>6</v>
      </c>
      <c r="Q882" s="8"/>
    </row>
    <row r="883" spans="1:17" x14ac:dyDescent="0.25">
      <c r="A883" s="1"/>
      <c r="B883" s="1"/>
      <c r="C883" s="7" t="s">
        <v>497</v>
      </c>
      <c r="D883" s="17">
        <v>24739</v>
      </c>
      <c r="E883" s="7" t="s">
        <v>7</v>
      </c>
      <c r="F883" s="7" t="s">
        <v>78</v>
      </c>
      <c r="G883" s="7" t="s">
        <v>40</v>
      </c>
      <c r="H883" s="7" t="s">
        <v>35</v>
      </c>
      <c r="I883" s="8">
        <v>971841</v>
      </c>
      <c r="J883" s="7" t="s">
        <v>457</v>
      </c>
      <c r="K883" s="20">
        <v>24</v>
      </c>
      <c r="L883" s="20">
        <v>3</v>
      </c>
      <c r="M883" s="20">
        <v>3</v>
      </c>
      <c r="N883" s="8" t="s">
        <v>108</v>
      </c>
      <c r="O883" s="18" t="s">
        <v>305</v>
      </c>
      <c r="P883" s="164">
        <f t="shared" si="1"/>
        <v>6</v>
      </c>
      <c r="Q883" s="8"/>
    </row>
    <row r="884" spans="1:17" x14ac:dyDescent="0.25">
      <c r="A884" s="1"/>
      <c r="B884" s="1"/>
      <c r="C884" s="7" t="s">
        <v>497</v>
      </c>
      <c r="D884" s="17">
        <v>24608</v>
      </c>
      <c r="E884" s="7" t="s">
        <v>7</v>
      </c>
      <c r="F884" s="7" t="s">
        <v>78</v>
      </c>
      <c r="G884" s="7" t="s">
        <v>317</v>
      </c>
      <c r="H884" s="7" t="s">
        <v>35</v>
      </c>
      <c r="I884" s="8">
        <v>373645</v>
      </c>
      <c r="J884" s="7" t="s">
        <v>503</v>
      </c>
      <c r="K884" s="20">
        <v>16</v>
      </c>
      <c r="L884" s="20">
        <v>2</v>
      </c>
      <c r="M884" s="20">
        <v>16</v>
      </c>
      <c r="N884" s="8" t="s">
        <v>110</v>
      </c>
      <c r="O884" s="18" t="s">
        <v>113</v>
      </c>
      <c r="P884" s="164">
        <f t="shared" si="1"/>
        <v>6</v>
      </c>
      <c r="Q884" s="8"/>
    </row>
    <row r="885" spans="1:17" x14ac:dyDescent="0.25">
      <c r="A885" s="1"/>
      <c r="B885" s="1"/>
      <c r="C885" s="7" t="s">
        <v>497</v>
      </c>
      <c r="D885" s="17">
        <v>24740</v>
      </c>
      <c r="E885" s="7" t="s">
        <v>7</v>
      </c>
      <c r="F885" s="7" t="s">
        <v>78</v>
      </c>
      <c r="G885" s="7" t="s">
        <v>40</v>
      </c>
      <c r="H885" s="7" t="s">
        <v>35</v>
      </c>
      <c r="I885" s="8">
        <v>971841</v>
      </c>
      <c r="J885" s="7" t="s">
        <v>457</v>
      </c>
      <c r="K885" s="20">
        <v>24</v>
      </c>
      <c r="L885" s="20">
        <v>3</v>
      </c>
      <c r="M885" s="20">
        <v>3</v>
      </c>
      <c r="N885" s="8" t="s">
        <v>306</v>
      </c>
      <c r="O885" s="18" t="s">
        <v>116</v>
      </c>
      <c r="P885" s="164">
        <f t="shared" si="1"/>
        <v>6</v>
      </c>
      <c r="Q885" s="8"/>
    </row>
    <row r="886" spans="1:17" x14ac:dyDescent="0.25">
      <c r="A886" s="1"/>
      <c r="B886" s="1"/>
      <c r="C886" s="7" t="s">
        <v>497</v>
      </c>
      <c r="D886" s="17">
        <v>24639</v>
      </c>
      <c r="E886" s="7" t="s">
        <v>7</v>
      </c>
      <c r="F886" s="7" t="s">
        <v>78</v>
      </c>
      <c r="G886" s="7" t="s">
        <v>68</v>
      </c>
      <c r="H886" s="7" t="s">
        <v>35</v>
      </c>
      <c r="I886" s="8">
        <v>245435</v>
      </c>
      <c r="J886" s="7" t="s">
        <v>485</v>
      </c>
      <c r="K886" s="20">
        <v>24</v>
      </c>
      <c r="L886" s="20">
        <v>3</v>
      </c>
      <c r="M886" s="20">
        <v>3</v>
      </c>
      <c r="N886" s="8" t="s">
        <v>116</v>
      </c>
      <c r="O886" s="18" t="s">
        <v>117</v>
      </c>
      <c r="P886" s="164">
        <f t="shared" si="1"/>
        <v>7</v>
      </c>
      <c r="Q886" s="8"/>
    </row>
    <row r="887" spans="1:17" x14ac:dyDescent="0.25">
      <c r="A887" s="1"/>
      <c r="B887" s="1"/>
      <c r="C887" s="7" t="s">
        <v>497</v>
      </c>
      <c r="D887" s="17">
        <v>24640</v>
      </c>
      <c r="E887" s="7" t="s">
        <v>7</v>
      </c>
      <c r="F887" s="7" t="s">
        <v>78</v>
      </c>
      <c r="G887" s="7" t="s">
        <v>68</v>
      </c>
      <c r="H887" s="7" t="s">
        <v>35</v>
      </c>
      <c r="I887" s="8">
        <v>322115</v>
      </c>
      <c r="J887" s="7" t="s">
        <v>501</v>
      </c>
      <c r="K887" s="20">
        <v>24</v>
      </c>
      <c r="L887" s="20">
        <v>3</v>
      </c>
      <c r="M887" s="20">
        <v>3</v>
      </c>
      <c r="N887" s="8" t="s">
        <v>311</v>
      </c>
      <c r="O887" s="18" t="s">
        <v>120</v>
      </c>
      <c r="P887" s="164">
        <f t="shared" si="1"/>
        <v>7</v>
      </c>
      <c r="Q887" s="8"/>
    </row>
    <row r="888" spans="1:17" x14ac:dyDescent="0.25">
      <c r="A888" s="1"/>
      <c r="B888" s="1"/>
      <c r="C888" s="7" t="s">
        <v>497</v>
      </c>
      <c r="D888" s="17">
        <v>25324</v>
      </c>
      <c r="E888" s="7" t="s">
        <v>7</v>
      </c>
      <c r="F888" s="7" t="s">
        <v>78</v>
      </c>
      <c r="G888" s="7" t="s">
        <v>199</v>
      </c>
      <c r="H888" s="7" t="s">
        <v>35</v>
      </c>
      <c r="I888" s="8">
        <v>245434</v>
      </c>
      <c r="J888" s="7" t="s">
        <v>500</v>
      </c>
      <c r="K888" s="20">
        <v>8</v>
      </c>
      <c r="L888" s="20">
        <v>1</v>
      </c>
      <c r="M888" s="20">
        <v>3</v>
      </c>
      <c r="N888" s="8" t="s">
        <v>126</v>
      </c>
      <c r="O888" s="18" t="s">
        <v>126</v>
      </c>
      <c r="P888" s="164">
        <f t="shared" si="1"/>
        <v>7</v>
      </c>
      <c r="Q888" s="8"/>
    </row>
    <row r="889" spans="1:17" x14ac:dyDescent="0.25">
      <c r="A889" s="1"/>
      <c r="B889" s="1"/>
      <c r="C889" s="7" t="s">
        <v>497</v>
      </c>
      <c r="D889" s="17">
        <v>24885</v>
      </c>
      <c r="E889" s="7" t="s">
        <v>7</v>
      </c>
      <c r="F889" s="7" t="s">
        <v>78</v>
      </c>
      <c r="G889" s="7" t="s">
        <v>34</v>
      </c>
      <c r="H889" s="7" t="s">
        <v>35</v>
      </c>
      <c r="I889" s="8">
        <v>245434</v>
      </c>
      <c r="J889" s="7" t="s">
        <v>500</v>
      </c>
      <c r="K889" s="20">
        <v>8</v>
      </c>
      <c r="L889" s="20">
        <v>1</v>
      </c>
      <c r="M889" s="20">
        <v>10</v>
      </c>
      <c r="N889" s="8" t="s">
        <v>128</v>
      </c>
      <c r="O889" s="18" t="s">
        <v>128</v>
      </c>
      <c r="P889" s="164">
        <f t="shared" si="1"/>
        <v>7</v>
      </c>
      <c r="Q889" s="8"/>
    </row>
    <row r="890" spans="1:17" x14ac:dyDescent="0.25">
      <c r="A890" s="1"/>
      <c r="B890" s="1"/>
      <c r="C890" s="7" t="s">
        <v>497</v>
      </c>
      <c r="D890" s="17">
        <v>22165</v>
      </c>
      <c r="E890" s="7" t="s">
        <v>6</v>
      </c>
      <c r="F890" s="7" t="s">
        <v>33</v>
      </c>
      <c r="G890" s="7" t="s">
        <v>89</v>
      </c>
      <c r="H890" s="7" t="s">
        <v>35</v>
      </c>
      <c r="I890" s="8">
        <v>245435</v>
      </c>
      <c r="J890" s="7" t="s">
        <v>485</v>
      </c>
      <c r="K890" s="20">
        <v>16</v>
      </c>
      <c r="L890" s="20">
        <v>2</v>
      </c>
      <c r="M890" s="20">
        <v>14</v>
      </c>
      <c r="N890" s="8" t="s">
        <v>315</v>
      </c>
      <c r="O890" s="18" t="s">
        <v>128</v>
      </c>
      <c r="P890" s="164">
        <f t="shared" si="1"/>
        <v>7</v>
      </c>
      <c r="Q890" s="8"/>
    </row>
    <row r="891" spans="1:17" x14ac:dyDescent="0.25">
      <c r="A891" s="1"/>
      <c r="B891" s="1"/>
      <c r="C891" s="7" t="s">
        <v>497</v>
      </c>
      <c r="D891" s="17">
        <v>29380</v>
      </c>
      <c r="E891" s="7" t="s">
        <v>10</v>
      </c>
      <c r="F891" s="7" t="s">
        <v>74</v>
      </c>
      <c r="G891" s="7" t="s">
        <v>65</v>
      </c>
      <c r="H891" s="7" t="s">
        <v>35</v>
      </c>
      <c r="I891" s="8">
        <v>971841</v>
      </c>
      <c r="J891" s="7" t="s">
        <v>457</v>
      </c>
      <c r="K891" s="20">
        <v>24</v>
      </c>
      <c r="L891" s="20">
        <v>3</v>
      </c>
      <c r="M891" s="20">
        <v>11</v>
      </c>
      <c r="N891" s="8" t="s">
        <v>318</v>
      </c>
      <c r="O891" s="18" t="s">
        <v>130</v>
      </c>
      <c r="P891" s="164">
        <f t="shared" si="1"/>
        <v>7</v>
      </c>
      <c r="Q891" s="8"/>
    </row>
    <row r="892" spans="1:17" x14ac:dyDescent="0.25">
      <c r="A892" s="1"/>
      <c r="B892" s="1"/>
      <c r="C892" s="7" t="s">
        <v>497</v>
      </c>
      <c r="D892" s="17">
        <v>24522</v>
      </c>
      <c r="E892" s="7" t="s">
        <v>7</v>
      </c>
      <c r="F892" s="7" t="s">
        <v>78</v>
      </c>
      <c r="G892" s="7" t="s">
        <v>89</v>
      </c>
      <c r="H892" s="7" t="s">
        <v>35</v>
      </c>
      <c r="I892" s="8">
        <v>245435</v>
      </c>
      <c r="J892" s="7" t="s">
        <v>485</v>
      </c>
      <c r="K892" s="20">
        <v>16</v>
      </c>
      <c r="L892" s="20">
        <v>2</v>
      </c>
      <c r="M892" s="20">
        <v>3</v>
      </c>
      <c r="N892" s="8" t="s">
        <v>357</v>
      </c>
      <c r="O892" s="18" t="s">
        <v>504</v>
      </c>
      <c r="P892" s="164">
        <f t="shared" si="1"/>
        <v>7</v>
      </c>
      <c r="Q892" s="8"/>
    </row>
    <row r="893" spans="1:17" x14ac:dyDescent="0.25">
      <c r="A893" s="1"/>
      <c r="B893" s="1"/>
      <c r="C893" s="7" t="s">
        <v>497</v>
      </c>
      <c r="D893" s="17">
        <v>24883</v>
      </c>
      <c r="E893" s="7" t="s">
        <v>7</v>
      </c>
      <c r="F893" s="7" t="s">
        <v>78</v>
      </c>
      <c r="G893" s="7" t="s">
        <v>34</v>
      </c>
      <c r="H893" s="7" t="s">
        <v>35</v>
      </c>
      <c r="I893" s="8">
        <v>245434</v>
      </c>
      <c r="J893" s="7" t="s">
        <v>500</v>
      </c>
      <c r="K893" s="20">
        <v>8</v>
      </c>
      <c r="L893" s="20">
        <v>1</v>
      </c>
      <c r="M893" s="20">
        <v>10</v>
      </c>
      <c r="N893" s="8" t="s">
        <v>131</v>
      </c>
      <c r="O893" s="18" t="s">
        <v>131</v>
      </c>
      <c r="P893" s="164">
        <f t="shared" si="1"/>
        <v>7</v>
      </c>
      <c r="Q893" s="8"/>
    </row>
    <row r="894" spans="1:17" x14ac:dyDescent="0.25">
      <c r="A894" s="1"/>
      <c r="B894" s="1"/>
      <c r="C894" s="7" t="s">
        <v>497</v>
      </c>
      <c r="D894" s="17">
        <v>23278</v>
      </c>
      <c r="E894" s="7" t="s">
        <v>6</v>
      </c>
      <c r="F894" s="7" t="s">
        <v>33</v>
      </c>
      <c r="G894" s="7" t="s">
        <v>40</v>
      </c>
      <c r="H894" s="7" t="s">
        <v>35</v>
      </c>
      <c r="I894" s="8">
        <v>971841</v>
      </c>
      <c r="J894" s="7" t="s">
        <v>457</v>
      </c>
      <c r="K894" s="20">
        <v>24</v>
      </c>
      <c r="L894" s="20">
        <v>3</v>
      </c>
      <c r="M894" s="20">
        <v>8</v>
      </c>
      <c r="N894" s="8" t="s">
        <v>504</v>
      </c>
      <c r="O894" s="18" t="s">
        <v>132</v>
      </c>
      <c r="P894" s="164">
        <f t="shared" ref="P894:P952" si="2">MONTH(O894)</f>
        <v>7</v>
      </c>
      <c r="Q894" s="8"/>
    </row>
    <row r="895" spans="1:17" x14ac:dyDescent="0.25">
      <c r="A895" s="1"/>
      <c r="B895" s="1"/>
      <c r="C895" s="7" t="s">
        <v>497</v>
      </c>
      <c r="D895" s="17">
        <v>23314</v>
      </c>
      <c r="E895" s="7" t="s">
        <v>6</v>
      </c>
      <c r="F895" s="7" t="s">
        <v>33</v>
      </c>
      <c r="G895" s="7" t="s">
        <v>34</v>
      </c>
      <c r="H895" s="7" t="s">
        <v>35</v>
      </c>
      <c r="I895" s="8">
        <v>971841</v>
      </c>
      <c r="J895" s="7" t="s">
        <v>457</v>
      </c>
      <c r="K895" s="20">
        <v>8</v>
      </c>
      <c r="L895" s="20">
        <v>1</v>
      </c>
      <c r="M895" s="20">
        <v>10</v>
      </c>
      <c r="N895" s="8" t="s">
        <v>444</v>
      </c>
      <c r="O895" s="18" t="s">
        <v>444</v>
      </c>
      <c r="P895" s="164">
        <f t="shared" si="2"/>
        <v>7</v>
      </c>
      <c r="Q895" s="8"/>
    </row>
    <row r="896" spans="1:17" x14ac:dyDescent="0.25">
      <c r="A896" s="1"/>
      <c r="B896" s="1"/>
      <c r="C896" s="7" t="s">
        <v>497</v>
      </c>
      <c r="D896" s="17">
        <v>24613</v>
      </c>
      <c r="E896" s="7" t="s">
        <v>7</v>
      </c>
      <c r="F896" s="7" t="s">
        <v>78</v>
      </c>
      <c r="G896" s="7" t="s">
        <v>317</v>
      </c>
      <c r="H896" s="7" t="s">
        <v>35</v>
      </c>
      <c r="I896" s="8">
        <v>245434</v>
      </c>
      <c r="J896" s="7" t="s">
        <v>500</v>
      </c>
      <c r="K896" s="20">
        <v>16</v>
      </c>
      <c r="L896" s="20">
        <v>2</v>
      </c>
      <c r="M896" s="20">
        <v>3</v>
      </c>
      <c r="N896" s="8" t="s">
        <v>134</v>
      </c>
      <c r="O896" s="18" t="s">
        <v>135</v>
      </c>
      <c r="P896" s="164">
        <f t="shared" si="2"/>
        <v>7</v>
      </c>
      <c r="Q896" s="8"/>
    </row>
    <row r="897" spans="1:17" x14ac:dyDescent="0.25">
      <c r="A897" s="1"/>
      <c r="B897" s="1"/>
      <c r="C897" s="7" t="s">
        <v>497</v>
      </c>
      <c r="D897" s="17">
        <v>23279</v>
      </c>
      <c r="E897" s="7" t="s">
        <v>6</v>
      </c>
      <c r="F897" s="7" t="s">
        <v>33</v>
      </c>
      <c r="G897" s="7" t="s">
        <v>40</v>
      </c>
      <c r="H897" s="7" t="s">
        <v>35</v>
      </c>
      <c r="I897" s="8">
        <v>971841</v>
      </c>
      <c r="J897" s="7" t="s">
        <v>457</v>
      </c>
      <c r="K897" s="20">
        <v>24</v>
      </c>
      <c r="L897" s="20">
        <v>3</v>
      </c>
      <c r="M897" s="20">
        <v>8</v>
      </c>
      <c r="N897" s="8" t="s">
        <v>135</v>
      </c>
      <c r="O897" s="18" t="s">
        <v>137</v>
      </c>
      <c r="P897" s="164">
        <f t="shared" si="2"/>
        <v>7</v>
      </c>
      <c r="Q897" s="8"/>
    </row>
    <row r="898" spans="1:17" x14ac:dyDescent="0.25">
      <c r="A898" s="1"/>
      <c r="B898" s="1"/>
      <c r="C898" s="7" t="s">
        <v>497</v>
      </c>
      <c r="D898" s="17">
        <v>23315</v>
      </c>
      <c r="E898" s="7" t="s">
        <v>6</v>
      </c>
      <c r="F898" s="7" t="s">
        <v>33</v>
      </c>
      <c r="G898" s="7" t="s">
        <v>34</v>
      </c>
      <c r="H898" s="7" t="s">
        <v>35</v>
      </c>
      <c r="I898" s="8">
        <v>971841</v>
      </c>
      <c r="J898" s="7" t="s">
        <v>457</v>
      </c>
      <c r="K898" s="20">
        <v>8</v>
      </c>
      <c r="L898" s="20">
        <v>1</v>
      </c>
      <c r="M898" s="20">
        <v>9</v>
      </c>
      <c r="N898" s="8" t="s">
        <v>358</v>
      </c>
      <c r="O898" s="18" t="s">
        <v>358</v>
      </c>
      <c r="P898" s="164">
        <f t="shared" si="2"/>
        <v>7</v>
      </c>
      <c r="Q898" s="8"/>
    </row>
    <row r="899" spans="1:17" x14ac:dyDescent="0.25">
      <c r="A899" s="1"/>
      <c r="B899" s="1"/>
      <c r="C899" s="7" t="s">
        <v>497</v>
      </c>
      <c r="D899" s="17">
        <v>23316</v>
      </c>
      <c r="E899" s="7" t="s">
        <v>6</v>
      </c>
      <c r="F899" s="7" t="s">
        <v>33</v>
      </c>
      <c r="G899" s="7" t="s">
        <v>34</v>
      </c>
      <c r="H899" s="7" t="s">
        <v>35</v>
      </c>
      <c r="I899" s="8">
        <v>971841</v>
      </c>
      <c r="J899" s="7" t="s">
        <v>457</v>
      </c>
      <c r="K899" s="20">
        <v>8</v>
      </c>
      <c r="L899" s="20">
        <v>1</v>
      </c>
      <c r="M899" s="20">
        <v>10</v>
      </c>
      <c r="N899" s="8" t="s">
        <v>140</v>
      </c>
      <c r="O899" s="18" t="s">
        <v>140</v>
      </c>
      <c r="P899" s="164">
        <f t="shared" si="2"/>
        <v>8</v>
      </c>
      <c r="Q899" s="8"/>
    </row>
    <row r="900" spans="1:17" x14ac:dyDescent="0.25">
      <c r="A900" s="1"/>
      <c r="B900" s="1"/>
      <c r="C900" s="7" t="s">
        <v>497</v>
      </c>
      <c r="D900" s="17">
        <v>24841</v>
      </c>
      <c r="E900" s="7" t="s">
        <v>7</v>
      </c>
      <c r="F900" s="7" t="s">
        <v>78</v>
      </c>
      <c r="G900" s="7" t="s">
        <v>65</v>
      </c>
      <c r="H900" s="7" t="s">
        <v>35</v>
      </c>
      <c r="I900" s="8">
        <v>245435</v>
      </c>
      <c r="J900" s="7" t="s">
        <v>485</v>
      </c>
      <c r="K900" s="20">
        <v>24</v>
      </c>
      <c r="L900" s="20">
        <v>3</v>
      </c>
      <c r="M900" s="20">
        <v>8</v>
      </c>
      <c r="N900" s="8" t="s">
        <v>139</v>
      </c>
      <c r="O900" s="18" t="s">
        <v>143</v>
      </c>
      <c r="P900" s="164">
        <f t="shared" si="2"/>
        <v>8</v>
      </c>
      <c r="Q900" s="8"/>
    </row>
    <row r="901" spans="1:17" x14ac:dyDescent="0.25">
      <c r="A901" s="1"/>
      <c r="B901" s="1"/>
      <c r="C901" s="7" t="s">
        <v>497</v>
      </c>
      <c r="D901" s="17">
        <v>23313</v>
      </c>
      <c r="E901" s="7" t="s">
        <v>6</v>
      </c>
      <c r="F901" s="7" t="s">
        <v>33</v>
      </c>
      <c r="G901" s="7" t="s">
        <v>34</v>
      </c>
      <c r="H901" s="7" t="s">
        <v>35</v>
      </c>
      <c r="I901" s="8">
        <v>971841</v>
      </c>
      <c r="J901" s="7" t="s">
        <v>457</v>
      </c>
      <c r="K901" s="20">
        <v>8</v>
      </c>
      <c r="L901" s="20">
        <v>1</v>
      </c>
      <c r="M901" s="20">
        <v>9</v>
      </c>
      <c r="N901" s="8" t="s">
        <v>143</v>
      </c>
      <c r="O901" s="18" t="s">
        <v>143</v>
      </c>
      <c r="P901" s="164">
        <f t="shared" si="2"/>
        <v>8</v>
      </c>
      <c r="Q901" s="46"/>
    </row>
    <row r="902" spans="1:17" x14ac:dyDescent="0.25">
      <c r="A902" s="1"/>
      <c r="B902" s="1"/>
      <c r="C902" s="7" t="s">
        <v>497</v>
      </c>
      <c r="D902" s="17">
        <v>23317</v>
      </c>
      <c r="E902" s="7" t="s">
        <v>6</v>
      </c>
      <c r="F902" s="7" t="s">
        <v>33</v>
      </c>
      <c r="G902" s="7" t="s">
        <v>34</v>
      </c>
      <c r="H902" s="7" t="s">
        <v>35</v>
      </c>
      <c r="I902" s="8">
        <v>971841</v>
      </c>
      <c r="J902" s="7" t="s">
        <v>457</v>
      </c>
      <c r="K902" s="20">
        <v>8</v>
      </c>
      <c r="L902" s="20">
        <v>1</v>
      </c>
      <c r="M902" s="20">
        <v>9</v>
      </c>
      <c r="N902" s="8" t="s">
        <v>145</v>
      </c>
      <c r="O902" s="18" t="s">
        <v>145</v>
      </c>
      <c r="P902" s="164">
        <f t="shared" si="2"/>
        <v>8</v>
      </c>
      <c r="Q902" s="8"/>
    </row>
    <row r="903" spans="1:17" x14ac:dyDescent="0.25">
      <c r="A903" s="1"/>
      <c r="B903" s="1"/>
      <c r="C903" s="7" t="s">
        <v>497</v>
      </c>
      <c r="D903" s="17">
        <v>22186</v>
      </c>
      <c r="E903" s="7" t="s">
        <v>6</v>
      </c>
      <c r="F903" s="7" t="s">
        <v>33</v>
      </c>
      <c r="G903" s="7" t="s">
        <v>148</v>
      </c>
      <c r="H903" s="7" t="s">
        <v>35</v>
      </c>
      <c r="I903" s="8">
        <v>245435</v>
      </c>
      <c r="J903" s="7" t="s">
        <v>485</v>
      </c>
      <c r="K903" s="20">
        <v>8</v>
      </c>
      <c r="L903" s="20">
        <v>1</v>
      </c>
      <c r="M903" s="20">
        <v>11</v>
      </c>
      <c r="N903" s="8" t="s">
        <v>146</v>
      </c>
      <c r="O903" s="18" t="s">
        <v>146</v>
      </c>
      <c r="P903" s="164">
        <f t="shared" si="2"/>
        <v>8</v>
      </c>
      <c r="Q903" s="8"/>
    </row>
    <row r="904" spans="1:17" x14ac:dyDescent="0.25">
      <c r="A904" s="1"/>
      <c r="B904" s="1"/>
      <c r="C904" s="7" t="s">
        <v>497</v>
      </c>
      <c r="D904" s="17">
        <v>24524</v>
      </c>
      <c r="E904" s="7" t="s">
        <v>7</v>
      </c>
      <c r="F904" s="7" t="s">
        <v>78</v>
      </c>
      <c r="G904" s="7" t="s">
        <v>89</v>
      </c>
      <c r="H904" s="7" t="s">
        <v>35</v>
      </c>
      <c r="I904" s="8">
        <v>322115</v>
      </c>
      <c r="J904" s="7" t="s">
        <v>501</v>
      </c>
      <c r="K904" s="20">
        <v>16</v>
      </c>
      <c r="L904" s="20">
        <v>2</v>
      </c>
      <c r="M904" s="20">
        <v>3</v>
      </c>
      <c r="N904" s="8" t="s">
        <v>145</v>
      </c>
      <c r="O904" s="18" t="s">
        <v>146</v>
      </c>
      <c r="P904" s="164">
        <f t="shared" si="2"/>
        <v>8</v>
      </c>
      <c r="Q904" s="8"/>
    </row>
    <row r="905" spans="1:17" x14ac:dyDescent="0.25">
      <c r="A905" s="1"/>
      <c r="B905" s="1"/>
      <c r="C905" s="7" t="s">
        <v>497</v>
      </c>
      <c r="D905" s="17">
        <v>31047</v>
      </c>
      <c r="E905" s="7" t="s">
        <v>10</v>
      </c>
      <c r="F905" s="7" t="s">
        <v>498</v>
      </c>
      <c r="G905" s="7" t="s">
        <v>346</v>
      </c>
      <c r="H905" s="7" t="s">
        <v>35</v>
      </c>
      <c r="I905" s="8">
        <v>370733</v>
      </c>
      <c r="J905" s="7" t="s">
        <v>499</v>
      </c>
      <c r="K905" s="20">
        <v>16</v>
      </c>
      <c r="L905" s="20">
        <v>2</v>
      </c>
      <c r="M905" s="20">
        <v>10</v>
      </c>
      <c r="N905" s="8" t="s">
        <v>145</v>
      </c>
      <c r="O905" s="18" t="s">
        <v>146</v>
      </c>
      <c r="P905" s="164">
        <f t="shared" si="2"/>
        <v>8</v>
      </c>
      <c r="Q905" s="8"/>
    </row>
    <row r="906" spans="1:17" x14ac:dyDescent="0.25">
      <c r="A906" s="1"/>
      <c r="B906" s="1"/>
      <c r="C906" s="7" t="s">
        <v>497</v>
      </c>
      <c r="D906" s="17">
        <v>22187</v>
      </c>
      <c r="E906" s="7" t="s">
        <v>6</v>
      </c>
      <c r="F906" s="7" t="s">
        <v>33</v>
      </c>
      <c r="G906" s="7" t="s">
        <v>148</v>
      </c>
      <c r="H906" s="7" t="s">
        <v>35</v>
      </c>
      <c r="I906" s="8">
        <v>245435</v>
      </c>
      <c r="J906" s="7" t="s">
        <v>485</v>
      </c>
      <c r="K906" s="20">
        <v>8</v>
      </c>
      <c r="L906" s="20">
        <v>1</v>
      </c>
      <c r="M906" s="20">
        <v>12</v>
      </c>
      <c r="N906" s="8" t="s">
        <v>151</v>
      </c>
      <c r="O906" s="18" t="s">
        <v>151</v>
      </c>
      <c r="P906" s="164">
        <f t="shared" si="2"/>
        <v>8</v>
      </c>
      <c r="Q906" s="8"/>
    </row>
    <row r="907" spans="1:17" x14ac:dyDescent="0.25">
      <c r="A907" s="1"/>
      <c r="B907" s="1"/>
      <c r="C907" s="7" t="s">
        <v>497</v>
      </c>
      <c r="D907" s="17">
        <v>25304</v>
      </c>
      <c r="E907" s="7" t="s">
        <v>7</v>
      </c>
      <c r="F907" s="7" t="s">
        <v>78</v>
      </c>
      <c r="G907" s="7" t="s">
        <v>199</v>
      </c>
      <c r="H907" s="7" t="s">
        <v>35</v>
      </c>
      <c r="I907" s="8">
        <v>322115</v>
      </c>
      <c r="J907" s="7" t="s">
        <v>501</v>
      </c>
      <c r="K907" s="20">
        <v>8</v>
      </c>
      <c r="L907" s="20">
        <v>1</v>
      </c>
      <c r="M907" s="20">
        <v>6</v>
      </c>
      <c r="N907" s="8" t="s">
        <v>153</v>
      </c>
      <c r="O907" s="18" t="s">
        <v>153</v>
      </c>
      <c r="P907" s="164">
        <f t="shared" si="2"/>
        <v>8</v>
      </c>
      <c r="Q907" s="8"/>
    </row>
    <row r="908" spans="1:17" x14ac:dyDescent="0.25">
      <c r="A908" s="1"/>
      <c r="B908" s="1"/>
      <c r="C908" s="7" t="s">
        <v>497</v>
      </c>
      <c r="D908" s="17">
        <v>22188</v>
      </c>
      <c r="E908" s="7" t="s">
        <v>6</v>
      </c>
      <c r="F908" s="7" t="s">
        <v>33</v>
      </c>
      <c r="G908" s="7" t="s">
        <v>148</v>
      </c>
      <c r="H908" s="7" t="s">
        <v>35</v>
      </c>
      <c r="I908" s="8">
        <v>245435</v>
      </c>
      <c r="J908" s="7" t="s">
        <v>485</v>
      </c>
      <c r="K908" s="20">
        <v>8</v>
      </c>
      <c r="L908" s="20">
        <v>1</v>
      </c>
      <c r="M908" s="20">
        <v>12</v>
      </c>
      <c r="N908" s="8" t="s">
        <v>156</v>
      </c>
      <c r="O908" s="18" t="s">
        <v>156</v>
      </c>
      <c r="P908" s="164">
        <f t="shared" si="2"/>
        <v>8</v>
      </c>
      <c r="Q908" s="8"/>
    </row>
    <row r="909" spans="1:17" x14ac:dyDescent="0.25">
      <c r="A909" s="1"/>
      <c r="B909" s="1"/>
      <c r="C909" s="7" t="s">
        <v>497</v>
      </c>
      <c r="D909" s="17">
        <v>24646</v>
      </c>
      <c r="E909" s="7" t="s">
        <v>7</v>
      </c>
      <c r="F909" s="7" t="s">
        <v>78</v>
      </c>
      <c r="G909" s="7" t="s">
        <v>68</v>
      </c>
      <c r="H909" s="7" t="s">
        <v>35</v>
      </c>
      <c r="I909" s="8">
        <v>322115</v>
      </c>
      <c r="J909" s="7" t="s">
        <v>501</v>
      </c>
      <c r="K909" s="20">
        <v>24</v>
      </c>
      <c r="L909" s="20">
        <v>3</v>
      </c>
      <c r="M909" s="20">
        <v>3</v>
      </c>
      <c r="N909" s="8" t="s">
        <v>154</v>
      </c>
      <c r="O909" s="18" t="s">
        <v>156</v>
      </c>
      <c r="P909" s="164">
        <f t="shared" si="2"/>
        <v>8</v>
      </c>
      <c r="Q909" s="8"/>
    </row>
    <row r="910" spans="1:17" x14ac:dyDescent="0.25">
      <c r="A910" s="1"/>
      <c r="B910" s="1"/>
      <c r="C910" s="7" t="s">
        <v>497</v>
      </c>
      <c r="D910" s="17">
        <v>24586</v>
      </c>
      <c r="E910" s="7" t="s">
        <v>7</v>
      </c>
      <c r="F910" s="7" t="s">
        <v>78</v>
      </c>
      <c r="G910" s="7" t="s">
        <v>346</v>
      </c>
      <c r="H910" s="7" t="s">
        <v>35</v>
      </c>
      <c r="I910" s="8">
        <v>370733</v>
      </c>
      <c r="J910" s="7" t="s">
        <v>499</v>
      </c>
      <c r="K910" s="20">
        <v>16</v>
      </c>
      <c r="L910" s="20">
        <v>2</v>
      </c>
      <c r="M910" s="20">
        <v>15</v>
      </c>
      <c r="N910" s="8" t="s">
        <v>155</v>
      </c>
      <c r="O910" s="18" t="s">
        <v>156</v>
      </c>
      <c r="P910" s="164">
        <f t="shared" si="2"/>
        <v>8</v>
      </c>
      <c r="Q910" s="8"/>
    </row>
    <row r="911" spans="1:17" x14ac:dyDescent="0.25">
      <c r="A911" s="1"/>
      <c r="B911" s="1"/>
      <c r="C911" s="7" t="s">
        <v>497</v>
      </c>
      <c r="D911" s="17">
        <v>22189</v>
      </c>
      <c r="E911" s="7" t="s">
        <v>6</v>
      </c>
      <c r="F911" s="7" t="s">
        <v>33</v>
      </c>
      <c r="G911" s="7" t="s">
        <v>148</v>
      </c>
      <c r="H911" s="7" t="s">
        <v>35</v>
      </c>
      <c r="I911" s="8">
        <v>245435</v>
      </c>
      <c r="J911" s="7" t="s">
        <v>485</v>
      </c>
      <c r="K911" s="20">
        <v>8</v>
      </c>
      <c r="L911" s="20">
        <v>1</v>
      </c>
      <c r="M911" s="20">
        <v>13</v>
      </c>
      <c r="N911" s="8" t="s">
        <v>157</v>
      </c>
      <c r="O911" s="18" t="s">
        <v>157</v>
      </c>
      <c r="P911" s="164">
        <f t="shared" si="2"/>
        <v>8</v>
      </c>
      <c r="Q911" s="8"/>
    </row>
    <row r="912" spans="1:17" x14ac:dyDescent="0.25">
      <c r="A912" s="1"/>
      <c r="B912" s="1"/>
      <c r="C912" s="7" t="s">
        <v>497</v>
      </c>
      <c r="D912" s="17">
        <v>22190</v>
      </c>
      <c r="E912" s="7" t="s">
        <v>6</v>
      </c>
      <c r="F912" s="7" t="s">
        <v>33</v>
      </c>
      <c r="G912" s="7" t="s">
        <v>148</v>
      </c>
      <c r="H912" s="7" t="s">
        <v>35</v>
      </c>
      <c r="I912" s="8">
        <v>245435</v>
      </c>
      <c r="J912" s="7" t="s">
        <v>485</v>
      </c>
      <c r="K912" s="20">
        <v>8</v>
      </c>
      <c r="L912" s="20">
        <v>1</v>
      </c>
      <c r="M912" s="20">
        <v>13</v>
      </c>
      <c r="N912" s="8" t="s">
        <v>158</v>
      </c>
      <c r="O912" s="18" t="s">
        <v>158</v>
      </c>
      <c r="P912" s="164">
        <f t="shared" si="2"/>
        <v>8</v>
      </c>
      <c r="Q912" s="8"/>
    </row>
    <row r="913" spans="1:17" x14ac:dyDescent="0.25">
      <c r="A913" s="1"/>
      <c r="B913" s="1"/>
      <c r="C913" s="7" t="s">
        <v>497</v>
      </c>
      <c r="D913" s="17">
        <v>24730</v>
      </c>
      <c r="E913" s="7" t="s">
        <v>7</v>
      </c>
      <c r="F913" s="7" t="s">
        <v>78</v>
      </c>
      <c r="G913" s="7" t="s">
        <v>40</v>
      </c>
      <c r="H913" s="7" t="s">
        <v>35</v>
      </c>
      <c r="I913" s="8">
        <v>971841</v>
      </c>
      <c r="J913" s="7" t="s">
        <v>457</v>
      </c>
      <c r="K913" s="20">
        <v>24</v>
      </c>
      <c r="L913" s="20">
        <v>3</v>
      </c>
      <c r="M913" s="20">
        <v>3</v>
      </c>
      <c r="N913" s="8" t="s">
        <v>156</v>
      </c>
      <c r="O913" s="18" t="s">
        <v>158</v>
      </c>
      <c r="P913" s="164">
        <f t="shared" si="2"/>
        <v>8</v>
      </c>
      <c r="Q913" s="8"/>
    </row>
    <row r="914" spans="1:17" x14ac:dyDescent="0.25">
      <c r="A914" s="1"/>
      <c r="B914" s="1"/>
      <c r="C914" s="7" t="s">
        <v>497</v>
      </c>
      <c r="D914" s="17">
        <v>29383</v>
      </c>
      <c r="E914" s="7" t="s">
        <v>10</v>
      </c>
      <c r="F914" s="7" t="s">
        <v>74</v>
      </c>
      <c r="G914" s="7" t="s">
        <v>65</v>
      </c>
      <c r="H914" s="7" t="s">
        <v>35</v>
      </c>
      <c r="I914" s="8">
        <v>370733</v>
      </c>
      <c r="J914" s="7" t="s">
        <v>499</v>
      </c>
      <c r="K914" s="20">
        <v>24</v>
      </c>
      <c r="L914" s="20">
        <v>3</v>
      </c>
      <c r="M914" s="20">
        <v>11</v>
      </c>
      <c r="N914" s="8" t="s">
        <v>164</v>
      </c>
      <c r="O914" s="18" t="s">
        <v>166</v>
      </c>
      <c r="P914" s="164">
        <f t="shared" si="2"/>
        <v>8</v>
      </c>
      <c r="Q914" s="8"/>
    </row>
    <row r="915" spans="1:17" x14ac:dyDescent="0.25">
      <c r="A915" s="1"/>
      <c r="B915" s="1"/>
      <c r="C915" s="7" t="s">
        <v>497</v>
      </c>
      <c r="D915" s="17">
        <v>24731</v>
      </c>
      <c r="E915" s="7" t="s">
        <v>7</v>
      </c>
      <c r="F915" s="7" t="s">
        <v>78</v>
      </c>
      <c r="G915" s="7" t="s">
        <v>40</v>
      </c>
      <c r="H915" s="7" t="s">
        <v>35</v>
      </c>
      <c r="I915" s="8">
        <v>322115</v>
      </c>
      <c r="J915" s="7" t="s">
        <v>501</v>
      </c>
      <c r="K915" s="20">
        <v>24</v>
      </c>
      <c r="L915" s="20">
        <v>3</v>
      </c>
      <c r="M915" s="20">
        <v>3</v>
      </c>
      <c r="N915" s="8" t="s">
        <v>165</v>
      </c>
      <c r="O915" s="18" t="s">
        <v>167</v>
      </c>
      <c r="P915" s="164">
        <f t="shared" si="2"/>
        <v>8</v>
      </c>
      <c r="Q915" s="8"/>
    </row>
    <row r="916" spans="1:17" x14ac:dyDescent="0.25">
      <c r="A916" s="1"/>
      <c r="B916" s="1"/>
      <c r="C916" s="7" t="s">
        <v>497</v>
      </c>
      <c r="D916" s="17">
        <v>25215</v>
      </c>
      <c r="E916" s="7" t="s">
        <v>7</v>
      </c>
      <c r="F916" s="7" t="s">
        <v>78</v>
      </c>
      <c r="G916" s="7" t="s">
        <v>71</v>
      </c>
      <c r="H916" s="7" t="s">
        <v>35</v>
      </c>
      <c r="I916" s="8">
        <v>445938</v>
      </c>
      <c r="J916" s="7" t="s">
        <v>507</v>
      </c>
      <c r="K916" s="20">
        <v>16</v>
      </c>
      <c r="L916" s="20">
        <v>2</v>
      </c>
      <c r="M916" s="20">
        <v>8</v>
      </c>
      <c r="N916" s="8" t="s">
        <v>167</v>
      </c>
      <c r="O916" s="18" t="s">
        <v>323</v>
      </c>
      <c r="P916" s="164">
        <f t="shared" si="2"/>
        <v>8</v>
      </c>
      <c r="Q916" s="8"/>
    </row>
    <row r="917" spans="1:17" x14ac:dyDescent="0.25">
      <c r="A917" s="1"/>
      <c r="B917" s="1"/>
      <c r="C917" s="7" t="s">
        <v>497</v>
      </c>
      <c r="D917" s="17">
        <v>24618</v>
      </c>
      <c r="E917" s="7" t="s">
        <v>7</v>
      </c>
      <c r="F917" s="7" t="s">
        <v>78</v>
      </c>
      <c r="G917" s="7" t="s">
        <v>317</v>
      </c>
      <c r="H917" s="7" t="s">
        <v>35</v>
      </c>
      <c r="I917" s="8">
        <v>245434</v>
      </c>
      <c r="J917" s="7" t="s">
        <v>500</v>
      </c>
      <c r="K917" s="20">
        <v>16</v>
      </c>
      <c r="L917" s="20">
        <v>2</v>
      </c>
      <c r="M917" s="20">
        <v>3</v>
      </c>
      <c r="N917" s="8" t="s">
        <v>172</v>
      </c>
      <c r="O917" s="18" t="s">
        <v>174</v>
      </c>
      <c r="P917" s="164">
        <f t="shared" si="2"/>
        <v>9</v>
      </c>
      <c r="Q917" s="8"/>
    </row>
    <row r="918" spans="1:17" x14ac:dyDescent="0.25">
      <c r="A918" s="1"/>
      <c r="B918" s="1"/>
      <c r="C918" s="7" t="s">
        <v>497</v>
      </c>
      <c r="D918" s="17">
        <v>24880</v>
      </c>
      <c r="E918" s="7" t="s">
        <v>7</v>
      </c>
      <c r="F918" s="7" t="s">
        <v>78</v>
      </c>
      <c r="G918" s="7" t="s">
        <v>34</v>
      </c>
      <c r="H918" s="7" t="s">
        <v>35</v>
      </c>
      <c r="I918" s="8">
        <v>245434</v>
      </c>
      <c r="J918" s="7" t="s">
        <v>500</v>
      </c>
      <c r="K918" s="20">
        <v>8</v>
      </c>
      <c r="L918" s="20">
        <v>1</v>
      </c>
      <c r="M918" s="20">
        <v>10</v>
      </c>
      <c r="N918" s="8" t="s">
        <v>180</v>
      </c>
      <c r="O918" s="18" t="s">
        <v>180</v>
      </c>
      <c r="P918" s="164">
        <f t="shared" si="2"/>
        <v>9</v>
      </c>
      <c r="Q918" s="8"/>
    </row>
    <row r="919" spans="1:17" x14ac:dyDescent="0.25">
      <c r="A919" s="1"/>
      <c r="B919" s="1"/>
      <c r="C919" s="7" t="s">
        <v>497</v>
      </c>
      <c r="D919" s="17">
        <v>24493</v>
      </c>
      <c r="E919" s="7" t="s">
        <v>7</v>
      </c>
      <c r="F919" s="7" t="s">
        <v>78</v>
      </c>
      <c r="G919" s="7" t="s">
        <v>264</v>
      </c>
      <c r="H919" s="7" t="s">
        <v>35</v>
      </c>
      <c r="I919" s="8">
        <v>245435</v>
      </c>
      <c r="J919" s="7" t="s">
        <v>485</v>
      </c>
      <c r="K919" s="20">
        <v>8</v>
      </c>
      <c r="L919" s="20">
        <v>1</v>
      </c>
      <c r="M919" s="20">
        <v>16</v>
      </c>
      <c r="N919" s="8" t="s">
        <v>180</v>
      </c>
      <c r="O919" s="18" t="s">
        <v>180</v>
      </c>
      <c r="P919" s="164">
        <f t="shared" si="2"/>
        <v>9</v>
      </c>
      <c r="Q919" s="8"/>
    </row>
    <row r="920" spans="1:17" x14ac:dyDescent="0.25">
      <c r="A920" s="1"/>
      <c r="B920" s="1"/>
      <c r="C920" s="7" t="s">
        <v>497</v>
      </c>
      <c r="D920" s="17">
        <v>24804</v>
      </c>
      <c r="E920" s="7" t="s">
        <v>7</v>
      </c>
      <c r="F920" s="7" t="s">
        <v>78</v>
      </c>
      <c r="G920" s="7" t="s">
        <v>159</v>
      </c>
      <c r="H920" s="7" t="s">
        <v>35</v>
      </c>
      <c r="I920" s="8">
        <v>373645</v>
      </c>
      <c r="J920" s="7" t="s">
        <v>503</v>
      </c>
      <c r="K920" s="20">
        <v>16</v>
      </c>
      <c r="L920" s="20">
        <v>2</v>
      </c>
      <c r="M920" s="20">
        <v>12</v>
      </c>
      <c r="N920" s="8" t="s">
        <v>179</v>
      </c>
      <c r="O920" s="18" t="s">
        <v>180</v>
      </c>
      <c r="P920" s="164">
        <f t="shared" si="2"/>
        <v>9</v>
      </c>
      <c r="Q920" s="8"/>
    </row>
    <row r="921" spans="1:17" x14ac:dyDescent="0.25">
      <c r="A921" s="1"/>
      <c r="B921" s="1"/>
      <c r="C921" s="7" t="s">
        <v>497</v>
      </c>
      <c r="D921" s="17">
        <v>24529</v>
      </c>
      <c r="E921" s="7" t="s">
        <v>7</v>
      </c>
      <c r="F921" s="7" t="s">
        <v>78</v>
      </c>
      <c r="G921" s="7" t="s">
        <v>89</v>
      </c>
      <c r="H921" s="7" t="s">
        <v>35</v>
      </c>
      <c r="I921" s="8">
        <v>322115</v>
      </c>
      <c r="J921" s="7" t="s">
        <v>501</v>
      </c>
      <c r="K921" s="20">
        <v>16</v>
      </c>
      <c r="L921" s="20">
        <v>2</v>
      </c>
      <c r="M921" s="20">
        <v>3</v>
      </c>
      <c r="N921" s="8" t="s">
        <v>180</v>
      </c>
      <c r="O921" s="18" t="s">
        <v>182</v>
      </c>
      <c r="P921" s="164">
        <f t="shared" si="2"/>
        <v>9</v>
      </c>
      <c r="Q921" s="8"/>
    </row>
    <row r="922" spans="1:17" x14ac:dyDescent="0.25">
      <c r="A922" s="1"/>
      <c r="B922" s="1"/>
      <c r="C922" s="7" t="s">
        <v>497</v>
      </c>
      <c r="D922" s="17">
        <v>24172</v>
      </c>
      <c r="E922" s="7" t="s">
        <v>12</v>
      </c>
      <c r="F922" s="7" t="s">
        <v>61</v>
      </c>
      <c r="G922" s="7" t="s">
        <v>401</v>
      </c>
      <c r="H922" s="7" t="s">
        <v>35</v>
      </c>
      <c r="I922" s="8">
        <v>322115</v>
      </c>
      <c r="J922" s="7" t="s">
        <v>501</v>
      </c>
      <c r="K922" s="20">
        <v>16</v>
      </c>
      <c r="L922" s="20">
        <v>2</v>
      </c>
      <c r="M922" s="20">
        <v>11</v>
      </c>
      <c r="N922" s="8" t="s">
        <v>188</v>
      </c>
      <c r="O922" s="18" t="s">
        <v>189</v>
      </c>
      <c r="P922" s="164">
        <f t="shared" si="2"/>
        <v>9</v>
      </c>
      <c r="Q922" s="8"/>
    </row>
    <row r="923" spans="1:17" x14ac:dyDescent="0.25">
      <c r="A923" s="1"/>
      <c r="B923" s="1"/>
      <c r="C923" s="7" t="s">
        <v>497</v>
      </c>
      <c r="D923" s="17">
        <v>29386</v>
      </c>
      <c r="E923" s="7" t="s">
        <v>10</v>
      </c>
      <c r="F923" s="7" t="s">
        <v>74</v>
      </c>
      <c r="G923" s="7" t="s">
        <v>65</v>
      </c>
      <c r="H923" s="7" t="s">
        <v>35</v>
      </c>
      <c r="I923" s="8">
        <v>245435</v>
      </c>
      <c r="J923" s="7" t="s">
        <v>485</v>
      </c>
      <c r="K923" s="20">
        <v>24</v>
      </c>
      <c r="L923" s="20">
        <v>3</v>
      </c>
      <c r="M923" s="20">
        <v>14</v>
      </c>
      <c r="N923" s="8" t="s">
        <v>188</v>
      </c>
      <c r="O923" s="18" t="s">
        <v>325</v>
      </c>
      <c r="P923" s="164">
        <f t="shared" si="2"/>
        <v>9</v>
      </c>
      <c r="Q923" s="8"/>
    </row>
    <row r="924" spans="1:17" x14ac:dyDescent="0.25">
      <c r="A924" s="1"/>
      <c r="B924" s="1"/>
      <c r="C924" s="7" t="s">
        <v>497</v>
      </c>
      <c r="D924" s="17">
        <v>31046</v>
      </c>
      <c r="E924" s="7" t="s">
        <v>10</v>
      </c>
      <c r="F924" s="7" t="s">
        <v>498</v>
      </c>
      <c r="G924" s="7" t="s">
        <v>346</v>
      </c>
      <c r="H924" s="7" t="s">
        <v>35</v>
      </c>
      <c r="I924" s="8">
        <v>370733</v>
      </c>
      <c r="J924" s="7" t="s">
        <v>499</v>
      </c>
      <c r="K924" s="20">
        <v>16</v>
      </c>
      <c r="L924" s="20">
        <v>2</v>
      </c>
      <c r="M924" s="20">
        <v>10</v>
      </c>
      <c r="N924" s="8" t="s">
        <v>361</v>
      </c>
      <c r="O924" s="18" t="s">
        <v>190</v>
      </c>
      <c r="P924" s="164">
        <f t="shared" si="2"/>
        <v>9</v>
      </c>
      <c r="Q924" s="8"/>
    </row>
    <row r="925" spans="1:17" x14ac:dyDescent="0.25">
      <c r="A925" s="1"/>
      <c r="B925" s="1"/>
      <c r="C925" s="7" t="s">
        <v>497</v>
      </c>
      <c r="D925" s="17">
        <v>25309</v>
      </c>
      <c r="E925" s="7" t="s">
        <v>7</v>
      </c>
      <c r="F925" s="7" t="s">
        <v>78</v>
      </c>
      <c r="G925" s="7" t="s">
        <v>199</v>
      </c>
      <c r="H925" s="7" t="s">
        <v>35</v>
      </c>
      <c r="I925" s="8">
        <v>245434</v>
      </c>
      <c r="J925" s="7" t="s">
        <v>500</v>
      </c>
      <c r="K925" s="20">
        <v>8</v>
      </c>
      <c r="L925" s="20">
        <v>1</v>
      </c>
      <c r="M925" s="20">
        <v>6</v>
      </c>
      <c r="N925" s="8" t="s">
        <v>191</v>
      </c>
      <c r="O925" s="18" t="s">
        <v>191</v>
      </c>
      <c r="P925" s="164">
        <f t="shared" si="2"/>
        <v>9</v>
      </c>
      <c r="Q925" s="8"/>
    </row>
    <row r="926" spans="1:17" x14ac:dyDescent="0.25">
      <c r="A926" s="1"/>
      <c r="B926" s="1"/>
      <c r="C926" s="7" t="s">
        <v>497</v>
      </c>
      <c r="D926" s="17">
        <v>24843</v>
      </c>
      <c r="E926" s="7" t="s">
        <v>7</v>
      </c>
      <c r="F926" s="7" t="s">
        <v>78</v>
      </c>
      <c r="G926" s="7" t="s">
        <v>65</v>
      </c>
      <c r="H926" s="7" t="s">
        <v>35</v>
      </c>
      <c r="I926" s="8">
        <v>245435</v>
      </c>
      <c r="J926" s="7" t="s">
        <v>485</v>
      </c>
      <c r="K926" s="20">
        <v>24</v>
      </c>
      <c r="L926" s="20">
        <v>3</v>
      </c>
      <c r="M926" s="20">
        <v>9</v>
      </c>
      <c r="N926" s="8" t="s">
        <v>361</v>
      </c>
      <c r="O926" s="18" t="s">
        <v>191</v>
      </c>
      <c r="P926" s="164">
        <f t="shared" si="2"/>
        <v>9</v>
      </c>
      <c r="Q926" s="8"/>
    </row>
    <row r="927" spans="1:17" x14ac:dyDescent="0.25">
      <c r="A927" s="1"/>
      <c r="B927" s="1"/>
      <c r="C927" s="7" t="s">
        <v>497</v>
      </c>
      <c r="D927" s="17">
        <v>24650</v>
      </c>
      <c r="E927" s="7" t="s">
        <v>7</v>
      </c>
      <c r="F927" s="7" t="s">
        <v>78</v>
      </c>
      <c r="G927" s="7" t="s">
        <v>68</v>
      </c>
      <c r="H927" s="7" t="s">
        <v>35</v>
      </c>
      <c r="I927" s="8">
        <v>322115</v>
      </c>
      <c r="J927" s="7" t="s">
        <v>501</v>
      </c>
      <c r="K927" s="20">
        <v>24</v>
      </c>
      <c r="L927" s="20">
        <v>3</v>
      </c>
      <c r="M927" s="20">
        <v>3</v>
      </c>
      <c r="N927" s="8" t="s">
        <v>361</v>
      </c>
      <c r="O927" s="18" t="s">
        <v>191</v>
      </c>
      <c r="P927" s="164">
        <f t="shared" si="2"/>
        <v>9</v>
      </c>
      <c r="Q927" s="8"/>
    </row>
    <row r="928" spans="1:17" x14ac:dyDescent="0.25">
      <c r="A928" s="1"/>
      <c r="B928" s="1"/>
      <c r="C928" s="7" t="s">
        <v>497</v>
      </c>
      <c r="D928" s="17">
        <v>24743</v>
      </c>
      <c r="E928" s="7" t="s">
        <v>7</v>
      </c>
      <c r="F928" s="7" t="s">
        <v>78</v>
      </c>
      <c r="G928" s="7" t="s">
        <v>40</v>
      </c>
      <c r="H928" s="7" t="s">
        <v>35</v>
      </c>
      <c r="I928" s="8">
        <v>971841</v>
      </c>
      <c r="J928" s="7" t="s">
        <v>457</v>
      </c>
      <c r="K928" s="20">
        <v>24</v>
      </c>
      <c r="L928" s="20">
        <v>3</v>
      </c>
      <c r="M928" s="20">
        <v>3</v>
      </c>
      <c r="N928" s="8" t="s">
        <v>197</v>
      </c>
      <c r="O928" s="18" t="s">
        <v>200</v>
      </c>
      <c r="P928" s="164">
        <f t="shared" si="2"/>
        <v>10</v>
      </c>
      <c r="Q928" s="8"/>
    </row>
    <row r="929" spans="1:17" x14ac:dyDescent="0.25">
      <c r="A929" s="1"/>
      <c r="B929" s="1"/>
      <c r="C929" s="7" t="s">
        <v>497</v>
      </c>
      <c r="D929" s="17">
        <v>24533</v>
      </c>
      <c r="E929" s="7" t="s">
        <v>7</v>
      </c>
      <c r="F929" s="7" t="s">
        <v>78</v>
      </c>
      <c r="G929" s="7" t="s">
        <v>89</v>
      </c>
      <c r="H929" s="7" t="s">
        <v>35</v>
      </c>
      <c r="I929" s="8">
        <v>245435</v>
      </c>
      <c r="J929" s="7" t="s">
        <v>485</v>
      </c>
      <c r="K929" s="20">
        <v>16</v>
      </c>
      <c r="L929" s="20">
        <v>2</v>
      </c>
      <c r="M929" s="20">
        <v>3</v>
      </c>
      <c r="N929" s="8" t="s">
        <v>327</v>
      </c>
      <c r="O929" s="18" t="s">
        <v>203</v>
      </c>
      <c r="P929" s="164">
        <f t="shared" si="2"/>
        <v>10</v>
      </c>
      <c r="Q929" s="8"/>
    </row>
    <row r="930" spans="1:17" x14ac:dyDescent="0.25">
      <c r="A930" s="1"/>
      <c r="B930" s="1"/>
      <c r="C930" s="7" t="s">
        <v>497</v>
      </c>
      <c r="D930" s="17">
        <v>24805</v>
      </c>
      <c r="E930" s="7" t="s">
        <v>7</v>
      </c>
      <c r="F930" s="7" t="s">
        <v>78</v>
      </c>
      <c r="G930" s="7" t="s">
        <v>159</v>
      </c>
      <c r="H930" s="7" t="s">
        <v>35</v>
      </c>
      <c r="I930" s="8">
        <v>373645</v>
      </c>
      <c r="J930" s="7" t="s">
        <v>503</v>
      </c>
      <c r="K930" s="20">
        <v>16</v>
      </c>
      <c r="L930" s="20">
        <v>2</v>
      </c>
      <c r="M930" s="20">
        <v>12</v>
      </c>
      <c r="N930" s="8" t="s">
        <v>203</v>
      </c>
      <c r="O930" s="18" t="s">
        <v>204</v>
      </c>
      <c r="P930" s="164">
        <f t="shared" si="2"/>
        <v>10</v>
      </c>
      <c r="Q930" s="8"/>
    </row>
    <row r="931" spans="1:17" x14ac:dyDescent="0.25">
      <c r="A931" s="1"/>
      <c r="B931" s="1"/>
      <c r="C931" s="7" t="s">
        <v>497</v>
      </c>
      <c r="D931" s="17">
        <v>24652</v>
      </c>
      <c r="E931" s="7" t="s">
        <v>7</v>
      </c>
      <c r="F931" s="7" t="s">
        <v>78</v>
      </c>
      <c r="G931" s="7" t="s">
        <v>68</v>
      </c>
      <c r="H931" s="7" t="s">
        <v>35</v>
      </c>
      <c r="I931" s="8">
        <v>245435</v>
      </c>
      <c r="J931" s="7" t="s">
        <v>485</v>
      </c>
      <c r="K931" s="20">
        <v>24</v>
      </c>
      <c r="L931" s="20">
        <v>3</v>
      </c>
      <c r="M931" s="20">
        <v>3</v>
      </c>
      <c r="N931" s="8" t="s">
        <v>204</v>
      </c>
      <c r="O931" s="18" t="s">
        <v>206</v>
      </c>
      <c r="P931" s="164">
        <f t="shared" si="2"/>
        <v>10</v>
      </c>
      <c r="Q931" s="8"/>
    </row>
    <row r="932" spans="1:17" x14ac:dyDescent="0.25">
      <c r="A932" s="1"/>
      <c r="B932" s="1"/>
      <c r="C932" s="7" t="s">
        <v>497</v>
      </c>
      <c r="D932" s="17">
        <v>24842</v>
      </c>
      <c r="E932" s="7" t="s">
        <v>7</v>
      </c>
      <c r="F932" s="7" t="s">
        <v>78</v>
      </c>
      <c r="G932" s="7" t="s">
        <v>65</v>
      </c>
      <c r="H932" s="7" t="s">
        <v>35</v>
      </c>
      <c r="I932" s="8">
        <v>245435</v>
      </c>
      <c r="J932" s="7" t="s">
        <v>485</v>
      </c>
      <c r="K932" s="20">
        <v>24</v>
      </c>
      <c r="L932" s="20">
        <v>3</v>
      </c>
      <c r="M932" s="20">
        <v>8</v>
      </c>
      <c r="N932" s="8" t="s">
        <v>208</v>
      </c>
      <c r="O932" s="18" t="s">
        <v>209</v>
      </c>
      <c r="P932" s="164">
        <f t="shared" si="2"/>
        <v>10</v>
      </c>
      <c r="Q932" s="8"/>
    </row>
    <row r="933" spans="1:17" x14ac:dyDescent="0.25">
      <c r="A933" s="1"/>
      <c r="B933" s="1"/>
      <c r="C933" s="7" t="s">
        <v>497</v>
      </c>
      <c r="D933" s="17">
        <v>25313</v>
      </c>
      <c r="E933" s="7" t="s">
        <v>7</v>
      </c>
      <c r="F933" s="7" t="s">
        <v>78</v>
      </c>
      <c r="G933" s="7" t="s">
        <v>199</v>
      </c>
      <c r="H933" s="7" t="s">
        <v>35</v>
      </c>
      <c r="I933" s="8">
        <v>245434</v>
      </c>
      <c r="J933" s="7" t="s">
        <v>500</v>
      </c>
      <c r="K933" s="20">
        <v>8</v>
      </c>
      <c r="L933" s="20">
        <v>1</v>
      </c>
      <c r="M933" s="20">
        <v>3</v>
      </c>
      <c r="N933" s="8" t="s">
        <v>215</v>
      </c>
      <c r="O933" s="18" t="s">
        <v>215</v>
      </c>
      <c r="P933" s="164">
        <f t="shared" si="2"/>
        <v>10</v>
      </c>
      <c r="Q933" s="8"/>
    </row>
    <row r="934" spans="1:17" x14ac:dyDescent="0.25">
      <c r="A934" s="1"/>
      <c r="B934" s="1"/>
      <c r="C934" s="7" t="s">
        <v>497</v>
      </c>
      <c r="D934" s="17">
        <v>24849</v>
      </c>
      <c r="E934" s="7" t="s">
        <v>7</v>
      </c>
      <c r="F934" s="7" t="s">
        <v>78</v>
      </c>
      <c r="G934" s="7" t="s">
        <v>84</v>
      </c>
      <c r="H934" s="7" t="s">
        <v>35</v>
      </c>
      <c r="I934" s="8">
        <v>322115</v>
      </c>
      <c r="J934" s="7" t="s">
        <v>501</v>
      </c>
      <c r="K934" s="20">
        <v>16</v>
      </c>
      <c r="L934" s="20">
        <v>2</v>
      </c>
      <c r="M934" s="20">
        <v>6</v>
      </c>
      <c r="N934" s="8" t="s">
        <v>215</v>
      </c>
      <c r="O934" s="18" t="s">
        <v>216</v>
      </c>
      <c r="P934" s="164">
        <f t="shared" si="2"/>
        <v>10</v>
      </c>
      <c r="Q934" s="8"/>
    </row>
    <row r="935" spans="1:17" x14ac:dyDescent="0.25">
      <c r="A935" s="1"/>
      <c r="B935" s="1"/>
      <c r="C935" s="7" t="s">
        <v>497</v>
      </c>
      <c r="D935" s="17">
        <v>24625</v>
      </c>
      <c r="E935" s="7" t="s">
        <v>7</v>
      </c>
      <c r="F935" s="7" t="s">
        <v>78</v>
      </c>
      <c r="G935" s="7" t="s">
        <v>317</v>
      </c>
      <c r="H935" s="7" t="s">
        <v>35</v>
      </c>
      <c r="I935" s="8">
        <v>245434</v>
      </c>
      <c r="J935" s="7" t="s">
        <v>500</v>
      </c>
      <c r="K935" s="20">
        <v>16</v>
      </c>
      <c r="L935" s="20">
        <v>2</v>
      </c>
      <c r="M935" s="20">
        <v>3</v>
      </c>
      <c r="N935" s="8" t="s">
        <v>220</v>
      </c>
      <c r="O935" s="18" t="s">
        <v>221</v>
      </c>
      <c r="P935" s="164">
        <f t="shared" si="2"/>
        <v>10</v>
      </c>
      <c r="Q935" s="8"/>
    </row>
    <row r="936" spans="1:17" x14ac:dyDescent="0.25">
      <c r="A936" s="1"/>
      <c r="B936" s="1"/>
      <c r="C936" s="7" t="s">
        <v>497</v>
      </c>
      <c r="D936" s="17">
        <v>25314</v>
      </c>
      <c r="E936" s="7" t="s">
        <v>7</v>
      </c>
      <c r="F936" s="7" t="s">
        <v>78</v>
      </c>
      <c r="G936" s="7" t="s">
        <v>199</v>
      </c>
      <c r="H936" s="7" t="s">
        <v>35</v>
      </c>
      <c r="I936" s="8">
        <v>245434</v>
      </c>
      <c r="J936" s="7" t="s">
        <v>500</v>
      </c>
      <c r="K936" s="20">
        <v>8</v>
      </c>
      <c r="L936" s="20">
        <v>1</v>
      </c>
      <c r="M936" s="20">
        <v>3</v>
      </c>
      <c r="N936" s="8" t="s">
        <v>225</v>
      </c>
      <c r="O936" s="18" t="s">
        <v>225</v>
      </c>
      <c r="P936" s="164">
        <f t="shared" si="2"/>
        <v>10</v>
      </c>
      <c r="Q936" s="8"/>
    </row>
    <row r="937" spans="1:17" x14ac:dyDescent="0.25">
      <c r="A937" s="1"/>
      <c r="B937" s="1"/>
      <c r="C937" s="7" t="s">
        <v>497</v>
      </c>
      <c r="D937" s="17">
        <v>31045</v>
      </c>
      <c r="E937" s="7" t="s">
        <v>10</v>
      </c>
      <c r="F937" s="7" t="s">
        <v>498</v>
      </c>
      <c r="G937" s="7" t="s">
        <v>346</v>
      </c>
      <c r="H937" s="7" t="s">
        <v>35</v>
      </c>
      <c r="I937" s="8">
        <v>370733</v>
      </c>
      <c r="J937" s="7" t="s">
        <v>499</v>
      </c>
      <c r="K937" s="20">
        <v>16</v>
      </c>
      <c r="L937" s="20">
        <v>2</v>
      </c>
      <c r="M937" s="20">
        <v>10</v>
      </c>
      <c r="N937" s="8" t="s">
        <v>224</v>
      </c>
      <c r="O937" s="18" t="s">
        <v>225</v>
      </c>
      <c r="P937" s="164">
        <f t="shared" si="2"/>
        <v>10</v>
      </c>
      <c r="Q937" s="8"/>
    </row>
    <row r="938" spans="1:17" x14ac:dyDescent="0.25">
      <c r="A938" s="1"/>
      <c r="B938" s="1"/>
      <c r="C938" s="7" t="s">
        <v>497</v>
      </c>
      <c r="D938" s="17">
        <v>24875</v>
      </c>
      <c r="E938" s="7" t="s">
        <v>7</v>
      </c>
      <c r="F938" s="7" t="s">
        <v>78</v>
      </c>
      <c r="G938" s="7" t="s">
        <v>148</v>
      </c>
      <c r="H938" s="7" t="s">
        <v>35</v>
      </c>
      <c r="I938" s="8">
        <v>245435</v>
      </c>
      <c r="J938" s="7" t="s">
        <v>485</v>
      </c>
      <c r="K938" s="20">
        <v>8</v>
      </c>
      <c r="L938" s="20">
        <v>1</v>
      </c>
      <c r="M938" s="20">
        <v>11</v>
      </c>
      <c r="N938" s="8" t="s">
        <v>226</v>
      </c>
      <c r="O938" s="18" t="s">
        <v>226</v>
      </c>
      <c r="P938" s="164">
        <f t="shared" si="2"/>
        <v>11</v>
      </c>
      <c r="Q938" s="8"/>
    </row>
    <row r="939" spans="1:17" x14ac:dyDescent="0.25">
      <c r="A939" s="1"/>
      <c r="B939" s="1"/>
      <c r="C939" s="7" t="s">
        <v>497</v>
      </c>
      <c r="D939" s="17">
        <v>29391</v>
      </c>
      <c r="E939" s="7" t="s">
        <v>10</v>
      </c>
      <c r="F939" s="7" t="s">
        <v>74</v>
      </c>
      <c r="G939" s="7" t="s">
        <v>65</v>
      </c>
      <c r="H939" s="7" t="s">
        <v>35</v>
      </c>
      <c r="I939" s="8">
        <v>245435</v>
      </c>
      <c r="J939" s="7" t="s">
        <v>485</v>
      </c>
      <c r="K939" s="20">
        <v>24</v>
      </c>
      <c r="L939" s="20">
        <v>3</v>
      </c>
      <c r="M939" s="20">
        <v>14</v>
      </c>
      <c r="N939" s="8" t="s">
        <v>365</v>
      </c>
      <c r="O939" s="18" t="s">
        <v>513</v>
      </c>
      <c r="P939" s="164">
        <f t="shared" si="2"/>
        <v>11</v>
      </c>
      <c r="Q939" s="8"/>
    </row>
    <row r="940" spans="1:17" x14ac:dyDescent="0.25">
      <c r="A940" s="1"/>
      <c r="B940" s="1"/>
      <c r="C940" s="7" t="s">
        <v>497</v>
      </c>
      <c r="D940" s="17">
        <v>25319</v>
      </c>
      <c r="E940" s="7" t="s">
        <v>7</v>
      </c>
      <c r="F940" s="7" t="s">
        <v>78</v>
      </c>
      <c r="G940" s="7" t="s">
        <v>199</v>
      </c>
      <c r="H940" s="7" t="s">
        <v>35</v>
      </c>
      <c r="I940" s="8">
        <v>245434</v>
      </c>
      <c r="J940" s="7" t="s">
        <v>500</v>
      </c>
      <c r="K940" s="20">
        <v>8</v>
      </c>
      <c r="L940" s="20">
        <v>1</v>
      </c>
      <c r="M940" s="20">
        <v>3</v>
      </c>
      <c r="N940" s="8" t="s">
        <v>230</v>
      </c>
      <c r="O940" s="18" t="s">
        <v>230</v>
      </c>
      <c r="P940" s="164">
        <f t="shared" si="2"/>
        <v>11</v>
      </c>
      <c r="Q940" s="8"/>
    </row>
    <row r="941" spans="1:17" x14ac:dyDescent="0.25">
      <c r="A941" s="1"/>
      <c r="B941" s="1"/>
      <c r="C941" s="7" t="s">
        <v>497</v>
      </c>
      <c r="D941" s="17">
        <v>24881</v>
      </c>
      <c r="E941" s="7" t="s">
        <v>7</v>
      </c>
      <c r="F941" s="7" t="s">
        <v>78</v>
      </c>
      <c r="G941" s="7" t="s">
        <v>34</v>
      </c>
      <c r="H941" s="7" t="s">
        <v>35</v>
      </c>
      <c r="I941" s="8">
        <v>245434</v>
      </c>
      <c r="J941" s="7" t="s">
        <v>500</v>
      </c>
      <c r="K941" s="20">
        <v>8</v>
      </c>
      <c r="L941" s="20">
        <v>1</v>
      </c>
      <c r="M941" s="20">
        <v>10</v>
      </c>
      <c r="N941" s="8" t="s">
        <v>366</v>
      </c>
      <c r="O941" s="18" t="s">
        <v>366</v>
      </c>
      <c r="P941" s="164">
        <f t="shared" si="2"/>
        <v>11</v>
      </c>
      <c r="Q941" s="8"/>
    </row>
    <row r="942" spans="1:17" x14ac:dyDescent="0.25">
      <c r="A942" s="1"/>
      <c r="B942" s="1"/>
      <c r="C942" s="7" t="s">
        <v>497</v>
      </c>
      <c r="D942" s="17">
        <v>24656</v>
      </c>
      <c r="E942" s="7" t="s">
        <v>7</v>
      </c>
      <c r="F942" s="7" t="s">
        <v>78</v>
      </c>
      <c r="G942" s="7" t="s">
        <v>68</v>
      </c>
      <c r="H942" s="7" t="s">
        <v>35</v>
      </c>
      <c r="I942" s="8">
        <v>245435</v>
      </c>
      <c r="J942" s="7" t="s">
        <v>485</v>
      </c>
      <c r="K942" s="20">
        <v>24</v>
      </c>
      <c r="L942" s="20">
        <v>3</v>
      </c>
      <c r="M942" s="20">
        <v>3</v>
      </c>
      <c r="N942" s="8" t="s">
        <v>230</v>
      </c>
      <c r="O942" s="18" t="s">
        <v>366</v>
      </c>
      <c r="P942" s="164">
        <f t="shared" si="2"/>
        <v>11</v>
      </c>
      <c r="Q942" s="8"/>
    </row>
    <row r="943" spans="1:17" x14ac:dyDescent="0.25">
      <c r="A943" s="1"/>
      <c r="B943" s="1"/>
      <c r="C943" s="7" t="s">
        <v>497</v>
      </c>
      <c r="D943" s="17">
        <v>24628</v>
      </c>
      <c r="E943" s="7" t="s">
        <v>7</v>
      </c>
      <c r="F943" s="7" t="s">
        <v>78</v>
      </c>
      <c r="G943" s="7" t="s">
        <v>317</v>
      </c>
      <c r="H943" s="7" t="s">
        <v>35</v>
      </c>
      <c r="I943" s="8">
        <v>322115</v>
      </c>
      <c r="J943" s="7" t="s">
        <v>501</v>
      </c>
      <c r="K943" s="20">
        <v>16</v>
      </c>
      <c r="L943" s="20">
        <v>2</v>
      </c>
      <c r="M943" s="20">
        <v>3</v>
      </c>
      <c r="N943" s="8" t="s">
        <v>236</v>
      </c>
      <c r="O943" s="18" t="s">
        <v>237</v>
      </c>
      <c r="P943" s="164">
        <f t="shared" si="2"/>
        <v>11</v>
      </c>
      <c r="Q943" s="8"/>
    </row>
    <row r="944" spans="1:17" x14ac:dyDescent="0.25">
      <c r="A944" s="1"/>
      <c r="B944" s="1"/>
      <c r="C944" s="7" t="s">
        <v>497</v>
      </c>
      <c r="D944" s="17">
        <v>24807</v>
      </c>
      <c r="E944" s="7" t="s">
        <v>7</v>
      </c>
      <c r="F944" s="7" t="s">
        <v>78</v>
      </c>
      <c r="G944" s="7" t="s">
        <v>105</v>
      </c>
      <c r="H944" s="7" t="s">
        <v>35</v>
      </c>
      <c r="I944" s="8">
        <v>445938</v>
      </c>
      <c r="J944" s="7" t="s">
        <v>507</v>
      </c>
      <c r="K944" s="20">
        <v>16</v>
      </c>
      <c r="L944" s="20">
        <v>2</v>
      </c>
      <c r="M944" s="20">
        <v>11</v>
      </c>
      <c r="N944" s="8" t="s">
        <v>237</v>
      </c>
      <c r="O944" s="18" t="s">
        <v>238</v>
      </c>
      <c r="P944" s="164">
        <f t="shared" si="2"/>
        <v>11</v>
      </c>
      <c r="Q944" s="8"/>
    </row>
    <row r="945" spans="1:17" x14ac:dyDescent="0.25">
      <c r="A945" s="1"/>
      <c r="B945" s="1"/>
      <c r="C945" s="7" t="s">
        <v>497</v>
      </c>
      <c r="D945" s="17">
        <v>24806</v>
      </c>
      <c r="E945" s="7" t="s">
        <v>7</v>
      </c>
      <c r="F945" s="7" t="s">
        <v>78</v>
      </c>
      <c r="G945" s="7" t="s">
        <v>105</v>
      </c>
      <c r="H945" s="7" t="s">
        <v>35</v>
      </c>
      <c r="I945" s="8">
        <v>445938</v>
      </c>
      <c r="J945" s="7" t="s">
        <v>507</v>
      </c>
      <c r="K945" s="20">
        <v>16</v>
      </c>
      <c r="L945" s="20">
        <v>2</v>
      </c>
      <c r="M945" s="20">
        <v>10</v>
      </c>
      <c r="N945" s="8" t="s">
        <v>239</v>
      </c>
      <c r="O945" s="18" t="s">
        <v>240</v>
      </c>
      <c r="P945" s="164">
        <f t="shared" si="2"/>
        <v>11</v>
      </c>
      <c r="Q945" s="8"/>
    </row>
    <row r="946" spans="1:17" x14ac:dyDescent="0.25">
      <c r="A946" s="1"/>
      <c r="B946" s="1"/>
      <c r="C946" s="7" t="s">
        <v>497</v>
      </c>
      <c r="D946" s="17">
        <v>29393</v>
      </c>
      <c r="E946" s="7" t="s">
        <v>10</v>
      </c>
      <c r="F946" s="7" t="s">
        <v>74</v>
      </c>
      <c r="G946" s="7" t="s">
        <v>65</v>
      </c>
      <c r="H946" s="7" t="s">
        <v>35</v>
      </c>
      <c r="I946" s="8">
        <v>245435</v>
      </c>
      <c r="J946" s="7" t="s">
        <v>485</v>
      </c>
      <c r="K946" s="20">
        <v>24</v>
      </c>
      <c r="L946" s="20">
        <v>3</v>
      </c>
      <c r="M946" s="20">
        <v>19</v>
      </c>
      <c r="N946" s="8" t="s">
        <v>335</v>
      </c>
      <c r="O946" s="18" t="s">
        <v>243</v>
      </c>
      <c r="P946" s="164">
        <f t="shared" si="2"/>
        <v>11</v>
      </c>
      <c r="Q946" s="8"/>
    </row>
    <row r="947" spans="1:17" x14ac:dyDescent="0.25">
      <c r="A947" s="1"/>
      <c r="B947" s="1"/>
      <c r="C947" s="7" t="s">
        <v>497</v>
      </c>
      <c r="D947" s="17">
        <v>24749</v>
      </c>
      <c r="E947" s="7" t="s">
        <v>7</v>
      </c>
      <c r="F947" s="7" t="s">
        <v>78</v>
      </c>
      <c r="G947" s="7" t="s">
        <v>40</v>
      </c>
      <c r="H947" s="7" t="s">
        <v>35</v>
      </c>
      <c r="I947" s="8">
        <v>971841</v>
      </c>
      <c r="J947" s="7" t="s">
        <v>457</v>
      </c>
      <c r="K947" s="20">
        <v>24</v>
      </c>
      <c r="L947" s="20">
        <v>3</v>
      </c>
      <c r="M947" s="20">
        <v>4</v>
      </c>
      <c r="N947" s="8" t="s">
        <v>335</v>
      </c>
      <c r="O947" s="18" t="s">
        <v>243</v>
      </c>
      <c r="P947" s="164">
        <f t="shared" si="2"/>
        <v>11</v>
      </c>
      <c r="Q947" s="8"/>
    </row>
    <row r="948" spans="1:17" x14ac:dyDescent="0.25">
      <c r="A948" s="1"/>
      <c r="B948" s="1"/>
      <c r="C948" s="7" t="s">
        <v>497</v>
      </c>
      <c r="D948" s="17">
        <v>24808</v>
      </c>
      <c r="E948" s="7" t="s">
        <v>7</v>
      </c>
      <c r="F948" s="7" t="s">
        <v>78</v>
      </c>
      <c r="G948" s="7" t="s">
        <v>105</v>
      </c>
      <c r="H948" s="7" t="s">
        <v>35</v>
      </c>
      <c r="I948" s="8">
        <v>445938</v>
      </c>
      <c r="J948" s="7" t="s">
        <v>507</v>
      </c>
      <c r="K948" s="20">
        <v>16</v>
      </c>
      <c r="L948" s="20">
        <v>2</v>
      </c>
      <c r="M948" s="20">
        <v>10</v>
      </c>
      <c r="N948" s="8" t="s">
        <v>242</v>
      </c>
      <c r="O948" s="18" t="s">
        <v>244</v>
      </c>
      <c r="P948" s="164">
        <f t="shared" si="2"/>
        <v>11</v>
      </c>
      <c r="Q948" s="8"/>
    </row>
    <row r="949" spans="1:17" x14ac:dyDescent="0.25">
      <c r="A949" s="1"/>
      <c r="B949" s="1"/>
      <c r="C949" s="7" t="s">
        <v>497</v>
      </c>
      <c r="D949" s="17">
        <v>24840</v>
      </c>
      <c r="E949" s="7" t="s">
        <v>7</v>
      </c>
      <c r="F949" s="7" t="s">
        <v>78</v>
      </c>
      <c r="G949" s="7" t="s">
        <v>65</v>
      </c>
      <c r="H949" s="7" t="s">
        <v>35</v>
      </c>
      <c r="I949" s="8">
        <v>245435</v>
      </c>
      <c r="J949" s="7" t="s">
        <v>485</v>
      </c>
      <c r="K949" s="20">
        <v>24</v>
      </c>
      <c r="L949" s="20">
        <v>3</v>
      </c>
      <c r="M949" s="20">
        <v>7</v>
      </c>
      <c r="N949" s="8" t="s">
        <v>384</v>
      </c>
      <c r="O949" s="18" t="s">
        <v>247</v>
      </c>
      <c r="P949" s="164">
        <f t="shared" si="2"/>
        <v>12</v>
      </c>
      <c r="Q949" s="8"/>
    </row>
    <row r="950" spans="1:17" x14ac:dyDescent="0.25">
      <c r="A950" s="1"/>
      <c r="B950" s="1"/>
      <c r="C950" s="7" t="s">
        <v>497</v>
      </c>
      <c r="D950" s="17">
        <v>24748</v>
      </c>
      <c r="E950" s="7" t="s">
        <v>7</v>
      </c>
      <c r="F950" s="7" t="s">
        <v>78</v>
      </c>
      <c r="G950" s="7" t="s">
        <v>40</v>
      </c>
      <c r="H950" s="7" t="s">
        <v>35</v>
      </c>
      <c r="I950" s="8">
        <v>971841</v>
      </c>
      <c r="J950" s="7" t="s">
        <v>457</v>
      </c>
      <c r="K950" s="20">
        <v>24</v>
      </c>
      <c r="L950" s="20">
        <v>3</v>
      </c>
      <c r="M950" s="20">
        <v>3</v>
      </c>
      <c r="N950" s="8" t="s">
        <v>247</v>
      </c>
      <c r="O950" s="18" t="s">
        <v>248</v>
      </c>
      <c r="P950" s="164">
        <f t="shared" si="2"/>
        <v>12</v>
      </c>
      <c r="Q950" s="8"/>
    </row>
    <row r="951" spans="1:17" x14ac:dyDescent="0.25">
      <c r="A951" s="1"/>
      <c r="B951" s="1"/>
      <c r="C951" s="7" t="s">
        <v>497</v>
      </c>
      <c r="D951" s="17">
        <v>24631</v>
      </c>
      <c r="E951" s="7" t="s">
        <v>7</v>
      </c>
      <c r="F951" s="7" t="s">
        <v>78</v>
      </c>
      <c r="G951" s="7" t="s">
        <v>317</v>
      </c>
      <c r="H951" s="7" t="s">
        <v>35</v>
      </c>
      <c r="I951" s="8">
        <v>245434</v>
      </c>
      <c r="J951" s="7" t="s">
        <v>500</v>
      </c>
      <c r="K951" s="20">
        <v>16</v>
      </c>
      <c r="L951" s="20">
        <v>2</v>
      </c>
      <c r="M951" s="20">
        <v>3</v>
      </c>
      <c r="N951" s="8" t="s">
        <v>250</v>
      </c>
      <c r="O951" s="18" t="s">
        <v>251</v>
      </c>
      <c r="P951" s="164">
        <f t="shared" si="2"/>
        <v>12</v>
      </c>
      <c r="Q951" s="8"/>
    </row>
    <row r="952" spans="1:17" x14ac:dyDescent="0.25">
      <c r="A952" s="1"/>
      <c r="B952" s="1"/>
      <c r="C952" s="7" t="s">
        <v>497</v>
      </c>
      <c r="D952" s="17">
        <v>29394</v>
      </c>
      <c r="E952" s="7" t="s">
        <v>10</v>
      </c>
      <c r="F952" s="7" t="s">
        <v>74</v>
      </c>
      <c r="G952" s="7" t="s">
        <v>65</v>
      </c>
      <c r="H952" s="7" t="s">
        <v>35</v>
      </c>
      <c r="I952" s="8">
        <v>245435</v>
      </c>
      <c r="J952" s="7" t="s">
        <v>485</v>
      </c>
      <c r="K952" s="20">
        <v>24</v>
      </c>
      <c r="L952" s="20">
        <v>3</v>
      </c>
      <c r="M952" s="20">
        <v>21</v>
      </c>
      <c r="N952" s="8" t="s">
        <v>514</v>
      </c>
      <c r="O952" s="18" t="s">
        <v>251</v>
      </c>
      <c r="P952" s="164">
        <f t="shared" si="2"/>
        <v>12</v>
      </c>
      <c r="Q952" s="8"/>
    </row>
    <row r="953" spans="1:17" x14ac:dyDescent="0.25">
      <c r="A953" s="1"/>
      <c r="B953" s="1"/>
      <c r="C953" s="7"/>
      <c r="E953" s="17"/>
      <c r="F953" s="7"/>
      <c r="G953" s="7"/>
      <c r="H953" s="7"/>
      <c r="I953" s="45"/>
      <c r="J953" s="8"/>
      <c r="K953" s="7"/>
      <c r="L953" s="44"/>
      <c r="M953" s="44"/>
      <c r="N953" s="44"/>
      <c r="O953" s="8"/>
      <c r="P953" s="18"/>
      <c r="Q953" s="8"/>
    </row>
    <row r="954" spans="1:17" x14ac:dyDescent="0.25">
      <c r="A954" s="1"/>
      <c r="B954" s="1"/>
      <c r="C954" s="7"/>
      <c r="E954" s="17"/>
      <c r="F954" s="7"/>
      <c r="G954" s="7"/>
      <c r="H954" s="7"/>
      <c r="I954" s="45"/>
      <c r="J954" s="8"/>
      <c r="K954" s="7"/>
      <c r="L954" s="44"/>
      <c r="M954" s="44"/>
      <c r="N954" s="44"/>
      <c r="O954" s="8"/>
      <c r="P954" s="18"/>
      <c r="Q954" s="8"/>
    </row>
    <row r="955" spans="1:17" x14ac:dyDescent="0.25">
      <c r="A955" s="1"/>
      <c r="B955" s="1"/>
      <c r="C955" s="7"/>
      <c r="E955" s="17"/>
      <c r="F955" s="7"/>
      <c r="G955" s="7"/>
      <c r="H955" s="7"/>
      <c r="I955" s="45"/>
      <c r="J955" s="8"/>
      <c r="K955" s="7"/>
      <c r="L955" s="44"/>
      <c r="M955" s="44"/>
      <c r="N955" s="44"/>
      <c r="O955" s="46"/>
      <c r="P955" s="47"/>
      <c r="Q955" s="46"/>
    </row>
    <row r="956" spans="1:17" x14ac:dyDescent="0.25">
      <c r="A956" s="1"/>
      <c r="B956" s="1"/>
      <c r="C956" s="7"/>
      <c r="E956" s="17"/>
      <c r="F956" s="7"/>
      <c r="G956" s="7"/>
      <c r="H956" s="7"/>
      <c r="I956" s="45"/>
      <c r="J956" s="8"/>
      <c r="K956" s="7"/>
      <c r="L956" s="44"/>
      <c r="M956" s="44"/>
      <c r="N956" s="44"/>
      <c r="O956" s="8"/>
      <c r="P956" s="18"/>
      <c r="Q956" s="8"/>
    </row>
    <row r="957" spans="1:17" x14ac:dyDescent="0.25">
      <c r="A957" s="1"/>
      <c r="B957" s="1"/>
      <c r="C957" s="7"/>
      <c r="E957" s="17"/>
      <c r="F957" s="7"/>
      <c r="G957" s="7"/>
      <c r="H957" s="7"/>
      <c r="I957" s="45"/>
      <c r="J957" s="8"/>
      <c r="K957" s="7"/>
      <c r="L957" s="44"/>
      <c r="M957" s="44"/>
      <c r="N957" s="44"/>
      <c r="O957" s="8"/>
      <c r="P957" s="18"/>
      <c r="Q957" s="8"/>
    </row>
    <row r="958" spans="1:17" x14ac:dyDescent="0.25">
      <c r="A958" s="1"/>
      <c r="B958" s="1"/>
      <c r="C958" s="7"/>
      <c r="E958" s="17"/>
      <c r="F958" s="7"/>
      <c r="G958" s="7"/>
      <c r="H958" s="7"/>
      <c r="I958" s="45"/>
      <c r="J958" s="8"/>
      <c r="K958" s="7"/>
      <c r="L958" s="44"/>
      <c r="M958" s="44"/>
      <c r="N958" s="44"/>
      <c r="O958" s="8"/>
      <c r="P958" s="18"/>
      <c r="Q958" s="8"/>
    </row>
    <row r="959" spans="1:17" x14ac:dyDescent="0.25">
      <c r="A959" s="1"/>
      <c r="B959" s="1"/>
      <c r="C959" s="7"/>
      <c r="E959" s="17"/>
      <c r="F959" s="7"/>
      <c r="G959" s="7"/>
      <c r="H959" s="7"/>
      <c r="I959" s="45"/>
      <c r="J959" s="8"/>
      <c r="K959" s="7"/>
      <c r="L959" s="44"/>
      <c r="M959" s="44"/>
      <c r="N959" s="44"/>
      <c r="O959" s="8"/>
      <c r="P959" s="18"/>
      <c r="Q959" s="8"/>
    </row>
    <row r="960" spans="1:17" x14ac:dyDescent="0.25">
      <c r="A960" s="1"/>
      <c r="B960" s="1"/>
      <c r="C960" s="7"/>
      <c r="E960" s="17"/>
      <c r="F960" s="7"/>
      <c r="G960" s="7"/>
      <c r="H960" s="7"/>
      <c r="I960" s="45"/>
      <c r="J960" s="8"/>
      <c r="K960" s="7"/>
      <c r="L960" s="44"/>
      <c r="M960" s="44"/>
      <c r="N960" s="44"/>
      <c r="O960" s="8"/>
      <c r="P960" s="18"/>
      <c r="Q960" s="8"/>
    </row>
    <row r="961" spans="1:17" x14ac:dyDescent="0.25">
      <c r="A961" s="1"/>
      <c r="B961" s="1"/>
      <c r="C961" s="7"/>
      <c r="E961" s="17"/>
      <c r="F961" s="7"/>
      <c r="G961" s="7"/>
      <c r="H961" s="7"/>
      <c r="I961" s="45"/>
      <c r="J961" s="8"/>
      <c r="K961" s="7"/>
      <c r="L961" s="44"/>
      <c r="M961" s="44"/>
      <c r="N961" s="44"/>
      <c r="O961" s="8"/>
      <c r="P961" s="8"/>
      <c r="Q961" s="8"/>
    </row>
    <row r="962" spans="1:17" x14ac:dyDescent="0.25">
      <c r="A962" s="1"/>
      <c r="B962" s="1"/>
      <c r="C962" s="7"/>
      <c r="E962" s="17"/>
      <c r="F962" s="7"/>
      <c r="G962" s="7"/>
      <c r="H962" s="7"/>
      <c r="I962" s="45"/>
      <c r="J962" s="8"/>
      <c r="K962" s="7"/>
      <c r="L962" s="44"/>
      <c r="M962" s="44"/>
      <c r="N962" s="44"/>
      <c r="O962" s="8"/>
      <c r="P962" s="8"/>
      <c r="Q962" s="8"/>
    </row>
    <row r="963" spans="1:17" x14ac:dyDescent="0.25">
      <c r="A963" s="1"/>
      <c r="B963" s="1"/>
      <c r="C963" s="7"/>
      <c r="E963" s="17"/>
      <c r="F963" s="7"/>
      <c r="G963" s="7"/>
      <c r="H963" s="7"/>
      <c r="I963" s="45"/>
      <c r="J963" s="8"/>
      <c r="K963" s="7"/>
      <c r="L963" s="44"/>
      <c r="M963" s="44"/>
      <c r="N963" s="44"/>
      <c r="O963" s="8"/>
      <c r="P963" s="8"/>
      <c r="Q963" s="8"/>
    </row>
    <row r="964" spans="1:17" x14ac:dyDescent="0.25">
      <c r="A964" s="1"/>
      <c r="B964" s="1"/>
      <c r="C964" s="7"/>
      <c r="E964" s="17"/>
      <c r="F964" s="7"/>
      <c r="G964" s="7"/>
      <c r="H964" s="7"/>
      <c r="I964" s="45"/>
      <c r="J964" s="8"/>
      <c r="K964" s="7"/>
      <c r="L964" s="44"/>
      <c r="M964" s="44"/>
      <c r="N964" s="44"/>
      <c r="O964" s="8"/>
      <c r="P964" s="8"/>
      <c r="Q964" s="8"/>
    </row>
    <row r="965" spans="1:17" x14ac:dyDescent="0.25">
      <c r="A965" s="1"/>
      <c r="B965" s="1"/>
      <c r="C965" s="7"/>
      <c r="E965" s="17"/>
      <c r="F965" s="7"/>
      <c r="G965" s="7"/>
      <c r="H965" s="7"/>
      <c r="I965" s="45"/>
      <c r="J965" s="8"/>
      <c r="K965" s="7"/>
      <c r="L965" s="44"/>
      <c r="M965" s="44"/>
      <c r="N965" s="44"/>
      <c r="O965" s="8"/>
      <c r="P965" s="8"/>
      <c r="Q965" s="8"/>
    </row>
    <row r="966" spans="1:17" x14ac:dyDescent="0.25">
      <c r="A966" s="1"/>
      <c r="B966" s="1"/>
      <c r="C966" s="7"/>
      <c r="E966" s="17"/>
      <c r="F966" s="7"/>
      <c r="G966" s="7"/>
      <c r="H966" s="7"/>
      <c r="I966" s="45"/>
      <c r="J966" s="8"/>
      <c r="K966" s="7"/>
      <c r="L966" s="44"/>
      <c r="M966" s="44"/>
      <c r="N966" s="44"/>
      <c r="O966" s="8"/>
      <c r="P966" s="8"/>
      <c r="Q966" s="8"/>
    </row>
    <row r="967" spans="1:17" x14ac:dyDescent="0.25">
      <c r="A967" s="1"/>
      <c r="B967" s="1"/>
      <c r="C967" s="7"/>
      <c r="E967" s="17"/>
      <c r="F967" s="7"/>
      <c r="G967" s="7"/>
      <c r="H967" s="7"/>
      <c r="I967" s="45"/>
      <c r="J967" s="8"/>
      <c r="K967" s="7"/>
      <c r="L967" s="44"/>
      <c r="M967" s="44"/>
      <c r="N967" s="44"/>
      <c r="O967" s="8"/>
      <c r="P967" s="8"/>
      <c r="Q967" s="8"/>
    </row>
    <row r="968" spans="1:17" x14ac:dyDescent="0.25">
      <c r="A968" s="1"/>
      <c r="B968" s="1"/>
      <c r="C968" s="7"/>
      <c r="E968" s="17"/>
      <c r="F968" s="7"/>
      <c r="G968" s="7"/>
      <c r="H968" s="7"/>
      <c r="I968" s="45"/>
      <c r="J968" s="8"/>
      <c r="K968" s="7"/>
      <c r="L968" s="44"/>
      <c r="M968" s="44"/>
      <c r="N968" s="44"/>
      <c r="O968" s="8"/>
      <c r="P968" s="8"/>
      <c r="Q968" s="8"/>
    </row>
    <row r="969" spans="1:17" x14ac:dyDescent="0.25">
      <c r="A969" s="1"/>
      <c r="B969" s="1"/>
      <c r="C969" s="7"/>
      <c r="E969" s="17"/>
      <c r="F969" s="7"/>
      <c r="G969" s="7"/>
      <c r="H969" s="7"/>
      <c r="I969" s="45"/>
      <c r="J969" s="8"/>
      <c r="K969" s="7"/>
      <c r="L969" s="44"/>
      <c r="M969" s="44"/>
      <c r="N969" s="44"/>
      <c r="O969" s="8"/>
      <c r="P969" s="8"/>
      <c r="Q969" s="8"/>
    </row>
    <row r="970" spans="1:17" x14ac:dyDescent="0.25">
      <c r="A970" s="1"/>
      <c r="B970" s="1"/>
      <c r="C970" s="7"/>
      <c r="E970" s="17"/>
      <c r="F970" s="7"/>
      <c r="G970" s="7"/>
      <c r="H970" s="7"/>
      <c r="I970" s="45"/>
      <c r="J970" s="8"/>
      <c r="K970" s="7"/>
      <c r="L970" s="44"/>
      <c r="M970" s="44"/>
      <c r="N970" s="44"/>
      <c r="O970" s="8"/>
      <c r="P970" s="8"/>
      <c r="Q970" s="8"/>
    </row>
    <row r="971" spans="1:17" x14ac:dyDescent="0.25">
      <c r="A971" s="1"/>
      <c r="B971" s="1"/>
      <c r="C971" s="7"/>
      <c r="E971" s="17"/>
      <c r="F971" s="7"/>
      <c r="G971" s="7"/>
      <c r="H971" s="7"/>
      <c r="I971" s="45"/>
      <c r="J971" s="8"/>
      <c r="K971" s="7"/>
      <c r="L971" s="44"/>
      <c r="M971" s="44"/>
      <c r="N971" s="44"/>
      <c r="O971" s="8"/>
      <c r="P971" s="8"/>
      <c r="Q971" s="8"/>
    </row>
    <row r="972" spans="1:17" x14ac:dyDescent="0.25">
      <c r="A972" s="1"/>
      <c r="B972" s="1"/>
      <c r="C972" s="7"/>
      <c r="E972" s="17"/>
      <c r="F972" s="7"/>
      <c r="G972" s="7"/>
      <c r="H972" s="7"/>
      <c r="I972" s="45"/>
      <c r="J972" s="8"/>
      <c r="K972" s="7"/>
      <c r="L972" s="44"/>
      <c r="M972" s="44"/>
      <c r="N972" s="44"/>
      <c r="O972" s="8"/>
      <c r="P972" s="8"/>
      <c r="Q972" s="8"/>
    </row>
    <row r="973" spans="1:17" x14ac:dyDescent="0.25">
      <c r="A973" s="1"/>
      <c r="B973" s="1"/>
      <c r="C973" s="7"/>
      <c r="E973" s="17"/>
      <c r="F973" s="7"/>
      <c r="G973" s="7"/>
      <c r="H973" s="7"/>
      <c r="I973" s="45"/>
      <c r="J973" s="8"/>
      <c r="K973" s="7"/>
      <c r="L973" s="44"/>
      <c r="M973" s="44"/>
      <c r="N973" s="44"/>
      <c r="O973" s="8"/>
      <c r="P973" s="8"/>
      <c r="Q973" s="8"/>
    </row>
    <row r="974" spans="1:17" x14ac:dyDescent="0.25">
      <c r="A974" s="1"/>
      <c r="B974" s="1"/>
      <c r="C974" s="7"/>
      <c r="E974" s="17"/>
      <c r="F974" s="7"/>
      <c r="G974" s="7"/>
      <c r="H974" s="7"/>
      <c r="I974" s="45"/>
      <c r="J974" s="8"/>
      <c r="K974" s="7"/>
      <c r="L974" s="44"/>
      <c r="M974" s="44"/>
      <c r="N974" s="44"/>
      <c r="O974" s="8"/>
      <c r="P974" s="8"/>
      <c r="Q974" s="8"/>
    </row>
    <row r="975" spans="1:17" x14ac:dyDescent="0.25">
      <c r="A975" s="1"/>
      <c r="B975" s="1"/>
      <c r="C975" s="7"/>
      <c r="E975" s="17"/>
      <c r="F975" s="7"/>
      <c r="G975" s="7"/>
      <c r="H975" s="7"/>
      <c r="I975" s="45"/>
      <c r="J975" s="8"/>
      <c r="K975" s="7"/>
      <c r="L975" s="44"/>
      <c r="M975" s="44"/>
      <c r="N975" s="44"/>
      <c r="O975" s="8"/>
      <c r="P975" s="8"/>
      <c r="Q975" s="8"/>
    </row>
    <row r="976" spans="1:17" x14ac:dyDescent="0.25">
      <c r="A976" s="1"/>
      <c r="B976" s="1"/>
      <c r="C976" s="7"/>
      <c r="E976" s="17"/>
      <c r="F976" s="7"/>
      <c r="G976" s="7"/>
      <c r="H976" s="7"/>
      <c r="I976" s="45"/>
      <c r="J976" s="8"/>
      <c r="K976" s="7"/>
      <c r="L976" s="44"/>
      <c r="M976" s="44"/>
      <c r="N976" s="44"/>
      <c r="O976" s="8"/>
      <c r="P976" s="8"/>
      <c r="Q976" s="8"/>
    </row>
    <row r="977" spans="1:17" x14ac:dyDescent="0.25">
      <c r="A977" s="1"/>
      <c r="B977" s="1"/>
      <c r="C977" s="7"/>
      <c r="E977" s="17"/>
      <c r="F977" s="7"/>
      <c r="G977" s="7"/>
      <c r="H977" s="7"/>
      <c r="I977" s="45"/>
      <c r="J977" s="8"/>
      <c r="K977" s="7"/>
      <c r="L977" s="44"/>
      <c r="M977" s="44"/>
      <c r="N977" s="44"/>
      <c r="O977" s="8"/>
      <c r="P977" s="8"/>
      <c r="Q977" s="8"/>
    </row>
    <row r="978" spans="1:17" x14ac:dyDescent="0.25">
      <c r="A978" s="1"/>
      <c r="B978" s="1"/>
      <c r="C978" s="7"/>
      <c r="E978" s="17"/>
      <c r="F978" s="7"/>
      <c r="G978" s="7"/>
      <c r="H978" s="7"/>
      <c r="I978" s="45"/>
      <c r="J978" s="8"/>
      <c r="K978" s="7"/>
      <c r="L978" s="44"/>
      <c r="M978" s="44"/>
      <c r="N978" s="44"/>
      <c r="O978" s="8"/>
      <c r="P978" s="8"/>
      <c r="Q978" s="8"/>
    </row>
    <row r="979" spans="1:17" x14ac:dyDescent="0.25">
      <c r="A979" s="1"/>
      <c r="B979" s="1"/>
      <c r="C979" s="7"/>
      <c r="E979" s="17"/>
      <c r="F979" s="7"/>
      <c r="G979" s="7"/>
      <c r="H979" s="7"/>
      <c r="I979" s="45"/>
      <c r="J979" s="8"/>
      <c r="K979" s="7"/>
      <c r="L979" s="44"/>
      <c r="M979" s="44"/>
      <c r="N979" s="44"/>
      <c r="O979" s="8"/>
      <c r="P979" s="18"/>
      <c r="Q979" s="8"/>
    </row>
    <row r="980" spans="1:17" x14ac:dyDescent="0.25">
      <c r="A980" s="1"/>
      <c r="B980" s="1"/>
      <c r="C980" s="7"/>
      <c r="E980" s="17"/>
      <c r="F980" s="7"/>
      <c r="G980" s="7"/>
      <c r="H980" s="7"/>
      <c r="I980" s="45"/>
      <c r="J980" s="8"/>
      <c r="K980" s="7"/>
      <c r="L980" s="44"/>
      <c r="M980" s="44"/>
      <c r="N980" s="44"/>
      <c r="O980" s="8"/>
      <c r="P980" s="18"/>
      <c r="Q980" s="8"/>
    </row>
    <row r="981" spans="1:17" x14ac:dyDescent="0.25">
      <c r="A981" s="1"/>
      <c r="B981" s="1"/>
      <c r="C981" s="7"/>
      <c r="E981" s="17"/>
      <c r="F981" s="7"/>
      <c r="G981" s="7"/>
      <c r="H981" s="7"/>
      <c r="I981" s="45"/>
      <c r="J981" s="8"/>
      <c r="K981" s="7"/>
      <c r="L981" s="44"/>
      <c r="M981" s="44"/>
      <c r="N981" s="44"/>
      <c r="O981" s="8"/>
      <c r="P981" s="18"/>
      <c r="Q981" s="8"/>
    </row>
    <row r="982" spans="1:17" x14ac:dyDescent="0.25">
      <c r="A982" s="1"/>
      <c r="B982" s="1"/>
      <c r="C982" s="7"/>
      <c r="E982" s="17"/>
      <c r="F982" s="7"/>
      <c r="G982" s="7"/>
      <c r="H982" s="7"/>
      <c r="I982" s="45"/>
      <c r="J982" s="8"/>
      <c r="K982" s="7"/>
      <c r="L982" s="44"/>
      <c r="M982" s="44"/>
      <c r="N982" s="44"/>
      <c r="O982" s="8"/>
      <c r="P982" s="18"/>
      <c r="Q982" s="8"/>
    </row>
    <row r="983" spans="1:17" x14ac:dyDescent="0.25">
      <c r="A983" s="1"/>
      <c r="B983" s="1"/>
      <c r="C983" s="7"/>
      <c r="E983" s="17"/>
      <c r="F983" s="7"/>
      <c r="G983" s="7"/>
      <c r="H983" s="7"/>
      <c r="I983" s="45"/>
      <c r="J983" s="8"/>
      <c r="K983" s="7"/>
      <c r="L983" s="44"/>
      <c r="M983" s="44"/>
      <c r="N983" s="44"/>
      <c r="O983" s="46"/>
      <c r="P983" s="47"/>
      <c r="Q983" s="46"/>
    </row>
    <row r="984" spans="1:17" x14ac:dyDescent="0.25">
      <c r="A984" s="1"/>
      <c r="B984" s="1"/>
      <c r="C984" s="7"/>
      <c r="E984" s="17"/>
      <c r="F984" s="7"/>
      <c r="G984" s="7"/>
      <c r="H984" s="7"/>
      <c r="I984" s="45"/>
      <c r="J984" s="8"/>
      <c r="K984" s="7"/>
      <c r="L984" s="44"/>
      <c r="M984" s="44"/>
      <c r="N984" s="44"/>
      <c r="O984" s="8"/>
      <c r="P984" s="18"/>
      <c r="Q984" s="8"/>
    </row>
    <row r="985" spans="1:17" x14ac:dyDescent="0.25">
      <c r="A985" s="1"/>
      <c r="B985" s="1"/>
      <c r="C985" s="7"/>
      <c r="E985" s="17"/>
      <c r="F985" s="7"/>
      <c r="G985" s="7"/>
      <c r="H985" s="7"/>
      <c r="I985" s="45"/>
      <c r="J985" s="8"/>
      <c r="K985" s="7"/>
      <c r="L985" s="44"/>
      <c r="M985" s="44"/>
      <c r="N985" s="44"/>
      <c r="O985" s="8"/>
      <c r="P985" s="18"/>
      <c r="Q985" s="8"/>
    </row>
    <row r="986" spans="1:17" x14ac:dyDescent="0.25">
      <c r="A986" s="1"/>
      <c r="B986" s="1"/>
      <c r="C986" s="7"/>
      <c r="E986" s="17"/>
      <c r="F986" s="7"/>
      <c r="G986" s="7"/>
      <c r="H986" s="7"/>
      <c r="I986" s="45"/>
      <c r="J986" s="8"/>
      <c r="K986" s="7"/>
      <c r="L986" s="44"/>
      <c r="M986" s="44"/>
      <c r="N986" s="44"/>
      <c r="O986" s="8"/>
      <c r="P986" s="18"/>
      <c r="Q986" s="8"/>
    </row>
    <row r="987" spans="1:17" x14ac:dyDescent="0.25">
      <c r="A987" s="1"/>
      <c r="B987" s="1"/>
      <c r="C987" s="7"/>
      <c r="E987" s="17"/>
      <c r="F987" s="7"/>
      <c r="G987" s="7"/>
      <c r="H987" s="7"/>
      <c r="I987" s="45"/>
      <c r="J987" s="8"/>
      <c r="K987" s="7"/>
      <c r="L987" s="44"/>
      <c r="M987" s="44"/>
      <c r="N987" s="44"/>
      <c r="O987" s="8"/>
      <c r="P987" s="18"/>
      <c r="Q987" s="8"/>
    </row>
    <row r="988" spans="1:17" x14ac:dyDescent="0.25">
      <c r="A988" s="1"/>
      <c r="B988" s="1"/>
      <c r="C988" s="7"/>
      <c r="E988" s="17"/>
      <c r="F988" s="7"/>
      <c r="G988" s="7"/>
      <c r="H988" s="7"/>
      <c r="I988" s="45"/>
      <c r="J988" s="8"/>
      <c r="K988" s="7"/>
      <c r="L988" s="44"/>
      <c r="M988" s="44"/>
      <c r="N988" s="44"/>
      <c r="O988" s="8"/>
      <c r="P988" s="18"/>
      <c r="Q988" s="8"/>
    </row>
    <row r="989" spans="1:17" x14ac:dyDescent="0.25">
      <c r="A989" s="1"/>
      <c r="B989" s="1"/>
      <c r="C989" s="7"/>
      <c r="E989" s="17"/>
      <c r="F989" s="7"/>
      <c r="G989" s="7"/>
      <c r="H989" s="7"/>
      <c r="I989" s="45"/>
      <c r="J989" s="8"/>
      <c r="K989" s="7"/>
      <c r="L989" s="44"/>
      <c r="M989" s="44"/>
      <c r="N989" s="44"/>
      <c r="O989" s="8"/>
      <c r="P989" s="18"/>
      <c r="Q989" s="8"/>
    </row>
    <row r="990" spans="1:17" x14ac:dyDescent="0.25">
      <c r="A990" s="1"/>
      <c r="B990" s="1"/>
      <c r="C990" s="7"/>
      <c r="E990" s="17"/>
      <c r="F990" s="7"/>
      <c r="G990" s="7"/>
      <c r="H990" s="7"/>
      <c r="I990" s="45"/>
      <c r="J990" s="8"/>
      <c r="K990" s="7"/>
      <c r="L990" s="44"/>
      <c r="M990" s="44"/>
      <c r="N990" s="44"/>
      <c r="O990" s="8"/>
      <c r="P990" s="8"/>
      <c r="Q990" s="8"/>
    </row>
    <row r="991" spans="1:17" x14ac:dyDescent="0.25">
      <c r="A991" s="1"/>
      <c r="B991" s="1"/>
      <c r="C991" s="7"/>
      <c r="E991" s="17"/>
      <c r="F991" s="7"/>
      <c r="G991" s="7"/>
      <c r="H991" s="7"/>
      <c r="I991" s="45"/>
      <c r="J991" s="8"/>
      <c r="K991" s="7"/>
      <c r="L991" s="44"/>
      <c r="M991" s="44"/>
      <c r="N991" s="44"/>
      <c r="O991" s="8"/>
      <c r="P991" s="8"/>
      <c r="Q991" s="8"/>
    </row>
    <row r="992" spans="1:17" x14ac:dyDescent="0.25">
      <c r="A992" s="1"/>
      <c r="B992" s="1"/>
      <c r="C992" s="7"/>
      <c r="E992" s="17"/>
      <c r="F992" s="7"/>
      <c r="G992" s="7"/>
      <c r="H992" s="7"/>
      <c r="I992" s="45"/>
      <c r="J992" s="8"/>
      <c r="K992" s="7"/>
      <c r="L992" s="44"/>
      <c r="M992" s="44"/>
      <c r="N992" s="44"/>
      <c r="O992" s="8"/>
      <c r="P992" s="8"/>
      <c r="Q992" s="8"/>
    </row>
    <row r="993" spans="1:17" x14ac:dyDescent="0.25">
      <c r="A993" s="1"/>
      <c r="B993" s="1"/>
      <c r="C993" s="7"/>
      <c r="E993" s="17"/>
      <c r="F993" s="7"/>
      <c r="G993" s="7"/>
      <c r="H993" s="7"/>
      <c r="I993" s="45"/>
      <c r="J993" s="8"/>
      <c r="K993" s="7"/>
      <c r="L993" s="44"/>
      <c r="M993" s="44"/>
      <c r="N993" s="44"/>
      <c r="O993" s="8"/>
      <c r="P993" s="8"/>
      <c r="Q993" s="8"/>
    </row>
    <row r="994" spans="1:17" x14ac:dyDescent="0.25">
      <c r="A994" s="1"/>
      <c r="B994" s="1"/>
      <c r="C994" s="7"/>
      <c r="E994" s="17"/>
      <c r="F994" s="7"/>
      <c r="G994" s="7"/>
      <c r="H994" s="7"/>
      <c r="I994" s="45"/>
      <c r="J994" s="8"/>
      <c r="K994" s="7"/>
      <c r="L994" s="44"/>
      <c r="M994" s="44"/>
      <c r="N994" s="44"/>
      <c r="O994" s="8"/>
      <c r="P994" s="8"/>
      <c r="Q994" s="8"/>
    </row>
    <row r="995" spans="1:17" x14ac:dyDescent="0.25">
      <c r="A995" s="1"/>
      <c r="B995" s="1"/>
      <c r="C995" s="7"/>
      <c r="E995" s="17"/>
      <c r="F995" s="7"/>
      <c r="G995" s="7"/>
      <c r="H995" s="7"/>
      <c r="I995" s="45"/>
      <c r="J995" s="8"/>
      <c r="K995" s="7"/>
      <c r="L995" s="44"/>
      <c r="M995" s="44"/>
      <c r="N995" s="44"/>
      <c r="O995" s="8"/>
      <c r="P995" s="8"/>
      <c r="Q995" s="8"/>
    </row>
    <row r="996" spans="1:17" x14ac:dyDescent="0.25">
      <c r="A996" s="1"/>
      <c r="B996" s="1"/>
      <c r="C996" s="7"/>
      <c r="E996" s="17"/>
      <c r="F996" s="7"/>
      <c r="G996" s="7"/>
      <c r="H996" s="7"/>
      <c r="I996" s="45"/>
      <c r="J996" s="8"/>
      <c r="K996" s="7"/>
      <c r="L996" s="44"/>
      <c r="M996" s="44"/>
      <c r="N996" s="44"/>
      <c r="O996" s="8"/>
      <c r="P996" s="8"/>
      <c r="Q996" s="8"/>
    </row>
    <row r="997" spans="1:17" x14ac:dyDescent="0.25">
      <c r="A997" s="1"/>
      <c r="B997" s="1"/>
      <c r="C997" s="7"/>
      <c r="E997" s="17"/>
      <c r="F997" s="7"/>
      <c r="G997" s="7"/>
      <c r="H997" s="7"/>
      <c r="I997" s="45"/>
      <c r="J997" s="8"/>
      <c r="K997" s="7"/>
      <c r="L997" s="44"/>
      <c r="M997" s="44"/>
      <c r="N997" s="44"/>
      <c r="O997" s="8"/>
      <c r="P997" s="8"/>
      <c r="Q997" s="8"/>
    </row>
    <row r="998" spans="1:17" x14ac:dyDescent="0.25">
      <c r="A998" s="1"/>
      <c r="B998" s="1"/>
      <c r="C998" s="7"/>
      <c r="E998" s="17"/>
      <c r="F998" s="7"/>
      <c r="G998" s="7"/>
      <c r="H998" s="7"/>
      <c r="I998" s="45"/>
      <c r="J998" s="8"/>
      <c r="K998" s="7"/>
      <c r="L998" s="44"/>
      <c r="M998" s="44"/>
      <c r="N998" s="44"/>
      <c r="O998" s="8"/>
      <c r="P998" s="8"/>
      <c r="Q998" s="8"/>
    </row>
    <row r="999" spans="1:17" x14ac:dyDescent="0.25">
      <c r="A999" s="1"/>
      <c r="B999" s="1"/>
      <c r="C999" s="7"/>
      <c r="E999" s="17"/>
      <c r="F999" s="7"/>
      <c r="G999" s="7"/>
      <c r="H999" s="7"/>
      <c r="I999" s="45"/>
      <c r="J999" s="8"/>
      <c r="K999" s="7"/>
      <c r="L999" s="44"/>
      <c r="M999" s="44"/>
      <c r="N999" s="44"/>
      <c r="O999" s="8"/>
      <c r="P999" s="8"/>
      <c r="Q999" s="8"/>
    </row>
    <row r="1000" spans="1:17" x14ac:dyDescent="0.25">
      <c r="A1000" s="1"/>
      <c r="B1000" s="1"/>
      <c r="C1000" s="7"/>
      <c r="E1000" s="17"/>
      <c r="F1000" s="7"/>
      <c r="G1000" s="7"/>
      <c r="H1000" s="7"/>
      <c r="I1000" s="45"/>
      <c r="J1000" s="8"/>
      <c r="K1000" s="7"/>
      <c r="L1000" s="44"/>
      <c r="M1000" s="44"/>
      <c r="N1000" s="44"/>
      <c r="O1000" s="8"/>
      <c r="P1000" s="8"/>
      <c r="Q1000" s="8"/>
    </row>
    <row r="1001" spans="1:17" x14ac:dyDescent="0.25">
      <c r="A1001" s="1"/>
      <c r="B1001" s="1"/>
      <c r="C1001" s="7"/>
      <c r="E1001" s="17"/>
      <c r="F1001" s="7"/>
      <c r="G1001" s="7"/>
      <c r="H1001" s="7"/>
      <c r="I1001" s="42"/>
      <c r="J1001" s="8"/>
      <c r="K1001" s="7"/>
      <c r="L1001" s="40"/>
      <c r="M1001" s="40"/>
      <c r="N1001" s="40"/>
      <c r="O1001" s="8"/>
      <c r="P1001" s="8"/>
      <c r="Q1001" s="8"/>
    </row>
    <row r="1002" spans="1:17" x14ac:dyDescent="0.25">
      <c r="A1002" s="1"/>
      <c r="B1002" s="1"/>
      <c r="C1002" s="7"/>
      <c r="E1002" s="17"/>
      <c r="F1002" s="7"/>
      <c r="G1002" s="7"/>
      <c r="H1002" s="7"/>
      <c r="I1002" s="42"/>
      <c r="J1002" s="8"/>
      <c r="K1002" s="7"/>
      <c r="L1002" s="40"/>
      <c r="M1002" s="40"/>
      <c r="N1002" s="40"/>
      <c r="O1002" s="8"/>
      <c r="P1002" s="8"/>
      <c r="Q1002" s="8"/>
    </row>
    <row r="1003" spans="1:17" x14ac:dyDescent="0.25">
      <c r="A1003" s="1"/>
      <c r="B1003" s="1"/>
      <c r="C1003" s="7"/>
      <c r="E1003" s="17"/>
      <c r="F1003" s="7"/>
      <c r="G1003" s="7"/>
      <c r="H1003" s="7"/>
      <c r="I1003" s="42"/>
      <c r="J1003" s="8"/>
      <c r="K1003" s="7"/>
      <c r="L1003" s="40"/>
      <c r="M1003" s="40"/>
      <c r="N1003" s="40"/>
      <c r="O1003" s="8"/>
      <c r="P1003" s="8"/>
      <c r="Q1003" s="8"/>
    </row>
    <row r="1004" spans="1:17" x14ac:dyDescent="0.25">
      <c r="A1004" s="1"/>
      <c r="B1004" s="1"/>
      <c r="C1004" s="7"/>
      <c r="E1004" s="17"/>
      <c r="F1004" s="7"/>
      <c r="G1004" s="7"/>
      <c r="H1004" s="7"/>
      <c r="I1004" s="42"/>
      <c r="J1004" s="8"/>
      <c r="K1004" s="7"/>
      <c r="L1004" s="40"/>
      <c r="M1004" s="40"/>
      <c r="N1004" s="40"/>
      <c r="O1004" s="8"/>
      <c r="P1004" s="8"/>
      <c r="Q1004" s="8"/>
    </row>
    <row r="1005" spans="1:17" x14ac:dyDescent="0.25">
      <c r="A1005" s="1"/>
      <c r="B1005" s="1"/>
      <c r="C1005" s="7"/>
      <c r="E1005" s="17"/>
      <c r="F1005" s="7"/>
      <c r="G1005" s="7"/>
      <c r="H1005" s="7"/>
      <c r="I1005" s="45"/>
      <c r="J1005" s="8"/>
      <c r="K1005" s="7"/>
      <c r="L1005" s="44"/>
      <c r="M1005" s="44"/>
      <c r="N1005" s="44"/>
      <c r="O1005" s="8"/>
      <c r="P1005" s="8"/>
      <c r="Q1005" s="8"/>
    </row>
    <row r="1006" spans="1:17" x14ac:dyDescent="0.25">
      <c r="A1006" s="1"/>
      <c r="B1006" s="1"/>
      <c r="C1006" s="7"/>
      <c r="E1006" s="17"/>
      <c r="F1006" s="7"/>
      <c r="G1006" s="7"/>
      <c r="H1006" s="7"/>
      <c r="I1006" s="8"/>
      <c r="J1006" s="8"/>
      <c r="K1006" s="7"/>
      <c r="L1006" s="38"/>
      <c r="M1006" s="38"/>
      <c r="N1006" s="38"/>
      <c r="O1006" s="8"/>
      <c r="P1006" s="18"/>
      <c r="Q1006" s="8"/>
    </row>
    <row r="1007" spans="1:17" x14ac:dyDescent="0.25">
      <c r="A1007" s="1"/>
      <c r="B1007" s="1"/>
      <c r="C1007" s="7"/>
      <c r="E1007" s="17"/>
      <c r="F1007" s="7"/>
      <c r="G1007" s="7"/>
      <c r="H1007" s="7"/>
      <c r="I1007" s="8"/>
      <c r="J1007" s="8"/>
      <c r="K1007" s="7"/>
      <c r="L1007" s="38"/>
      <c r="M1007" s="38"/>
      <c r="N1007" s="38"/>
      <c r="O1007" s="8"/>
      <c r="P1007" s="18"/>
      <c r="Q1007" s="8"/>
    </row>
    <row r="1008" spans="1:17" x14ac:dyDescent="0.25">
      <c r="A1008" s="1"/>
      <c r="B1008" s="1"/>
      <c r="C1008" s="7"/>
      <c r="E1008" s="17"/>
      <c r="F1008" s="7"/>
      <c r="G1008" s="7"/>
      <c r="H1008" s="7"/>
      <c r="I1008" s="45"/>
      <c r="J1008" s="8"/>
      <c r="K1008" s="7"/>
      <c r="L1008" s="44"/>
      <c r="M1008" s="44"/>
      <c r="N1008" s="44"/>
      <c r="O1008" s="8"/>
      <c r="P1008" s="8"/>
      <c r="Q1008" s="8"/>
    </row>
  </sheetData>
  <pageMargins left="0.7" right="0.7" top="0.75" bottom="0.75" header="0.3" footer="0.3"/>
  <pageSetup paperSize="9" scale="45" fitToHeight="0" orientation="landscape" horizontalDpi="4294967294" verticalDpi="4294967294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T71"/>
  <sheetViews>
    <sheetView showGridLines="0" zoomScale="90" zoomScaleNormal="90" workbookViewId="0">
      <selection activeCell="M15" sqref="M15"/>
    </sheetView>
  </sheetViews>
  <sheetFormatPr baseColWidth="10" defaultColWidth="11.42578125" defaultRowHeight="15" x14ac:dyDescent="0.3"/>
  <cols>
    <col min="1" max="1" width="6.5703125" style="28" customWidth="1"/>
    <col min="2" max="2" width="22.140625" style="28" customWidth="1"/>
    <col min="3" max="3" width="8.7109375" style="28" hidden="1" customWidth="1"/>
    <col min="4" max="4" width="15" style="28" hidden="1" customWidth="1"/>
    <col min="5" max="5" width="9.42578125" style="28" hidden="1" customWidth="1"/>
    <col min="6" max="6" width="14.7109375" style="28" hidden="1" customWidth="1"/>
    <col min="7" max="7" width="10" style="28" customWidth="1"/>
    <col min="8" max="8" width="15" style="28" customWidth="1"/>
    <col min="9" max="9" width="18.28515625" style="28" customWidth="1"/>
    <col min="10" max="10" width="18.85546875" style="28" customWidth="1"/>
    <col min="11" max="11" width="13.28515625" style="28" customWidth="1"/>
    <col min="12" max="12" width="15.28515625" style="28" customWidth="1"/>
    <col min="13" max="13" width="12.140625" style="28" customWidth="1"/>
    <col min="14" max="15" width="14.28515625" style="28" customWidth="1"/>
    <col min="16" max="16" width="12.7109375" style="28" customWidth="1"/>
    <col min="17" max="17" width="19.7109375" style="28" customWidth="1"/>
    <col min="18" max="18" width="20.140625" style="28" customWidth="1"/>
    <col min="19" max="19" width="11.42578125" style="28"/>
    <col min="20" max="20" width="12.42578125" style="28" bestFit="1" customWidth="1"/>
    <col min="21" max="16384" width="11.42578125" style="28"/>
  </cols>
  <sheetData>
    <row r="1" spans="2:20" ht="15.75" thickBot="1" x14ac:dyDescent="0.35"/>
    <row r="2" spans="2:20" ht="30.75" thickBot="1" x14ac:dyDescent="0.35">
      <c r="T2" s="51" t="s">
        <v>515</v>
      </c>
    </row>
    <row r="3" spans="2:20" x14ac:dyDescent="0.3">
      <c r="T3" s="52">
        <v>44561</v>
      </c>
    </row>
    <row r="5" spans="2:20" x14ac:dyDescent="0.3">
      <c r="B5" s="53"/>
      <c r="I5" s="272" t="s">
        <v>516</v>
      </c>
      <c r="J5" s="273"/>
      <c r="K5" s="273"/>
      <c r="L5" s="273"/>
      <c r="M5" s="273"/>
      <c r="N5" s="273"/>
      <c r="O5" s="273"/>
      <c r="P5" s="274"/>
    </row>
    <row r="6" spans="2:20" ht="27.75" customHeight="1" thickBot="1" x14ac:dyDescent="0.35">
      <c r="B6" s="53"/>
      <c r="C6" s="282" t="s">
        <v>517</v>
      </c>
      <c r="D6" s="283"/>
      <c r="E6" s="282" t="s">
        <v>518</v>
      </c>
      <c r="F6" s="283"/>
      <c r="G6" s="282" t="s">
        <v>519</v>
      </c>
      <c r="H6" s="283"/>
      <c r="I6" s="288" t="s">
        <v>520</v>
      </c>
      <c r="J6" s="289"/>
      <c r="K6" s="289"/>
      <c r="L6" s="286" t="str">
        <f>CONCATENATE(TEXT(T3, "dd"), " de ", TEXT(T3, "mmmm")," de ",TEXT(T3,"aaaa"))</f>
        <v>31 de diciembre de 2021</v>
      </c>
      <c r="M6" s="286"/>
      <c r="N6" s="286"/>
      <c r="O6" s="286"/>
      <c r="P6" s="287"/>
    </row>
    <row r="7" spans="2:20" s="255" customFormat="1" ht="36" customHeight="1" thickBot="1" x14ac:dyDescent="0.3">
      <c r="B7" s="54" t="s">
        <v>521</v>
      </c>
      <c r="C7" s="54" t="s">
        <v>522</v>
      </c>
      <c r="D7" s="54" t="s">
        <v>523</v>
      </c>
      <c r="E7" s="54" t="s">
        <v>522</v>
      </c>
      <c r="F7" s="54" t="s">
        <v>523</v>
      </c>
      <c r="G7" s="54" t="s">
        <v>522</v>
      </c>
      <c r="H7" s="54" t="s">
        <v>523</v>
      </c>
      <c r="I7" s="55" t="s">
        <v>524</v>
      </c>
      <c r="J7" s="55" t="s">
        <v>523</v>
      </c>
      <c r="K7" s="55" t="s">
        <v>525</v>
      </c>
      <c r="L7" s="55" t="s">
        <v>526</v>
      </c>
      <c r="M7" s="55" t="s">
        <v>527</v>
      </c>
      <c r="N7" s="55" t="s">
        <v>523</v>
      </c>
      <c r="O7" s="55" t="s">
        <v>528</v>
      </c>
      <c r="P7" s="55" t="s">
        <v>529</v>
      </c>
      <c r="Q7" s="56" t="s">
        <v>530</v>
      </c>
      <c r="R7" s="54" t="s">
        <v>531</v>
      </c>
    </row>
    <row r="8" spans="2:20" ht="15.75" thickBot="1" x14ac:dyDescent="0.35">
      <c r="B8" s="219" t="s">
        <v>532</v>
      </c>
      <c r="C8" s="220">
        <f t="shared" ref="C8:K8" si="0">C26</f>
        <v>229</v>
      </c>
      <c r="D8" s="221">
        <f t="shared" si="0"/>
        <v>1879</v>
      </c>
      <c r="E8" s="221">
        <f t="shared" si="0"/>
        <v>31</v>
      </c>
      <c r="F8" s="221">
        <f t="shared" si="0"/>
        <v>248</v>
      </c>
      <c r="G8" s="221">
        <f t="shared" si="0"/>
        <v>198</v>
      </c>
      <c r="H8" s="221">
        <f t="shared" si="0"/>
        <v>1631</v>
      </c>
      <c r="I8" s="220">
        <f t="shared" si="0"/>
        <v>198</v>
      </c>
      <c r="J8" s="221">
        <f>J26</f>
        <v>1631</v>
      </c>
      <c r="K8" s="220">
        <f t="shared" si="0"/>
        <v>167</v>
      </c>
      <c r="L8" s="220">
        <f>L26</f>
        <v>5</v>
      </c>
      <c r="M8" s="220">
        <f t="shared" ref="M8" si="1">K8+L8</f>
        <v>172</v>
      </c>
      <c r="N8" s="220">
        <f>N26</f>
        <v>1135</v>
      </c>
      <c r="O8" s="220">
        <f>Adicionales!G5</f>
        <v>42</v>
      </c>
      <c r="P8" s="220">
        <f>P26</f>
        <v>31</v>
      </c>
      <c r="Q8" s="222">
        <f>IFERROR(M8/(I8+L8), "-")</f>
        <v>0.84729064039408863</v>
      </c>
      <c r="R8" s="222">
        <f>IFERROR(M8/(G8+L8), "-")</f>
        <v>0.84729064039408863</v>
      </c>
      <c r="S8" s="256">
        <f>+K8/I8</f>
        <v>0.84343434343434343</v>
      </c>
    </row>
    <row r="9" spans="2:20" ht="15.75" thickBot="1" x14ac:dyDescent="0.35">
      <c r="B9" s="223" t="s">
        <v>533</v>
      </c>
      <c r="C9" s="224">
        <f t="shared" ref="C9:I9" si="2">C37</f>
        <v>257</v>
      </c>
      <c r="D9" s="225">
        <f t="shared" si="2"/>
        <v>3015</v>
      </c>
      <c r="E9" s="224">
        <f t="shared" si="2"/>
        <v>27</v>
      </c>
      <c r="F9" s="224">
        <f t="shared" si="2"/>
        <v>265</v>
      </c>
      <c r="G9" s="226">
        <f>G37</f>
        <v>139</v>
      </c>
      <c r="H9" s="225">
        <f t="shared" si="2"/>
        <v>1801</v>
      </c>
      <c r="I9" s="224">
        <f t="shared" si="2"/>
        <v>139</v>
      </c>
      <c r="J9" s="225">
        <f>J37</f>
        <v>1801</v>
      </c>
      <c r="K9" s="224">
        <f>K37</f>
        <v>69</v>
      </c>
      <c r="L9" s="224">
        <f>Adicionales!F4</f>
        <v>34</v>
      </c>
      <c r="M9" s="224">
        <f>K9+L9</f>
        <v>103</v>
      </c>
      <c r="N9" s="224">
        <f>N37</f>
        <v>585</v>
      </c>
      <c r="O9" s="224">
        <f ca="1">Adicionales!G4</f>
        <v>310</v>
      </c>
      <c r="P9" s="224">
        <f>P37</f>
        <v>120</v>
      </c>
      <c r="Q9" s="227">
        <f>IFERROR(M9/(I9+L9), "-")</f>
        <v>0.59537572254335258</v>
      </c>
      <c r="R9" s="228">
        <f t="shared" ref="R9:R13" si="3">IFERROR(M9/(G9+L9), "-")</f>
        <v>0.59537572254335258</v>
      </c>
      <c r="S9" s="256">
        <f t="shared" ref="S9:S15" si="4">+K9/I9</f>
        <v>0.49640287769784175</v>
      </c>
    </row>
    <row r="10" spans="2:20" x14ac:dyDescent="0.3">
      <c r="B10" s="219" t="s">
        <v>534</v>
      </c>
      <c r="C10" s="220">
        <f>'Cd. Carmen'!F2</f>
        <v>183</v>
      </c>
      <c r="D10" s="221">
        <f>'Cd. Carmen'!F3</f>
        <v>2126</v>
      </c>
      <c r="E10" s="220">
        <f>'Cd. Carmen'!H1</f>
        <v>19</v>
      </c>
      <c r="F10" s="220">
        <f>'Cd. Carmen'!H2</f>
        <v>208</v>
      </c>
      <c r="G10" s="220">
        <f>'Cd. Carmen'!L4</f>
        <v>164</v>
      </c>
      <c r="H10" s="221">
        <f>'Cd. Carmen'!L3</f>
        <v>1918</v>
      </c>
      <c r="I10" s="220">
        <f>'Cd. Carmen'!F4</f>
        <v>164</v>
      </c>
      <c r="J10" s="221">
        <f>'Cd. Carmen'!F5</f>
        <v>1918</v>
      </c>
      <c r="K10" s="220">
        <f>'Cd. Carmen'!H3</f>
        <v>95</v>
      </c>
      <c r="L10" s="220">
        <f>Adicionales!F3</f>
        <v>38</v>
      </c>
      <c r="M10" s="220">
        <f>K10+L10</f>
        <v>133</v>
      </c>
      <c r="N10" s="220">
        <f>'Cd. Carmen'!H4</f>
        <v>843</v>
      </c>
      <c r="O10" s="220">
        <f>+Adicionales!G3</f>
        <v>398</v>
      </c>
      <c r="P10" s="220">
        <f>'Cd. Carmen'!H5</f>
        <v>71</v>
      </c>
      <c r="Q10" s="222">
        <f t="shared" ref="Q10:Q14" si="5">IFERROR(M10/(I10+L10), "-")</f>
        <v>0.65841584158415845</v>
      </c>
      <c r="R10" s="229">
        <f>IFERROR(M10/(G10+L10), "-")</f>
        <v>0.65841584158415845</v>
      </c>
      <c r="S10" s="256">
        <f t="shared" si="4"/>
        <v>0.57926829268292679</v>
      </c>
    </row>
    <row r="11" spans="2:20" x14ac:dyDescent="0.3">
      <c r="B11" s="223" t="s">
        <v>497</v>
      </c>
      <c r="C11" s="224">
        <f>'Dos Bocas'!G2</f>
        <v>188</v>
      </c>
      <c r="D11" s="225">
        <f>'Dos Bocas'!G3</f>
        <v>1068</v>
      </c>
      <c r="E11" s="224">
        <f>'Dos Bocas'!I1</f>
        <v>3</v>
      </c>
      <c r="F11" s="230">
        <f>'Dos Bocas'!I2</f>
        <v>28</v>
      </c>
      <c r="G11" s="230">
        <f>'Dos Bocas'!M4</f>
        <v>88</v>
      </c>
      <c r="H11" s="230">
        <f>'Dos Bocas'!M3</f>
        <v>928</v>
      </c>
      <c r="I11" s="224">
        <f>'Dos Bocas'!G4</f>
        <v>88</v>
      </c>
      <c r="J11" s="224">
        <f>'Dos Bocas'!G5</f>
        <v>928</v>
      </c>
      <c r="K11" s="224">
        <f>'Dos Bocas'!I3</f>
        <v>83</v>
      </c>
      <c r="L11" s="224">
        <f>Adicionales!F2</f>
        <v>23</v>
      </c>
      <c r="M11" s="224">
        <f>K11+L11</f>
        <v>106</v>
      </c>
      <c r="N11" s="224">
        <f>'Dos Bocas'!I4</f>
        <v>723</v>
      </c>
      <c r="O11" s="224">
        <f>+Adicionales!G2</f>
        <v>284</v>
      </c>
      <c r="P11" s="224">
        <f>'Dos Bocas'!I5</f>
        <v>6</v>
      </c>
      <c r="Q11" s="227">
        <f>IFERROR(M11/(I11+L11), "-")</f>
        <v>0.95495495495495497</v>
      </c>
      <c r="R11" s="228">
        <f>IFERROR(M11/(G11+L11), "-")</f>
        <v>0.95495495495495497</v>
      </c>
      <c r="S11" s="256">
        <f t="shared" si="4"/>
        <v>0.94318181818181823</v>
      </c>
    </row>
    <row r="12" spans="2:20" ht="16.5" thickTop="1" thickBot="1" x14ac:dyDescent="0.35">
      <c r="B12" s="219" t="s">
        <v>535</v>
      </c>
      <c r="C12" s="220">
        <f>Perforación!F2</f>
        <v>81</v>
      </c>
      <c r="D12" s="221">
        <f>Perforación!F3</f>
        <v>579</v>
      </c>
      <c r="E12" s="220">
        <f>Perforación!H1</f>
        <v>1</v>
      </c>
      <c r="F12" s="220">
        <f>Perforación!H2</f>
        <v>10</v>
      </c>
      <c r="G12" s="220">
        <f>C12-E12</f>
        <v>80</v>
      </c>
      <c r="H12" s="221">
        <f>D12-F12</f>
        <v>569</v>
      </c>
      <c r="I12" s="220">
        <f>Perforación!F4</f>
        <v>80</v>
      </c>
      <c r="J12" s="220">
        <f>Perforación!F5</f>
        <v>569</v>
      </c>
      <c r="K12" s="220">
        <f>Perforación!H3</f>
        <v>32</v>
      </c>
      <c r="L12" s="220">
        <f>Adicionales!F6</f>
        <v>1</v>
      </c>
      <c r="M12" s="220">
        <f t="shared" ref="M12:M14" si="6">K12+L12</f>
        <v>33</v>
      </c>
      <c r="N12" s="220">
        <f>Perforación!H4</f>
        <v>210</v>
      </c>
      <c r="O12" s="220">
        <f>Adicionales!G6</f>
        <v>5</v>
      </c>
      <c r="P12" s="220">
        <f>Perforación!H5</f>
        <v>48</v>
      </c>
      <c r="Q12" s="222">
        <f t="shared" si="5"/>
        <v>0.40740740740740738</v>
      </c>
      <c r="R12" s="229">
        <f>IFERROR(M12/(G12+L12), "-")</f>
        <v>0.40740740740740738</v>
      </c>
      <c r="S12" s="256">
        <f t="shared" si="4"/>
        <v>0.4</v>
      </c>
    </row>
    <row r="13" spans="2:20" ht="1.5" customHeight="1" thickBot="1" x14ac:dyDescent="0.35">
      <c r="B13" s="223" t="s">
        <v>536</v>
      </c>
      <c r="C13" s="224">
        <f>'Cd. Méx'!F2</f>
        <v>4</v>
      </c>
      <c r="D13" s="225">
        <f>'Cd. Méx'!F3</f>
        <v>8</v>
      </c>
      <c r="E13" s="230">
        <f>'Cd. Méx'!H1</f>
        <v>0</v>
      </c>
      <c r="F13" s="230">
        <f>'Cd. Méx'!H2</f>
        <v>0</v>
      </c>
      <c r="G13" s="230">
        <f>'Cd. Méx'!L4</f>
        <v>0</v>
      </c>
      <c r="H13" s="230">
        <f>'Cd. Méx'!L3</f>
        <v>0</v>
      </c>
      <c r="I13" s="224">
        <v>0</v>
      </c>
      <c r="J13" s="224">
        <v>0</v>
      </c>
      <c r="K13" s="224">
        <f>'Cd. Méx'!H3</f>
        <v>0</v>
      </c>
      <c r="L13" s="224"/>
      <c r="M13" s="224">
        <f t="shared" si="6"/>
        <v>0</v>
      </c>
      <c r="N13" s="224">
        <f>'Cd. Méx'!H4</f>
        <v>0</v>
      </c>
      <c r="O13" s="224"/>
      <c r="P13" s="224">
        <f>'Cd. Méx'!H5</f>
        <v>2</v>
      </c>
      <c r="Q13" s="227" t="str">
        <f t="shared" si="5"/>
        <v>-</v>
      </c>
      <c r="R13" s="228" t="str">
        <f t="shared" si="3"/>
        <v>-</v>
      </c>
      <c r="S13" s="256" t="e">
        <f t="shared" si="4"/>
        <v>#DIV/0!</v>
      </c>
    </row>
    <row r="14" spans="2:20" ht="16.5" thickTop="1" thickBot="1" x14ac:dyDescent="0.35">
      <c r="B14" s="247" t="s">
        <v>537</v>
      </c>
      <c r="C14" s="248">
        <f>Sede!F2</f>
        <v>4</v>
      </c>
      <c r="D14" s="249">
        <f>Sede!F3</f>
        <v>21</v>
      </c>
      <c r="E14" s="248">
        <f>Sede!H1</f>
        <v>0</v>
      </c>
      <c r="F14" s="248">
        <f>Sede!H2</f>
        <v>0</v>
      </c>
      <c r="G14" s="248">
        <f>Sede!L4</f>
        <v>3</v>
      </c>
      <c r="H14" s="249">
        <f>Sede!L3</f>
        <v>17</v>
      </c>
      <c r="I14" s="248">
        <v>3</v>
      </c>
      <c r="J14" s="248">
        <v>17</v>
      </c>
      <c r="K14" s="248">
        <f>Sede!H3</f>
        <v>0</v>
      </c>
      <c r="L14" s="248"/>
      <c r="M14" s="248">
        <f t="shared" si="6"/>
        <v>0</v>
      </c>
      <c r="N14" s="248">
        <f>Sede!H4</f>
        <v>0</v>
      </c>
      <c r="O14" s="248"/>
      <c r="P14" s="248">
        <f>Sede!H5</f>
        <v>4</v>
      </c>
      <c r="Q14" s="250">
        <f t="shared" si="5"/>
        <v>0</v>
      </c>
      <c r="R14" s="251">
        <f>IFERROR(M14/(G14+L14), "-")</f>
        <v>0</v>
      </c>
      <c r="S14" s="256">
        <f t="shared" si="4"/>
        <v>0</v>
      </c>
    </row>
    <row r="15" spans="2:20" x14ac:dyDescent="0.3">
      <c r="B15" s="231" t="s">
        <v>538</v>
      </c>
      <c r="C15" s="231">
        <f t="shared" ref="C15:O15" si="7">SUM(C8:C14)</f>
        <v>946</v>
      </c>
      <c r="D15" s="232">
        <f t="shared" si="7"/>
        <v>8696</v>
      </c>
      <c r="E15" s="232">
        <f t="shared" si="7"/>
        <v>81</v>
      </c>
      <c r="F15" s="232">
        <f t="shared" si="7"/>
        <v>759</v>
      </c>
      <c r="G15" s="232">
        <f>SUM(G8:G14)</f>
        <v>672</v>
      </c>
      <c r="H15" s="232">
        <f t="shared" si="7"/>
        <v>6864</v>
      </c>
      <c r="I15" s="231">
        <f>SUM(I8:I14)</f>
        <v>672</v>
      </c>
      <c r="J15" s="232">
        <f>SUM(J8:J14)</f>
        <v>6864</v>
      </c>
      <c r="K15" s="231">
        <f>SUM(K8:K14)</f>
        <v>446</v>
      </c>
      <c r="L15" s="231">
        <f>SUM(L8:L14)</f>
        <v>101</v>
      </c>
      <c r="M15" s="231">
        <v>547</v>
      </c>
      <c r="N15" s="232">
        <f t="shared" si="7"/>
        <v>3496</v>
      </c>
      <c r="O15" s="231">
        <f t="shared" ca="1" si="7"/>
        <v>1039</v>
      </c>
      <c r="P15" s="231">
        <f>SUM(P8:P14)</f>
        <v>282</v>
      </c>
      <c r="Q15" s="233">
        <f>IFERROR(M15/(I15+L15), "-")</f>
        <v>0.7076326002587322</v>
      </c>
      <c r="R15" s="234">
        <f>IFERROR(M15/(G15+L15), "-")</f>
        <v>0.7076326002587322</v>
      </c>
      <c r="S15" s="256">
        <f t="shared" si="4"/>
        <v>0.66369047619047616</v>
      </c>
    </row>
    <row r="16" spans="2:20" x14ac:dyDescent="0.3">
      <c r="H16" s="146"/>
      <c r="I16" s="146"/>
    </row>
    <row r="17" spans="2:18" x14ac:dyDescent="0.3">
      <c r="C17" s="146">
        <f>+E15+G15+G17</f>
        <v>753</v>
      </c>
      <c r="G17" s="146"/>
    </row>
    <row r="18" spans="2:18" x14ac:dyDescent="0.3">
      <c r="B18" s="53"/>
      <c r="I18" s="275" t="s">
        <v>516</v>
      </c>
      <c r="J18" s="276"/>
      <c r="K18" s="276"/>
      <c r="L18" s="276"/>
      <c r="M18" s="276"/>
      <c r="N18" s="276"/>
      <c r="O18" s="276"/>
      <c r="P18" s="277"/>
    </row>
    <row r="19" spans="2:18" ht="29.25" customHeight="1" thickBot="1" x14ac:dyDescent="0.35">
      <c r="B19" s="53"/>
      <c r="C19" s="284" t="s">
        <v>517</v>
      </c>
      <c r="D19" s="285"/>
      <c r="E19" s="284" t="s">
        <v>518</v>
      </c>
      <c r="F19" s="285"/>
      <c r="G19" s="284" t="s">
        <v>519</v>
      </c>
      <c r="H19" s="285"/>
      <c r="I19" s="280" t="s">
        <v>539</v>
      </c>
      <c r="J19" s="281"/>
      <c r="K19" s="281"/>
      <c r="L19" s="278" t="str">
        <f>CONCATENATE(TEXT(T3, "dd"), " de ", TEXT(T3, "mmmm")," de ",TEXT(T3,"aaaa"))</f>
        <v>31 de diciembre de 2021</v>
      </c>
      <c r="M19" s="278"/>
      <c r="N19" s="278"/>
      <c r="O19" s="278"/>
      <c r="P19" s="279"/>
    </row>
    <row r="20" spans="2:18" ht="30.75" thickBot="1" x14ac:dyDescent="0.35">
      <c r="B20" s="88" t="s">
        <v>540</v>
      </c>
      <c r="C20" s="54" t="s">
        <v>522</v>
      </c>
      <c r="D20" s="54" t="s">
        <v>523</v>
      </c>
      <c r="E20" s="54" t="s">
        <v>522</v>
      </c>
      <c r="F20" s="54" t="s">
        <v>523</v>
      </c>
      <c r="G20" s="54" t="s">
        <v>522</v>
      </c>
      <c r="H20" s="54" t="s">
        <v>523</v>
      </c>
      <c r="I20" s="55" t="s">
        <v>524</v>
      </c>
      <c r="J20" s="55" t="s">
        <v>523</v>
      </c>
      <c r="K20" s="55" t="s">
        <v>525</v>
      </c>
      <c r="L20" s="55" t="s">
        <v>526</v>
      </c>
      <c r="M20" s="55" t="s">
        <v>541</v>
      </c>
      <c r="N20" s="55" t="s">
        <v>523</v>
      </c>
      <c r="O20" s="55" t="s">
        <v>528</v>
      </c>
      <c r="P20" s="55" t="s">
        <v>529</v>
      </c>
      <c r="Q20" s="56" t="s">
        <v>530</v>
      </c>
      <c r="R20" s="54" t="s">
        <v>531</v>
      </c>
    </row>
    <row r="21" spans="2:18" x14ac:dyDescent="0.3">
      <c r="B21" s="57" t="s">
        <v>336</v>
      </c>
      <c r="C21" s="58">
        <f>Reynosa!F2</f>
        <v>56</v>
      </c>
      <c r="D21" s="58">
        <f>Reynosa!F3</f>
        <v>586</v>
      </c>
      <c r="E21" s="58">
        <f>Reynosa!H1</f>
        <v>0</v>
      </c>
      <c r="F21" s="71">
        <f>Reynosa!H2</f>
        <v>0</v>
      </c>
      <c r="G21" s="71">
        <f>Reynosa!F2</f>
        <v>56</v>
      </c>
      <c r="H21" s="71">
        <f>D21</f>
        <v>586</v>
      </c>
      <c r="I21" s="58">
        <f>Reynosa!F4</f>
        <v>56</v>
      </c>
      <c r="J21" s="58">
        <f>Reynosa!F5</f>
        <v>586</v>
      </c>
      <c r="K21" s="58">
        <f>Reynosa!H3</f>
        <v>54</v>
      </c>
      <c r="L21" s="58">
        <v>5</v>
      </c>
      <c r="M21" s="58">
        <f t="shared" ref="M21:M26" si="8">K21+L21</f>
        <v>59</v>
      </c>
      <c r="N21" s="58">
        <f>Reynosa!H4</f>
        <v>497</v>
      </c>
      <c r="O21" s="58">
        <v>42</v>
      </c>
      <c r="P21" s="58">
        <f>Reynosa!H5</f>
        <v>2</v>
      </c>
      <c r="Q21" s="60">
        <f>IFERROR(M21/(I21+L21), "-")</f>
        <v>0.96721311475409832</v>
      </c>
      <c r="R21" s="60">
        <f>IFERROR(M21/(G21+L21), "-")</f>
        <v>0.96721311475409832</v>
      </c>
    </row>
    <row r="22" spans="2:18" ht="15.75" thickBot="1" x14ac:dyDescent="0.35">
      <c r="B22" s="61" t="s">
        <v>367</v>
      </c>
      <c r="C22" s="62">
        <f>Altamira!F2</f>
        <v>40</v>
      </c>
      <c r="D22" s="62">
        <f>Altamira!F3</f>
        <v>358</v>
      </c>
      <c r="E22" s="62">
        <f>Altamira!H1</f>
        <v>5</v>
      </c>
      <c r="F22" s="62">
        <f>Altamira!H2</f>
        <v>46</v>
      </c>
      <c r="G22" s="62">
        <f t="shared" ref="G22:H25" si="9">C22-E22</f>
        <v>35</v>
      </c>
      <c r="H22" s="62">
        <f t="shared" si="9"/>
        <v>312</v>
      </c>
      <c r="I22" s="62">
        <f>Altamira!F4</f>
        <v>35</v>
      </c>
      <c r="J22" s="62">
        <f>Altamira!F5</f>
        <v>312</v>
      </c>
      <c r="K22" s="62">
        <f>Altamira!H3</f>
        <v>30</v>
      </c>
      <c r="L22" s="62"/>
      <c r="M22" s="62">
        <f t="shared" si="8"/>
        <v>30</v>
      </c>
      <c r="N22" s="62">
        <f>Altamira!H4</f>
        <v>203</v>
      </c>
      <c r="O22" s="62"/>
      <c r="P22" s="62">
        <f>Altamira!H5</f>
        <v>5</v>
      </c>
      <c r="Q22" s="63">
        <f t="shared" ref="Q22:Q26" si="10">IFERROR(M22/(I22+L22), "-")</f>
        <v>0.8571428571428571</v>
      </c>
      <c r="R22" s="64">
        <f t="shared" ref="R22:R24" si="11">IFERROR(M22/(G22+L22), "-")</f>
        <v>0.8571428571428571</v>
      </c>
    </row>
    <row r="23" spans="2:18" ht="20.25" customHeight="1" x14ac:dyDescent="0.3">
      <c r="B23" s="57" t="s">
        <v>542</v>
      </c>
      <c r="C23" s="58">
        <f>'Naranjos-Cerro A'!F2</f>
        <v>29</v>
      </c>
      <c r="D23" s="71">
        <f>'Naranjos-Cerro A'!F3</f>
        <v>245</v>
      </c>
      <c r="E23" s="71">
        <f>'Naranjos-Cerro A'!H1</f>
        <v>5</v>
      </c>
      <c r="F23" s="71">
        <f>'Naranjos-Cerro A'!H2</f>
        <v>43</v>
      </c>
      <c r="G23" s="71">
        <f>C23-E23</f>
        <v>24</v>
      </c>
      <c r="H23" s="71">
        <f t="shared" si="9"/>
        <v>202</v>
      </c>
      <c r="I23" s="58">
        <f>'Naranjos-Cerro A'!F4</f>
        <v>24</v>
      </c>
      <c r="J23" s="58">
        <f>'Naranjos-Cerro A'!F5</f>
        <v>202</v>
      </c>
      <c r="K23" s="58">
        <f>'Naranjos-Cerro A'!H3</f>
        <v>20</v>
      </c>
      <c r="L23" s="58"/>
      <c r="M23" s="58">
        <f t="shared" si="8"/>
        <v>20</v>
      </c>
      <c r="N23" s="58">
        <f>'Naranjos-Cerro A'!H4</f>
        <v>138</v>
      </c>
      <c r="O23" s="58"/>
      <c r="P23" s="58">
        <f>'Naranjos-Cerro A'!H5</f>
        <v>4</v>
      </c>
      <c r="Q23" s="60">
        <f t="shared" si="10"/>
        <v>0.83333333333333337</v>
      </c>
      <c r="R23" s="65">
        <f>IFERROR(M23/(G23+L23), "-")</f>
        <v>0.83333333333333337</v>
      </c>
    </row>
    <row r="24" spans="2:18" x14ac:dyDescent="0.3">
      <c r="B24" s="61" t="s">
        <v>394</v>
      </c>
      <c r="C24" s="62">
        <f>'Poza Rica'!F2</f>
        <v>64</v>
      </c>
      <c r="D24" s="66">
        <f>'Poza Rica'!F3</f>
        <v>509</v>
      </c>
      <c r="E24" s="66">
        <f>'Poza Rica'!H1</f>
        <v>18</v>
      </c>
      <c r="F24" s="66">
        <f>'Poza Rica'!H2</f>
        <v>135</v>
      </c>
      <c r="G24" s="66">
        <f>C24-E24</f>
        <v>46</v>
      </c>
      <c r="H24" s="66">
        <f t="shared" si="9"/>
        <v>374</v>
      </c>
      <c r="I24" s="62">
        <f>'Poza Rica'!F4</f>
        <v>46</v>
      </c>
      <c r="J24" s="62">
        <f>'Poza Rica'!F5</f>
        <v>374</v>
      </c>
      <c r="K24" s="62">
        <f>'Poza Rica'!H3</f>
        <v>29</v>
      </c>
      <c r="L24" s="62"/>
      <c r="M24" s="62">
        <f t="shared" si="8"/>
        <v>29</v>
      </c>
      <c r="N24" s="62">
        <f>'Poza Rica'!H4</f>
        <v>194</v>
      </c>
      <c r="O24" s="62"/>
      <c r="P24" s="62">
        <f>'Poza Rica'!H5</f>
        <v>17</v>
      </c>
      <c r="Q24" s="63">
        <f t="shared" si="10"/>
        <v>0.63043478260869568</v>
      </c>
      <c r="R24" s="64">
        <f t="shared" si="11"/>
        <v>0.63043478260869568</v>
      </c>
    </row>
    <row r="25" spans="2:18" ht="16.5" thickTop="1" thickBot="1" x14ac:dyDescent="0.35">
      <c r="B25" s="57" t="s">
        <v>419</v>
      </c>
      <c r="C25" s="58">
        <f>Veracruz!F2</f>
        <v>40</v>
      </c>
      <c r="D25" s="71">
        <f>Veracruz!F3</f>
        <v>181</v>
      </c>
      <c r="E25" s="71">
        <f>Veracruz!H1</f>
        <v>3</v>
      </c>
      <c r="F25" s="71">
        <f>Veracruz!H2</f>
        <v>24</v>
      </c>
      <c r="G25" s="71">
        <f t="shared" si="9"/>
        <v>37</v>
      </c>
      <c r="H25" s="71">
        <f t="shared" si="9"/>
        <v>157</v>
      </c>
      <c r="I25" s="58">
        <f>Veracruz!F4</f>
        <v>37</v>
      </c>
      <c r="J25" s="58">
        <f>Veracruz!F5</f>
        <v>157</v>
      </c>
      <c r="K25" s="58">
        <f>Veracruz!H3</f>
        <v>34</v>
      </c>
      <c r="L25" s="58"/>
      <c r="M25" s="58">
        <f t="shared" si="8"/>
        <v>34</v>
      </c>
      <c r="N25" s="58">
        <f>Veracruz!H4</f>
        <v>103</v>
      </c>
      <c r="O25" s="58"/>
      <c r="P25" s="58">
        <f>Veracruz!H5</f>
        <v>3</v>
      </c>
      <c r="Q25" s="60">
        <f t="shared" si="10"/>
        <v>0.91891891891891897</v>
      </c>
      <c r="R25" s="65">
        <f>IFERROR(M25/(G25+L25), "-")</f>
        <v>0.91891891891891897</v>
      </c>
    </row>
    <row r="26" spans="2:18" ht="15.75" thickBot="1" x14ac:dyDescent="0.35">
      <c r="B26" s="67" t="s">
        <v>532</v>
      </c>
      <c r="C26" s="67">
        <f t="shared" ref="C26:L26" si="12">SUM(C21:C25)</f>
        <v>229</v>
      </c>
      <c r="D26" s="68">
        <f t="shared" si="12"/>
        <v>1879</v>
      </c>
      <c r="E26" s="67">
        <f t="shared" si="12"/>
        <v>31</v>
      </c>
      <c r="F26" s="67">
        <f t="shared" si="12"/>
        <v>248</v>
      </c>
      <c r="G26" s="119">
        <f>SUM(G21:G25)</f>
        <v>198</v>
      </c>
      <c r="H26" s="68">
        <f t="shared" si="12"/>
        <v>1631</v>
      </c>
      <c r="I26" s="67">
        <f t="shared" si="12"/>
        <v>198</v>
      </c>
      <c r="J26" s="68">
        <f>SUM(J21:J25)</f>
        <v>1631</v>
      </c>
      <c r="K26" s="67">
        <f t="shared" si="12"/>
        <v>167</v>
      </c>
      <c r="L26" s="67">
        <f t="shared" si="12"/>
        <v>5</v>
      </c>
      <c r="M26" s="67">
        <f t="shared" si="8"/>
        <v>172</v>
      </c>
      <c r="N26" s="68">
        <f>SUM(N21:N25)</f>
        <v>1135</v>
      </c>
      <c r="O26" s="67">
        <f>SUM(O21:O25)</f>
        <v>42</v>
      </c>
      <c r="P26" s="67">
        <f>SUM(P21:P25)</f>
        <v>31</v>
      </c>
      <c r="Q26" s="69">
        <f t="shared" si="10"/>
        <v>0.84729064039408863</v>
      </c>
      <c r="R26" s="70">
        <f>IFERROR(M26/(G26+L26), "-")</f>
        <v>0.84729064039408863</v>
      </c>
    </row>
    <row r="29" spans="2:18" x14ac:dyDescent="0.3">
      <c r="B29" s="53"/>
      <c r="I29" s="275" t="s">
        <v>516</v>
      </c>
      <c r="J29" s="276"/>
      <c r="K29" s="276"/>
      <c r="L29" s="276"/>
      <c r="M29" s="276"/>
      <c r="N29" s="276"/>
      <c r="O29" s="276"/>
      <c r="P29" s="277"/>
    </row>
    <row r="30" spans="2:18" ht="27.75" customHeight="1" thickBot="1" x14ac:dyDescent="0.35">
      <c r="B30" s="53"/>
      <c r="C30" s="284" t="s">
        <v>517</v>
      </c>
      <c r="D30" s="285"/>
      <c r="E30" s="284" t="s">
        <v>518</v>
      </c>
      <c r="F30" s="285"/>
      <c r="G30" s="284" t="s">
        <v>519</v>
      </c>
      <c r="H30" s="285"/>
      <c r="I30" s="280" t="s">
        <v>539</v>
      </c>
      <c r="J30" s="281"/>
      <c r="K30" s="281"/>
      <c r="L30" s="278" t="str">
        <f>CONCATENATE(TEXT(T3, "dd"), " de ", TEXT(T3, "mmmm")," de ",TEXT(T3,"aaaa"))</f>
        <v>31 de diciembre de 2021</v>
      </c>
      <c r="M30" s="278"/>
      <c r="N30" s="278"/>
      <c r="O30" s="278"/>
      <c r="P30" s="279"/>
    </row>
    <row r="31" spans="2:18" ht="30.75" thickBot="1" x14ac:dyDescent="0.35">
      <c r="B31" s="88" t="s">
        <v>543</v>
      </c>
      <c r="C31" s="54" t="s">
        <v>522</v>
      </c>
      <c r="D31" s="54" t="s">
        <v>523</v>
      </c>
      <c r="E31" s="54" t="s">
        <v>522</v>
      </c>
      <c r="F31" s="54" t="s">
        <v>523</v>
      </c>
      <c r="G31" s="54" t="s">
        <v>522</v>
      </c>
      <c r="H31" s="54" t="s">
        <v>523</v>
      </c>
      <c r="I31" s="55" t="s">
        <v>524</v>
      </c>
      <c r="J31" s="55" t="s">
        <v>523</v>
      </c>
      <c r="K31" s="55" t="s">
        <v>525</v>
      </c>
      <c r="L31" s="55" t="s">
        <v>526</v>
      </c>
      <c r="M31" s="55" t="s">
        <v>541</v>
      </c>
      <c r="N31" s="55" t="s">
        <v>523</v>
      </c>
      <c r="O31" s="55" t="s">
        <v>528</v>
      </c>
      <c r="P31" s="55" t="s">
        <v>529</v>
      </c>
      <c r="Q31" s="56" t="s">
        <v>530</v>
      </c>
      <c r="R31" s="54" t="s">
        <v>531</v>
      </c>
    </row>
    <row r="32" spans="2:18" ht="20.25" customHeight="1" thickBot="1" x14ac:dyDescent="0.35">
      <c r="B32" s="57" t="s">
        <v>544</v>
      </c>
      <c r="C32" s="58">
        <f>'Cinco Presidentes'!F2</f>
        <v>109</v>
      </c>
      <c r="D32" s="59">
        <f>'Cinco Presidentes'!F3</f>
        <v>1301</v>
      </c>
      <c r="E32" s="71">
        <f>'Cinco Presidentes'!H1</f>
        <v>4</v>
      </c>
      <c r="F32" s="71">
        <f>'Cinco Presidentes'!H2</f>
        <v>27</v>
      </c>
      <c r="G32" s="71">
        <f>'Cinco Presidentes'!L4</f>
        <v>66</v>
      </c>
      <c r="H32" s="59">
        <f>'Cinco Presidentes'!L3</f>
        <v>849</v>
      </c>
      <c r="I32" s="58">
        <f>'Cinco Presidentes'!F4</f>
        <v>66</v>
      </c>
      <c r="J32" s="58">
        <f>'Cinco Presidentes'!F5</f>
        <v>849</v>
      </c>
      <c r="K32" s="58">
        <f>'Cinco Presidentes'!H3</f>
        <v>18</v>
      </c>
      <c r="L32" s="58">
        <v>11</v>
      </c>
      <c r="M32" s="58">
        <f>K32+L32</f>
        <v>29</v>
      </c>
      <c r="N32" s="58">
        <f>'Cinco Presidentes'!H4</f>
        <v>172</v>
      </c>
      <c r="O32" s="58">
        <v>52</v>
      </c>
      <c r="P32" s="58">
        <f>'Cinco Presidentes'!H5</f>
        <v>79</v>
      </c>
      <c r="Q32" s="60">
        <f>IFERROR(M32/(I32+L32), "-")</f>
        <v>0.37662337662337664</v>
      </c>
      <c r="R32" s="60">
        <f>IFERROR(M32/(G32+L32), "-")</f>
        <v>0.37662337662337664</v>
      </c>
    </row>
    <row r="33" spans="2:18" ht="20.25" customHeight="1" x14ac:dyDescent="0.3">
      <c r="B33" s="61" t="s">
        <v>545</v>
      </c>
      <c r="C33" s="62">
        <f>'Bellota Jujo'!F2</f>
        <v>41</v>
      </c>
      <c r="D33" s="66">
        <f>'Bellota Jujo'!F3</f>
        <v>627</v>
      </c>
      <c r="E33" s="66">
        <f>'Bellota Jujo'!H1</f>
        <v>3</v>
      </c>
      <c r="F33" s="66">
        <f>'Bellota Jujo'!H2</f>
        <v>51</v>
      </c>
      <c r="G33" s="66">
        <f>'Bellota Jujo'!L3</f>
        <v>28</v>
      </c>
      <c r="H33" s="66">
        <f>'Bellota Jujo'!L4</f>
        <v>455</v>
      </c>
      <c r="I33" s="62">
        <f>'Bellota Jujo'!F4</f>
        <v>28</v>
      </c>
      <c r="J33" s="62">
        <f>'Bellota Jujo'!F5</f>
        <v>455</v>
      </c>
      <c r="K33" s="62">
        <f>'Bellota Jujo'!H3</f>
        <v>17</v>
      </c>
      <c r="L33" s="62">
        <v>7</v>
      </c>
      <c r="M33" s="62">
        <f t="shared" ref="M33:M36" si="13">K33+L33</f>
        <v>24</v>
      </c>
      <c r="N33" s="62">
        <f>'Bellota Jujo'!H4</f>
        <v>160</v>
      </c>
      <c r="O33" s="62">
        <v>8</v>
      </c>
      <c r="P33" s="62">
        <f>'Bellota Jujo'!H5</f>
        <v>11</v>
      </c>
      <c r="Q33" s="63">
        <f t="shared" ref="Q33:Q37" si="14">IFERROR(M33/(I33+L33), "-")</f>
        <v>0.68571428571428572</v>
      </c>
      <c r="R33" s="64">
        <f t="shared" ref="R33:R35" si="15">IFERROR(M33/(G33+L33), "-")</f>
        <v>0.68571428571428572</v>
      </c>
    </row>
    <row r="34" spans="2:18" ht="20.25" customHeight="1" thickTop="1" thickBot="1" x14ac:dyDescent="0.35">
      <c r="B34" s="57" t="s">
        <v>459</v>
      </c>
      <c r="C34" s="58">
        <f>Macuspana!F2</f>
        <v>55</v>
      </c>
      <c r="D34" s="71">
        <f>Macuspana!F3</f>
        <v>622</v>
      </c>
      <c r="E34" s="71">
        <f>Macuspana!H1</f>
        <v>8</v>
      </c>
      <c r="F34" s="71">
        <f>Macuspana!H2</f>
        <v>95</v>
      </c>
      <c r="G34" s="71">
        <f>Macuspana!L4</f>
        <v>16</v>
      </c>
      <c r="H34" s="71">
        <f>Macuspana!L3</f>
        <v>211</v>
      </c>
      <c r="I34" s="58">
        <f>Macuspana!F4</f>
        <v>16</v>
      </c>
      <c r="J34" s="58">
        <f>Macuspana!F5</f>
        <v>211</v>
      </c>
      <c r="K34" s="58">
        <f>Macuspana!H3</f>
        <v>12</v>
      </c>
      <c r="L34" s="58">
        <v>7</v>
      </c>
      <c r="M34" s="58">
        <f t="shared" si="13"/>
        <v>19</v>
      </c>
      <c r="N34" s="58">
        <f>Macuspana!H4</f>
        <v>81</v>
      </c>
      <c r="O34" s="58">
        <v>12</v>
      </c>
      <c r="P34" s="58">
        <f>Macuspana!H5</f>
        <v>12</v>
      </c>
      <c r="Q34" s="60">
        <f t="shared" si="14"/>
        <v>0.82608695652173914</v>
      </c>
      <c r="R34" s="65">
        <f t="shared" si="15"/>
        <v>0.82608695652173914</v>
      </c>
    </row>
    <row r="35" spans="2:18" ht="20.25" customHeight="1" thickBot="1" x14ac:dyDescent="0.35">
      <c r="B35" s="61" t="s">
        <v>546</v>
      </c>
      <c r="C35" s="62">
        <f>'Samaria Luna'!F2</f>
        <v>30</v>
      </c>
      <c r="D35" s="66">
        <f>'Samaria Luna'!F3</f>
        <v>296</v>
      </c>
      <c r="E35" s="66">
        <f>'Samaria Luna'!H1</f>
        <v>7</v>
      </c>
      <c r="F35" s="66">
        <f>'Samaria Luna'!H2</f>
        <v>76</v>
      </c>
      <c r="G35" s="66">
        <f>'Samaria Luna'!L4</f>
        <v>21</v>
      </c>
      <c r="H35" s="66">
        <f>'Samaria Luna'!L3</f>
        <v>211</v>
      </c>
      <c r="I35" s="62">
        <f>'Samaria Luna'!F4</f>
        <v>21</v>
      </c>
      <c r="J35" s="62">
        <f>'Samaria Luna'!F5</f>
        <v>211</v>
      </c>
      <c r="K35" s="62">
        <f>'Samaria Luna'!H3</f>
        <v>17</v>
      </c>
      <c r="L35" s="62">
        <v>1</v>
      </c>
      <c r="M35" s="62">
        <f t="shared" si="13"/>
        <v>18</v>
      </c>
      <c r="N35" s="62">
        <f>'Samaria Luna'!H4</f>
        <v>119</v>
      </c>
      <c r="O35" s="62">
        <v>9</v>
      </c>
      <c r="P35" s="62">
        <f>'Samaria Luna'!H5</f>
        <v>4</v>
      </c>
      <c r="Q35" s="89">
        <f t="shared" si="14"/>
        <v>0.81818181818181823</v>
      </c>
      <c r="R35" s="90">
        <f t="shared" si="15"/>
        <v>0.81818181818181823</v>
      </c>
    </row>
    <row r="36" spans="2:18" ht="20.25" customHeight="1" thickTop="1" thickBot="1" x14ac:dyDescent="0.35">
      <c r="B36" s="57" t="s">
        <v>547</v>
      </c>
      <c r="C36" s="58">
        <f>Villahermosa!F2</f>
        <v>22</v>
      </c>
      <c r="D36" s="71">
        <f>Villahermosa!F3</f>
        <v>169</v>
      </c>
      <c r="E36" s="71">
        <f>Villahermosa!H1</f>
        <v>5</v>
      </c>
      <c r="F36" s="71">
        <f>Villahermosa!H2</f>
        <v>16</v>
      </c>
      <c r="G36" s="71">
        <f>Villahermosa!L4</f>
        <v>8</v>
      </c>
      <c r="H36" s="71">
        <f>Villahermosa!L3</f>
        <v>75</v>
      </c>
      <c r="I36" s="58">
        <f>Villahermosa!F4</f>
        <v>8</v>
      </c>
      <c r="J36" s="58">
        <f>Villahermosa!F5</f>
        <v>75</v>
      </c>
      <c r="K36" s="58">
        <f>Villahermosa!H3</f>
        <v>5</v>
      </c>
      <c r="L36" s="58">
        <v>2</v>
      </c>
      <c r="M36" s="58">
        <f t="shared" si="13"/>
        <v>7</v>
      </c>
      <c r="N36" s="58">
        <f>Villahermosa!H4</f>
        <v>53</v>
      </c>
      <c r="O36" s="58">
        <v>23</v>
      </c>
      <c r="P36" s="58">
        <v>14</v>
      </c>
      <c r="Q36" s="60">
        <f t="shared" si="14"/>
        <v>0.7</v>
      </c>
      <c r="R36" s="65">
        <f>IFERROR(M36/(G36+L36), "-")</f>
        <v>0.7</v>
      </c>
    </row>
    <row r="37" spans="2:18" ht="15.75" thickBot="1" x14ac:dyDescent="0.35">
      <c r="B37" s="67" t="s">
        <v>533</v>
      </c>
      <c r="C37" s="67">
        <f t="shared" ref="C37:J37" si="16">SUM(C32:C36)</f>
        <v>257</v>
      </c>
      <c r="D37" s="68">
        <f t="shared" si="16"/>
        <v>3015</v>
      </c>
      <c r="E37" s="67">
        <f t="shared" si="16"/>
        <v>27</v>
      </c>
      <c r="F37" s="67">
        <f t="shared" si="16"/>
        <v>265</v>
      </c>
      <c r="G37" s="67">
        <f t="shared" si="16"/>
        <v>139</v>
      </c>
      <c r="H37" s="68">
        <f t="shared" si="16"/>
        <v>1801</v>
      </c>
      <c r="I37" s="67">
        <f t="shared" si="16"/>
        <v>139</v>
      </c>
      <c r="J37" s="68">
        <f t="shared" si="16"/>
        <v>1801</v>
      </c>
      <c r="K37" s="67">
        <f>SUM(K32:K36)</f>
        <v>69</v>
      </c>
      <c r="L37" s="67">
        <f>SUM(L32:L36)</f>
        <v>28</v>
      </c>
      <c r="M37" s="67">
        <f>K37+L37</f>
        <v>97</v>
      </c>
      <c r="N37" s="67">
        <f>SUM(N32:N36)</f>
        <v>585</v>
      </c>
      <c r="O37" s="67">
        <f>SUM(O32:O36)</f>
        <v>104</v>
      </c>
      <c r="P37" s="67">
        <f>SUM(P32:P36)</f>
        <v>120</v>
      </c>
      <c r="Q37" s="69">
        <f t="shared" si="14"/>
        <v>0.58083832335329344</v>
      </c>
      <c r="R37" s="70">
        <f>IFERROR(M37/(G37+L37), "-")</f>
        <v>0.58083832335329344</v>
      </c>
    </row>
    <row r="40" spans="2:18" x14ac:dyDescent="0.3">
      <c r="B40" s="53"/>
      <c r="I40" s="275" t="s">
        <v>516</v>
      </c>
      <c r="J40" s="276"/>
      <c r="K40" s="276"/>
      <c r="L40" s="276"/>
      <c r="M40" s="276"/>
      <c r="N40" s="276"/>
      <c r="O40" s="276"/>
      <c r="P40" s="277"/>
    </row>
    <row r="41" spans="2:18" ht="30" customHeight="1" thickBot="1" x14ac:dyDescent="0.35">
      <c r="B41" s="53"/>
      <c r="C41" s="284" t="s">
        <v>517</v>
      </c>
      <c r="D41" s="285"/>
      <c r="E41" s="284" t="s">
        <v>518</v>
      </c>
      <c r="F41" s="285"/>
      <c r="G41" s="284" t="s">
        <v>519</v>
      </c>
      <c r="H41" s="285"/>
      <c r="I41" s="280" t="s">
        <v>539</v>
      </c>
      <c r="J41" s="281"/>
      <c r="K41" s="281"/>
      <c r="L41" s="278" t="str">
        <f>CONCATENATE(TEXT(T3, "dd"), " de ", TEXT(T3, "mmmm")," de ",TEXT(T3,"aaaa"))</f>
        <v>31 de diciembre de 2021</v>
      </c>
      <c r="M41" s="278"/>
      <c r="N41" s="278"/>
      <c r="O41" s="278"/>
      <c r="P41" s="279"/>
    </row>
    <row r="42" spans="2:18" ht="30.75" thickBot="1" x14ac:dyDescent="0.35">
      <c r="B42" s="88" t="s">
        <v>23</v>
      </c>
      <c r="C42" s="54" t="s">
        <v>522</v>
      </c>
      <c r="D42" s="54" t="s">
        <v>523</v>
      </c>
      <c r="E42" s="54" t="s">
        <v>522</v>
      </c>
      <c r="F42" s="54" t="s">
        <v>523</v>
      </c>
      <c r="G42" s="54" t="s">
        <v>522</v>
      </c>
      <c r="H42" s="54" t="s">
        <v>523</v>
      </c>
      <c r="I42" s="55" t="s">
        <v>524</v>
      </c>
      <c r="J42" s="55" t="s">
        <v>523</v>
      </c>
      <c r="K42" s="55" t="s">
        <v>525</v>
      </c>
      <c r="L42" s="55" t="s">
        <v>526</v>
      </c>
      <c r="M42" s="55" t="s">
        <v>541</v>
      </c>
      <c r="N42" s="55" t="s">
        <v>523</v>
      </c>
      <c r="O42" s="55" t="s">
        <v>528</v>
      </c>
      <c r="P42" s="55" t="s">
        <v>529</v>
      </c>
      <c r="Q42" s="56" t="s">
        <v>530</v>
      </c>
      <c r="R42" s="54" t="s">
        <v>531</v>
      </c>
    </row>
    <row r="43" spans="2:18" x14ac:dyDescent="0.3">
      <c r="B43" s="57" t="s">
        <v>548</v>
      </c>
      <c r="C43" s="58">
        <f>COUNTIF(Reynosa!$E$8:$E$63,"Subdirección de Producción Región Norte")+COUNTIF(Altamira!$E$8:$E$47,"Subdirección de Producción Región Norte")+COUNTIF('Naranjos-Cerro A'!$E$8:$E$36,"Subdirección de Producción Región Norte")+COUNTIF('Poza Rica'!$E$8:$E$71,"Subdirección de Producción Región Norte")+COUNTIF(Veracruz!$E$8:$E$47,"Subdirección de Producción Región Norte")</f>
        <v>104</v>
      </c>
      <c r="D43" s="59">
        <f>SUMIF(Reynosa!$E$8:$E$63,"Subdirección de Producción Región Norte",Reynosa!$M$8:$M$63)+SUMIF(Altamira!$E$8:$E$47,"Subdirección de Producción Región Norte",Altamira!$M$8:$M$47)+SUMIF('Naranjos-Cerro A'!$E$8:$E$36,"Subdirección de Producción Región Norte",'Naranjos-Cerro A'!$M$8:$M$36)+SUMIF('Poza Rica'!$E$8:$E$71,"Subdirección de Producción Región Norte",'Poza Rica'!$M$8:$M$71)+SUMIF(Veracruz!$E$8:$E$47,"Subdirección de Producción Región Norte",Veracruz!$M$8:$M$47)</f>
        <v>956</v>
      </c>
      <c r="E43" s="151">
        <f>COUNTIF(Altamira!$E$8:$E$12,"Subdirección de Producción Región Norte")+COUNTIF('Naranjos-Cerro A'!$E$8:$E$12,"Subdirección de Producción Región Norte")+COUNTIF('Poza Rica'!$E$8:$E$25,"Subdirección de Producción Región Norte")+COUNTIF(Veracruz!$E$5:$E$10,"Subdirección de Producción Región Norte")</f>
        <v>15</v>
      </c>
      <c r="F43" s="71">
        <f>SUMIF(Altamira!$E$8:$E$12,"Subdirección de Producción Región Norte",Altamira!$M$8:$M$12)+SUMIF('Naranjos-Cerro A'!$E$8:$E$12,"Subdirección de Producción Región Norte",'Naranjos-Cerro A'!$M$8:$M$12)+SUMIF('Poza Rica'!$E$8:$E$25,"Subdirección de Producción Región Norte",'Poza Rica'!$M$8:$M$25)+SUMIF(Veracruz!$E$5:$E$10,"Subdirección de Producción Región Norte",Veracruz!$M$5:$M$10)</f>
        <v>133</v>
      </c>
      <c r="G43" s="150">
        <f>COUNTIF(Reynosa!$E$8:$E$63,"Subdirección de Producción Región Norte")+COUNTIF(Altamira!$E$13:$E$47,"Subdirección de Producción Región Norte")+COUNTIF('Naranjos-Cerro A'!$E$13:$E$36,"Subdirección de Producción Región Norte")+COUNTIF('Poza Rica'!$E$26:$E$71,"Subdirección de Producción Región Norte")+COUNTIF(Veracruz!$E$11:$E$47,"Subdirección de Producción Región Norte")</f>
        <v>89</v>
      </c>
      <c r="H43" s="168">
        <f>SUMIF(Reynosa!$E$8:$E$63,"Subdirección de Producción Región Norte",Reynosa!$M$8:$M$63)+SUMIF(Altamira!$E$13:$E$47,"Subdirección de Producción Región Norte",Altamira!$M$13:$M$47)+SUMIF('Naranjos-Cerro A'!$E$14:$E$36,"Subdirección de Producción Región Norte",'Naranjos-Cerro A'!$M$14:$M$36)+SUMIF('Poza Rica'!$E$26:$E$71,"Subdirección de Producción Región Norte",'Poza Rica'!$M$26:$M$71)+SUMIF(Veracruz!$E$11:$E$47,"Subdirección de Producción Región Norte",Veracruz!$M$11:$M$47)</f>
        <v>823</v>
      </c>
      <c r="I43" s="150">
        <f>COUNTIFS(Reynosa!$E$8:$E$63,"Subdirección de Producción Región Norte",Reynosa!$Q$8:$Q$63,"1")+COUNTIFS(Altamira!$E$13:$E$47,"Subdirección de Producción Región Norte",Altamira!$Q$13:$Q$47,"1")+COUNTIFS('Naranjos-Cerro A'!$E$13:$E$36,"Subdirección de Producción Región Norte",'Naranjos-Cerro A'!$Q$13:$Q$36,"1")+COUNTIFS('Poza Rica'!$E$26:$E$71,"Subdirección de Producción Región Norte",'Poza Rica'!$Q$26:$Q$71,"1")+COUNTIFS(Veracruz!$E$11:$E$47,"Subdirección de Producción Región Norte",Veracruz!$Q$11:$Q$47,"1")</f>
        <v>89</v>
      </c>
      <c r="J43" s="71">
        <f>SUMIFS(Reynosa!$M$8:$M$63,Reynosa!$E$8:$E$63,"Subdirección de Producción Región Norte",Reynosa!$Q$8:$Q$63,"1")+SUMIFS(Altamira!$M$13:$M$47,Altamira!$E$13:$E$47,"Subdirección de Producción Región Norte",Altamira!$Q$13:$Q$47,"1")+SUMIFS('Naranjos-Cerro A'!$M$14:$M$36,'Naranjos-Cerro A'!$E$14:$E36,"Subdirección de Producción Región Norte",'Naranjos-Cerro A'!$Q$14:$Q$36,"1")+SUMIFS('Poza Rica'!$M$26:$M$71,'Poza Rica'!$E$26:$E$71,"Subdirección de Producción Región Norte",'Poza Rica'!$Q$26:$Q$71,"1")+SUMIFS(Veracruz!$M$11:$M$47,Veracruz!$E$11:$E$47,"Subdirección de Producción Región Norte",Veracruz!$Q$11:$Q$47,"1")</f>
        <v>823</v>
      </c>
      <c r="K43" s="150">
        <f>COUNTIFS(Reynosa!$E$8:$E$63,"Subdirección de Producción Región Norte",Reynosa!$Q$8:$Q$63,"1",Reynosa!$R$8:$R$63,"Realizado")+COUNTIFS(Altamira!$E$13:$E$47,"Subdirección de Producción Región Norte",Altamira!$Q$13:$Q$47,"1",Altamira!$R$13:$R$47,"Realizado")+COUNTIFS('Naranjos-Cerro A'!$E$13:$E$36,"Subdirección de Producción Región Norte",'Naranjos-Cerro A'!$Q$13:$Q$36,"1",'Naranjos-Cerro A'!$R$13:$R$36,"Realizado")+COUNTIFS('Poza Rica'!$E$26:$E$71,"Subdirección de Producción Región Norte",'Poza Rica'!$Q$26:$Q$71,"1",'Poza Rica'!$R$26:$R$71,"Realizado")+COUNTIFS(Veracruz!$E$11:$E$47,"Subdirección de Producción Región Norte",Veracruz!$Q$11:$Q$47,"1",Veracruz!$R$11:$R$47,"Realizado")</f>
        <v>77</v>
      </c>
      <c r="L43" s="58">
        <f>COUNTIF(Adicionales!$E$9:$E$88,"Subdirección de Producción Región Norte")</f>
        <v>1</v>
      </c>
      <c r="M43" s="58">
        <f>K43+L43</f>
        <v>78</v>
      </c>
      <c r="N43" s="71">
        <f>SUMIFS(Reynosa!$S$8:$S$63,Reynosa!$E$8:$E$63,"Subdirección de Producción Región Norte",Reynosa!$Q$8:$Q$63,"1",Reynosa!$R$8:$R$63,"Realizado")+SUMIFS(Altamira!$S$13:$S$47,Altamira!$E$13:$E$47,"Subdirección de Producción Región Norte",Altamira!$Q$13:$Q$47,"1",Altamira!$R$13:$R$47,"Realizado")+SUMIFS('Naranjos-Cerro A'!$S$13:$S$36,'Naranjos-Cerro A'!$E$13:$E36,"Subdirección de Producción Región Norte",'Naranjos-Cerro A'!$Q$13:$Q$36,"1",'Naranjos-Cerro A'!$R$13:$R$36,"Realizado")+SUMIFS('Poza Rica'!$S$26:$S$71,'Poza Rica'!$E$26:$E$71,"Subdirección de Producción Región Norte",'Poza Rica'!$Q$26:$Q$71,"1",'Poza Rica'!$R$26:$R$71,"Realizado")+SUMIFS(Veracruz!$S$11:$S$47,Veracruz!$E$11:$E$47,"Subdirección de Producción Región Norte",Veracruz!$Q$11:$Q$47,"1",Veracruz!$R$11:$R$47,"Realizado")</f>
        <v>579</v>
      </c>
      <c r="O43" s="58">
        <f>SUMIF(Adicionales!$E$9:$E$86,"Subdirección de Producción Región Norte",Adicionales!$M$9:$M$86)</f>
        <v>17</v>
      </c>
      <c r="P43" s="58">
        <f>COUNTIFS(Reynosa!$E$8:$E$63,"Subdirección de Producción Región Norte",Reynosa!$Q$8:$Q$63,"1",Reynosa!$R$8:$R$63,"cancelado")+COUNTIFS(Altamira!$E$13:$E$47,"Subdirección de Producción Región Norte",Altamira!$Q$13:$Q$47,"1",Altamira!$R$13:$R$47,"Cancelado")+COUNTIFS('Naranjos-Cerro A'!$E$14:$E$36,"Subdirección de Producción Región Norte",'Naranjos-Cerro A'!$Q$14:$Q$36,"1",'Naranjos-Cerro A'!$R$14:$R$36,"Cancelado")+COUNTIFS('Poza Rica'!$E$26:$E$71,"Subdirección de Producción Región Norte",'Poza Rica'!$Q$26:$Q$71,"1",'Poza Rica'!$R$26:$R$71,"Cancelado")+COUNTIFS(Veracruz!$E$11:$E$47,"Subdirección de Producción Región Norte",Veracruz!$Q$11:$Q$47,"1",Veracruz!$R$11:$R$47,"Cancelado")</f>
        <v>12</v>
      </c>
      <c r="Q43" s="60">
        <f>IFERROR(M43/(I43+L43), "-")</f>
        <v>0.8666666666666667</v>
      </c>
      <c r="R43" s="60">
        <f>IFERROR(M43/(G43+L43), "-")</f>
        <v>0.8666666666666667</v>
      </c>
    </row>
    <row r="44" spans="2:18" ht="15.75" thickBot="1" x14ac:dyDescent="0.35">
      <c r="B44" s="61" t="s">
        <v>549</v>
      </c>
      <c r="C44" s="62">
        <f>COUNTIF('Dos Bocas'!$F$8:$F$195,"Subdirección de Producción Región Marina Suroeste")</f>
        <v>17</v>
      </c>
      <c r="D44" s="66">
        <f>SUMIF('Dos Bocas'!$F$8:$F$195,"Subdirección de Producción Región Marina Suroeste",'Dos Bocas'!$N$8:$N$195)</f>
        <v>198</v>
      </c>
      <c r="E44" s="163">
        <f>COUNTIF('Dos Bocas'!$F$8:$F$10,"Subdirección de Producción Región Marina Suroeste")</f>
        <v>2</v>
      </c>
      <c r="F44" s="66">
        <f>SUMIF('Dos Bocas'!$F$8:$F$10,"Subdirección de Producción Región Marina Suroeste",'Dos Bocas'!$Q$8:$Q$10)</f>
        <v>19</v>
      </c>
      <c r="G44" s="145">
        <f>COUNTIF('Dos Bocas'!$F$108:$F$195,"Subdirección de Producción Región Marina Suroeste")</f>
        <v>14</v>
      </c>
      <c r="H44" s="66">
        <f>SUMIF('Dos Bocas'!$F$108:$F$195,"Subdirección de Producción Región Marina Suroeste",'Dos Bocas'!$Q$108:$Q$195)</f>
        <v>170</v>
      </c>
      <c r="I44" s="145">
        <f>COUNTIFS('Dos Bocas'!$F$108:$F$195,"Subdirección de Producción Región Marina Suroeste",'Dos Bocas'!$U$108:$U$195,"1")</f>
        <v>14</v>
      </c>
      <c r="J44" s="66">
        <f>SUMIFS('Dos Bocas'!$Q$108:$Q$195,'Dos Bocas'!$F$108:$F$195,"Subdirección de Producción Región Marina Suroeste",'Dos Bocas'!$U$108:$U$195,"1")</f>
        <v>170</v>
      </c>
      <c r="K44" s="145">
        <f>COUNTIFS('Dos Bocas'!$F$94:$F$195,"Subdirección de Producción Región Marina Suroeste",'Dos Bocas'!$U$94:$U$195,"1",'Dos Bocas'!$V$94:$V$195,"Realizado")</f>
        <v>13</v>
      </c>
      <c r="L44" s="62">
        <f>COUNTIF(Adicionales!$E$9:$E$86,"Subdirección de Producción Región Marina Suroeste")</f>
        <v>14</v>
      </c>
      <c r="M44" s="62">
        <f>K44+L44</f>
        <v>27</v>
      </c>
      <c r="N44" s="62">
        <f>SUMIFS('Dos Bocas'!$W$94:$W$195,'Dos Bocas'!$F$94:$F$195,"Subdirección de Producción Región Marina Suroeste",'Dos Bocas'!$U$94:$U$195,"1",'Dos Bocas'!$V$94:$V$195,"Realizado")</f>
        <v>157</v>
      </c>
      <c r="O44" s="62">
        <f>SUMIF(Adicionales!$E$9:$E$86,"Subdirección de Producción Región Marina Suroeste",Adicionales!$M$9:$M$86)</f>
        <v>187</v>
      </c>
      <c r="P44" s="62">
        <f>COUNTIFS('Dos Bocas'!$F$108:$F$195,"Subdirección de Producción Región Marina Suroeste",'Dos Bocas'!$U$108:$U$195,"1",'Dos Bocas'!$V$108:$V$195,"Cancelado")</f>
        <v>2</v>
      </c>
      <c r="Q44" s="63">
        <f t="shared" ref="Q44:Q54" si="17">IFERROR(M44/(I44+L44), "-")</f>
        <v>0.9642857142857143</v>
      </c>
      <c r="R44" s="64">
        <f t="shared" ref="R44:R50" si="18">IFERROR(M44/(G44+L44), "-")</f>
        <v>0.9642857142857143</v>
      </c>
    </row>
    <row r="45" spans="2:18" ht="16.5" thickTop="1" thickBot="1" x14ac:dyDescent="0.35">
      <c r="B45" s="57" t="s">
        <v>550</v>
      </c>
      <c r="C45" s="58">
        <f>COUNTIF('Cd. Carmen'!$E$8:$E$190,"Subdirección de Producción Región Marina Noreste")</f>
        <v>65</v>
      </c>
      <c r="D45" s="71">
        <f>SUMIF('Cd. Carmen'!$E$8:$E$190,"Subdirección de Producción Región Marina Noreste",'Cd. Carmen'!$M$8:$M$190)</f>
        <v>1046</v>
      </c>
      <c r="E45" s="151">
        <f>COUNTIF('Cd. Carmen'!$E$8:$E$26,"Subdirección de Producción Región Marina Noreste")</f>
        <v>0</v>
      </c>
      <c r="F45" s="71">
        <f>SUMIF('Cd. Carmen'!$E$8:$E$27,"Subdirección de Producción Región Marina Noreste",'Cd. Carmen'!$M$8:$M$27)</f>
        <v>0</v>
      </c>
      <c r="G45" s="58">
        <f>COUNTIF('Cd. Carmen'!$E$27:$E$190,"Subdirección de Producción Región Marina Noreste")</f>
        <v>65</v>
      </c>
      <c r="H45" s="71">
        <f>SUMIF('Cd. Carmen'!$E$27:$E$190,"Subdirección de Producción Región Marina Noreste",'Cd. Carmen'!$M$27:$M$190)</f>
        <v>1046</v>
      </c>
      <c r="I45" s="150">
        <f>COUNTIFS('Cd. Carmen'!$E$27:$E$190,"Subdirección de Producción Región Marina Noreste",'Cd. Carmen'!$Q$27:$Q$190,"1")</f>
        <v>65</v>
      </c>
      <c r="J45" s="58">
        <f>SUMIFS('Cd. Carmen'!$M$27:$M$190,'Cd. Carmen'!$E$27:$E$190,"Subdirección de Producción Región Marina Noreste",'Cd. Carmen'!$Q$27:$Q$190,"1")</f>
        <v>1046</v>
      </c>
      <c r="K45" s="150">
        <f>COUNTIFS('Cd. Carmen'!$E$25:$E$190,"Subdirección de Producción Región Marina Noreste",'Cd. Carmen'!$Q$25:$Q$190,"1",'Cd. Carmen'!$R$25:$R$190,"Realizado")</f>
        <v>20</v>
      </c>
      <c r="L45" s="58">
        <f>COUNTIF(Adicionales!$E$9:$E$86,"Subdirección de Producción Región Marina Noreste")</f>
        <v>3</v>
      </c>
      <c r="M45" s="58">
        <f>K45+L45</f>
        <v>23</v>
      </c>
      <c r="N45" s="150">
        <f>SUMIFS('Cd. Carmen'!$S$25:$S$190,'Cd. Carmen'!$E$25:$E$190,"Subdirección de Producción Región Marina Noreste",'Cd. Carmen'!$Q$25:$Q$190,"1",'Cd. Carmen'!$R$25:$R$190,"Realizado")</f>
        <v>212</v>
      </c>
      <c r="O45" s="58">
        <f>SUMIF(Adicionales!$E$9:$E$86,"Subdirección de Producción Región Marina Noreste",Adicionales!$M$9:$M$86)</f>
        <v>40</v>
      </c>
      <c r="P45" s="58">
        <f>COUNTIFS('Cd. Carmen'!$E$25:$E$190,"Subdirección de Producción Región Marina Noreste",'Cd. Carmen'!$Q$25:$Q$190,"1",'Cd. Carmen'!$R$25:$R$190,"Cancelado")</f>
        <v>45</v>
      </c>
      <c r="Q45" s="60">
        <f t="shared" si="17"/>
        <v>0.33823529411764708</v>
      </c>
      <c r="R45" s="65">
        <f t="shared" si="18"/>
        <v>0.33823529411764708</v>
      </c>
    </row>
    <row r="46" spans="2:18" ht="15.75" thickBot="1" x14ac:dyDescent="0.35">
      <c r="B46" s="61" t="s">
        <v>551</v>
      </c>
      <c r="C46" s="62">
        <f>COUNTIF('Dos Bocas'!$F$8:$F$195,"Subdirección de Coordinación Operativa y Comercial")+COUNTIF('Cd. Carmen'!$E$8:$E$190,"Subdirección de Coordinación Operativa y Comercial")+COUNTIF('Cd. Méx'!$E$8:$E$11,"Subdirección de Coordinación Operativa y Comercial")</f>
        <v>173</v>
      </c>
      <c r="D46" s="163">
        <f>SUMIF('Dos Bocas'!$F$8:$F$195,"Subdirección de Coordinación Operativa y Comercial",'Dos Bocas'!$N$8:$N$195)+SUMIF('Cd. Carmen'!$E$8:$E$190,"Subdirección de Coordinación Operativa y Comercial",'Cd. Carmen'!$M$8:$M$190)+SUMIF('Cd. Méx'!$E$8:$E$11,"Subdirección de Coordinación Operativa y Comercial",'Cd. Méx'!$M$8:$M$11)</f>
        <v>776</v>
      </c>
      <c r="E46" s="163">
        <f>COUNTIF('Cd. Carmen'!$E$8:$E$26,"Subdirección de Coordinación Operativa y Comercial")+COUNTIF('Dos Bocas'!$F$8:$F$10,"Subdirección de Coordinación Operativa y Comercial")</f>
        <v>0</v>
      </c>
      <c r="F46" s="66">
        <f>SUMIF('Cd. Carmen'!$E$8:$E$27,"Subdirección de Coordinación Operativa y Comercial",'Cd. Carmen'!$M$8:$M$27)+SUMIF('Dos Bocas'!$F$8:$F$10,"Subdirección de Coordinación Operativa y Comercial",'Dos Bocas'!$Q$8:$Q$10)</f>
        <v>0</v>
      </c>
      <c r="G46" s="62">
        <f>COUNTIF('Dos Bocas'!$F$108:$F$195,"Subdirección de Coordinación Operativa y Comercial")+COUNTIF('Cd. Carmen'!$E$27:$E$190,"Subdirección de Coordinación Operativa y Comercial")</f>
        <v>76</v>
      </c>
      <c r="H46" s="66">
        <f>SUMIF('Cd. Carmen'!$E$27:$E$190,"Subdirección de Coordinación Operativa y Comercial",'Cd. Carmen'!$M$27:$M$190)+SUMIF('Dos Bocas'!$F$108:$F$195,"Subdirección de Coordinación Operativa y Comercial",'Dos Bocas'!$Q$108:$Q$195)</f>
        <v>677</v>
      </c>
      <c r="I46" s="145">
        <f>COUNTIFS('Cd. Carmen'!$E$27:$E$190,"Subdirección de Coordinación Operativa y Comercial",'Cd. Carmen'!$Q$27:$Q$190,"1")+COUNTIFS('Dos Bocas'!$F$108:$F$195,"Subdirección de Coordinación Operativa y Comercial",'Dos Bocas'!$U$108:$U$195,"1")</f>
        <v>76</v>
      </c>
      <c r="J46" s="66">
        <f>SUMIFS('Dos Bocas'!$Q$108:$Q$195,'Dos Bocas'!$F$108:$F$195,"Subdirección de Coordinación Operativa y Comercial",'Dos Bocas'!$U$108:$U$195,"1")+SUMIFS('Cd. Carmen'!$M$27:$M$190,'Cd. Carmen'!$E$27:$E$190,"Subdirección de Coordinación Operativa y Comercial",'Cd. Carmen'!$Q$27:$Q$190,"1")</f>
        <v>677</v>
      </c>
      <c r="K46" s="145">
        <f>COUNTIFS('Cd. Carmen'!$E$25:$E$190,"Subdirección de Coordinación Operativa y Comercial",'Cd. Carmen'!$Q$25:$Q$190,"1",'Cd. Carmen'!$R$25:$R$190,"Realizado")+COUNTIFS('Dos Bocas'!$F$94:$F$195,"Subdirección de Coordinación Operativa y Comercial",'Dos Bocas'!$U$94:$U$195,"1",'Dos Bocas'!$V$94:$V$195,"Realizado")</f>
        <v>63</v>
      </c>
      <c r="L46" s="62">
        <f>COUNTIF(Adicionales!$E$9:$E$86,"Subdirección de Coordinación Operativa y Comercial")</f>
        <v>2</v>
      </c>
      <c r="M46" s="62">
        <f t="shared" ref="M46:M52" si="19">K46+L46</f>
        <v>65</v>
      </c>
      <c r="N46" s="62">
        <f>SUMIFS('Cd. Carmen'!$S$25:$S$190,'Cd. Carmen'!$E$25:$E$190,"Subdirección de Coordinación Operativa y Comercial",'Cd. Carmen'!$Q$25:$Q$190,"1",'Cd. Carmen'!$S$25:$S$190,"Realizado")+SUMIFS('Dos Bocas'!$W$94:$W$195,'Dos Bocas'!$F$94:$F$195,"Subdirección de Coordinación Operativa y Comercial",'Dos Bocas'!$U$94:$U$195,"1",'Dos Bocas'!$V$94:$V$195,"Realizado")</f>
        <v>438</v>
      </c>
      <c r="O46" s="62">
        <f>SUMIF(Adicionales!$E$9:$E$86,"Subdirección de Coordinación Operativa y Comercial",Adicionales!$M$9:$M$86)</f>
        <v>15</v>
      </c>
      <c r="P46" s="62">
        <f>COUNTIFS('Cd. Carmen'!$E$25:$E$190,"Subdirección de Coordinación Operativa y Comercial",'Cd. Carmen'!$Q$25:$Q$190,"1",'Cd. Carmen'!$R$25:$R$190,"Cancelado")+COUNTIFS('Dos Bocas'!$F$108:$F$195,"Subdirección de Coordinación Operativa y Comercial",'Dos Bocas'!$V$108:$V$195,"Cancelado")</f>
        <v>13</v>
      </c>
      <c r="Q46" s="63">
        <f t="shared" si="17"/>
        <v>0.83333333333333337</v>
      </c>
      <c r="R46" s="64">
        <f t="shared" si="18"/>
        <v>0.83333333333333337</v>
      </c>
    </row>
    <row r="47" spans="2:18" s="154" customFormat="1" x14ac:dyDescent="0.3">
      <c r="B47" s="149" t="s">
        <v>552</v>
      </c>
      <c r="C47" s="150">
        <f>COUNTIF('Cinco Presidentes'!$E$8:$E$116,"Subdirección de Producción Región Sur")+COUNTIF('Bellota Jujo'!$E$8:$E$48,"Subdirección de Producción Región Sur")+COUNTIF(Macuspana!$E$8:$E$67,"Subdirección de Producción Región Sur")+COUNTIF('Samaria Luna'!$E$8:$E$37,"Subdirección de Producción Región Sur")+COUNTIF(Villahermosa!$E$8:$E$29,"Subdirección de Producción Región Sur")</f>
        <v>230</v>
      </c>
      <c r="D47" s="151">
        <f>SUMIF('Cinco Presidentes'!$E$8:$E$116,"Subdirección de Producción Región Sur",'Cinco Presidentes'!$M$8:$M$116)+SUMIF('Bellota Jujo'!$E$8:$E$48,"Subdirección de Producción Región Sur",'Bellota Jujo'!$M$8:$M$48)+SUMIF(Macuspana!$E$8:$E$67,"Subdirección de Producción Región Sur",Macuspana!$M$8:$M$67)+SUMIF('Samaria Luna'!$E$8:$E$37,"Subdirección de Producción Región Sur",'Samaria Luna'!$M$8:$M$37)+SUMIF(Villahermosa!$E$8:$E$29,"Subdirección de Producción Región Sur",Villahermosa!$M$8:$M$29)</f>
        <v>2814</v>
      </c>
      <c r="E47" s="151">
        <f>COUNTIF('Cinco Presidentes'!$E$8:$E$11,"Subdirección de Producción Región Sur")+COUNTIF('Bellota Jujo'!$E$8:$E$10,"Subdirección de Producción Región Sur")+COUNTIF(Macuspana!$E$8:$E$15,"Subdirección de Producción Región Sur")+COUNTIF('Samaria Luna'!$E$8:E14,"Subdirección de Producción Región Sur")+COUNTIF(Villahermosa!$E$8:$E$12,"Subdirección de Producción Región Sur")</f>
        <v>25</v>
      </c>
      <c r="F47" s="151">
        <f>SUMIF('Cinco Presidentes'!$E$8:$E$11,"Subdirección de Producción Región Sur",'Cinco Presidentes'!$M$8:$M$11)+SUMIF('Bellota Jujo'!$E$8:$E$10,"Subdirección de Producción Región Sur",'Bellota Jujo'!$M$8:$M$10)+SUMIF(Macuspana!$E$8:$E$15,"Subdirección de Producción Región Sur",Macuspana!$M$8:$M$15)+SUMIF('Samaria Luna'!$E$8:$E$14,"Subdirección de Producción Región Sur",'Samaria Luna'!$M$8:$M$14)+SUMIF(Villahermosa!$E$8:$E$12,"Subdirección de Producción Región Sur",Villahermosa!$M$8:$M$12)</f>
        <v>258</v>
      </c>
      <c r="G47" s="150">
        <f>COUNTIF('Cinco Presidentes'!$E$51:$E$116,"Subdirección de Producción Región Sur")+COUNTIF('Bellota Jujo'!$E$21:$E$48,"Subdirección de Producción Región Sur")+COUNTIF(Macuspana!$E$47:$E$67,"Subdirección de Producción Región Sur")+COUNTIF('Samaria Luna'!$E$17:$E$37,"Subdirección de Producción Región Sur")+COUNTIF(Villahermosa!$E$22:$E$29,"Subdirección de Producción Región Sur")</f>
        <v>123</v>
      </c>
      <c r="H47" s="151">
        <f>SUMIF('Cinco Presidentes'!$E$51:$E$116,"Subdirección de Producción Región Sur",'Cinco Presidentes'!$M$51:$M$116)+SUMIF('Bellota Jujo'!$E$21:$E$48,"Subdirección de Producción Región Sur",'Bellota Jujo'!$M$21:$M$48)+SUMIF(Macuspana!$E$47:$E$67,"Subdirección de Producción Región Sur",Macuspana!$M$47:$M$67)+SUMIF('Samaria Luna'!$E$17:$E$37,"Subdirección de Producción Región Sur",'Samaria Luna'!$M$17:$M$37)+SUMIF(Villahermosa!$E$22:$E$29,"Subdirección de Producción Región Sur",Villahermosa!$M$22:$M$29)</f>
        <v>1649</v>
      </c>
      <c r="I47" s="150">
        <f>COUNTIFS('Cinco Presidentes'!$E$51:$E$116,"Subdirección de Producción Región Sur",'Cinco Presidentes'!$Q$51:$Q$116,"1")+COUNTIFS('Bellota Jujo'!$E$21:$E$48,"Subdirección de Producción Región Sur",'Bellota Jujo'!$Q$21:$Q$48,"1")+COUNTIFS(Macuspana!$E$47:$E$67,"Subdirección de Producción Región Sur",Macuspana!$Q$47:$Q$67,"1")+COUNTIFS('Samaria Luna'!$E$17:$E$37,"Subdirección de Producción Región Sur",'Samaria Luna'!$Q$17:$Q$37,"1")+COUNTIFS(Villahermosa!$E$22:$E$29,"Subdirección de Producción Región Sur",Villahermosa!$Q$22:$Q$29,"1")</f>
        <v>123</v>
      </c>
      <c r="J47" s="150">
        <f>SUMIFS('Cinco Presidentes'!$M$51:$M$116,'Cinco Presidentes'!$E$51:$E$116,"Subdirección de Producción Región Sur",'Cinco Presidentes'!$Q$51:$Q$116,"1")+SUMIFS('Bellota Jujo'!$M$21:$M$48,'Bellota Jujo'!$E$21:$E$48,"Subdirección de Producción Región Sur",'Bellota Jujo'!$Q$21:$Q$48,"1")+SUMIFS(Macuspana!$M$47:$M$67,Macuspana!$E$47:$E$67,"Subdirección de Producción Región Sur",Macuspana!$Q$47:$Q$67,"1")+SUMIFS('Samaria Luna'!$M$17:$M$37,'Samaria Luna'!$E$17:$E$37,"Subdirección de Producción Región Sur",'Samaria Luna'!$Q$17:$Q$37,"1")+SUMIFS(Villahermosa!$M$22:$M$29,Villahermosa!$E$22:$E$29,"Subdirección de Producción Región Sur",Villahermosa!$Q$22:$Q$29,"1")</f>
        <v>1649</v>
      </c>
      <c r="K47" s="150">
        <f>COUNTIFS('Cinco Presidentes'!$E$10:$E$116,"Subdirección de Producción Región Sur",'Cinco Presidentes'!$Q$10:$Q$116,"1",'Cinco Presidentes'!$R$10:$R$116,"Realizado")+COUNTIFS('Bellota Jujo'!$E$21:$E$48,"Subdirección de Producción Región Sur",'Bellota Jujo'!$Q$21:$Q$48,"1",'Bellota Jujo'!$R$21:$R$48,"Realizado")+COUNTIFS(Macuspana!$E$37:$E$62,"Subdirección de Producción Región Sur",Macuspana!$Q$37:$Q$62,"1",Macuspana!$R$37:$R$62,"Realizado")+COUNTIFS('Samaria Luna'!$E$17:$E$37,"Subdirección de Producción Región Sur",'Samaria Luna'!$Q$17:$Q$37,"1",'Samaria Luna'!$R$17:$R$37,"Realizado")+COUNTIFS(Villahermosa!$E$22:$E$29,"Subdirección de Producción Región Sur",Villahermosa!$Q$22:$Q$29,"1",Villahermosa!$R$22:$R$29,"Realizdo")+1</f>
        <v>62</v>
      </c>
      <c r="L47" s="150">
        <f>COUNTIF(Adicionales!$E$9:$E$88,"Subdirección de Producción Región Sur")</f>
        <v>8</v>
      </c>
      <c r="M47" s="150">
        <f t="shared" si="19"/>
        <v>70</v>
      </c>
      <c r="N47" s="150">
        <f>SUMIFS('Cinco Presidentes'!$S$10:$S$116,'Cinco Presidentes'!$E$10:$E$116,"Subdirección de Producción Región Sur",'Cinco Presidentes'!$Q$10:$Q$116,"1",'Cinco Presidentes'!$R$10:$R$116,"Realizado")+SUMIFS('Bellota Jujo'!$S$21:$S$48,'Bellota Jujo'!$E$21:$E$48,"Subdirección de Producción Región Sur",'Bellota Jujo'!$Q$21:$Q$48,"1",'Bellota Jujo'!$R$21:$R$48,"Realizado")+SUMIFS(Macuspana!$S$37:$S$67,Macuspana!$E$37:$E$67,"Subdirección de Producción Región Sur",Macuspana!$Q$37:$Q$67,"1",Macuspana!$R$37:$R$67,"Realizado")+SUMIFS('Samaria Luna'!$S$17:$S$37,'Samaria Luna'!$E$17:$E$37,"Subdirección de Producción Región Sur",'Samaria Luna'!$Q$17:$Q$37,"1",'Samaria Luna'!$R$17:$R$37,"Realizado")+SUMIFS(Villahermosa!$S$22:$S$29,Villahermosa!$E$22:$E$29,"Subdirección de Producción Región Sur",Villahermosa!$Q$22:$Q$29,"1",Villahermosa!$R$22:$R$29,"Realizado")</f>
        <v>514</v>
      </c>
      <c r="O47" s="150">
        <f>SUMIF(Adicionales!$E$9:$E$86,"Subdirección de Producción Región Sur",Adicionales!$M$9:$M$86)</f>
        <v>69</v>
      </c>
      <c r="P47" s="150">
        <f>COUNTIFS('Cinco Presidentes'!$E$51:$E$116,"Subdirección de Producción Región Sur",'Cinco Presidentes'!$Q$51:$Q$116,"1",'Cinco Presidentes'!$R$51:$R$116,"Cancelado")+COUNTIFS('Bellota Jujo'!$E$21:$E$48,"Subdirección de Producción Región Sur",'Bellota Jujo'!$Q$21:$Q$48,"1",'Bellota Jujo'!$R$21:$R$48,"Cancelado")+COUNTIFS(Macuspana!$E$47:$E$67,"Subdirección de Producción Región Sur",Macuspana!$Q$47:$Q$67,"1",Macuspana!$R$47:$R$67,"Cancelado")+COUNTIFS('Samaria Luna'!$E$17:$E$37,"Subdirección de Producción Región Sur",'Samaria Luna'!$Q$17:$Q$37,"1",'Samaria Luna'!$R$17:$R$37,"Cancelado")+COUNTIFS(Villahermosa!$E$22:$E$29,"Subdirección de Producción Región Sur",Villahermosa!$Q$22:$Q$29,"1",Villahermosa!$R$22:$R$29,"Cancelado")</f>
        <v>76</v>
      </c>
      <c r="Q47" s="152">
        <f t="shared" si="17"/>
        <v>0.53435114503816794</v>
      </c>
      <c r="R47" s="153">
        <f t="shared" si="18"/>
        <v>0.53435114503816794</v>
      </c>
    </row>
    <row r="48" spans="2:18" ht="15.75" thickBot="1" x14ac:dyDescent="0.35">
      <c r="B48" s="61" t="s">
        <v>553</v>
      </c>
      <c r="C48" s="62">
        <f>COUNTIF(Reynosa!$E$8:$E$63,"Subdirección de Administración de Servicios para Exploración y Producción")+COUNTIF(Altamira!$E$8:$E$47,"Subdirección de Administración de Servicios para Exploración y Producción")+COUNTIF('Naranjos-Cerro A'!$E$8:$E$36,"Subdirección de Administración de Servicios para Exploración y Producción")+COUNTIF('Poza Rica'!$E$8:$E$71,"Subdirección de Administración de Servicios para Exploración y Producción")+COUNTIF(Veracruz!$E$8:$E$47,"Subdirección de Administración de Servicios para Exploración y Producción")+COUNTIF('Dos Bocas'!$F$8:$F$195,"Subdirección de Administración de Servicios para Exploración y Producción")+COUNTIF('Cd. Carmen'!$E$8:$E$190,"Subdirección de Administración de Servicios para Exploración y Producción")+COUNTIF('Cinco Presidentes'!$E$8:$E$116,"Subdirección de Administración de Servicios para Exploración y Producción")+COUNTIF('Bellota Jujo'!$E$8:$E$48,"Subdirección de Administración de Servicios para Exploración y Producción")+COUNTIF(Macuspana!$E$8:$E$67,"Subdirección de Administración de Servicios para Exploración y Producción")+COUNTIF('Samaria Luna'!$E$8:$E$37,"Subdirección de Administración de Servicios para Exploración y Producción")+COUNTIF(Villahermosa!$E$8:$E$29,"Subdirección de Administración de Servicios para Exploración y Producción")</f>
        <v>65</v>
      </c>
      <c r="D48" s="66">
        <f>SUMIF(Reynosa!$E$8:$E$63,"Subdirección de Administración de Servicios para Exploración y Producción",Reynosa!$M$8:$M$63)+SUMIF(Altamira!$E$8:$E$47,"Subdirección de Administración de Servicios para Exploración y Producción",Altamira!$M$8:$M$47)+SUMIF('Naranjos-Cerro A'!$E$8:$E$36,"Subdirección de Administración de Servicios para Exploración y Producción",'Naranjos-Cerro A'!$M$8:$M$36)+SUMIF('Poza Rica'!$E$8:$E$71,"Subdirección de Administración de Servicios para Exploración y Producción",'Poza Rica'!$M$8:$M$71)+SUMIF(Veracruz!$E$8:$E$47,"Subdirección de Administración de Servicios para Exploración y Producción",Veracruz!$M$8:$M$47)+SUMIF('Dos Bocas'!$F$8:$F$195,"Subdirección de Administración de Servicios para Exploración y Producción",'Dos Bocas'!$N$8:$N$195)+SUMIF('Cd. Carmen'!$E$8:$E$190,"Subdirección de Administración de Servicios para Exploración y Producción",'Cd. Carmen'!$M$8:$M$190)+SUMIF('Cinco Presidentes'!$E$8:$E$116,"Subdirección de Administración de Servicios para Exploración y Producción",'Cinco Presidentes'!$M$8:$M$116)+SUMIF('Bellota Jujo'!$E$8:$E$48,"Subdirección de Administración de Servicios para Exploración y Producción",'Bellota Jujo'!$M$8:$M$48)+SUMIF(Macuspana!$E$8:$E$67,"Subdirección de Administración de Servicios para Exploración y Producción",Macuspana!$M$8:$M$67)+SUMIF('Samaria Luna'!$E$8:$E$37,"Subdirección de Administración de Servicios para Exploración y Producción",'Samaria Luna'!$M$8:$M$37)+SUMIF(Villahermosa!$E$8:$E$29,"Subdirección de Administración de Servicios para Exploración y Producción",Villahermosa!$M$8:$M$29)</f>
        <v>601</v>
      </c>
      <c r="E48" s="163">
        <f>COUNTIF(Altamira!$E$8:$E$12,"Subdirección de Administración de Servicios para Exploración y Producción")+COUNTIF('Naranjos-Cerro A'!$E$8:$E$12,"Subdirección de Administración de Servicios para Exploración y Producción")+COUNTIF('Poza Rica'!$E$8:$E$25,"Subdirección de Administración de Servicios para Exploración y Producción")+COUNTIF(Veracruz!$E$5:$E$10,"Subdirección de Administración de Servicios para Exploración y Producción")+COUNTIF('Dos Bocas'!$F$8:$F$10,"Subdirección de Administración de Servicios para Exploración y Producción")+COUNTIF('Cd. Carmen'!$E$8:$E$26,"Subdirección de Administración de Servicios para Exploración y Producción")+COUNTIF('Cinco Presidentes'!$E$8:$E$11,"Subdirección de Administración de Servicios para Exploración y Producción")+COUNTIF('Bellota Jujo'!$E$8:$E$10,"Subdirección de Administración de Servicios para Exploración y Producción")+COUNTIF(Macuspana!$E$8:$E$15,"Subdirección de Administración de Servicios para Exploración y Producción")+COUNTIF('Samaria Luna'!$E$8:$E$14,"Subdirección de Administración de Servicios para Exploración y Producción")+COUNTIF(Villahermosa!$E$8:$E$12,"Subdirección de Administración de Servicios para Exploración y Producción")+COUNTIF('Cd. Méx'!$E$8:$E$11,"Subdirección de Administración de Servicios para Exploración y Producción")</f>
        <v>17</v>
      </c>
      <c r="F48" s="66">
        <f>SUMIF(Altamira!$E$8:$E$12,"Subdirección de Administración de Servicios para Exploración y Producción",Altamira!$M$8:$M$12)+SUMIF('Naranjos-Cerro A'!$E$8:$E$12,"Subdirección de Administración de Servicios para Exploración y Producción",'Naranjos-Cerro A'!$M$8:$M$12)+SUMIF('Poza Rica'!$E$8:$E$25,"Subdirección de Administración de Servicios para Exploración y Producción",'Poza Rica'!$M$8:$M$25)+SUMIF(Veracruz!$E$5:$E$8,"Subdirección de Administración de Servicios para Exploración y Producción",Veracruz!$M$5:$M$8)+SUMIF('Dos Bocas'!$F$8:$F$10,"Subdirección de Administración de Servicios para Exploración y Producción",'Dos Bocas'!$Q$8:$Q$10)+SUMIF('Cd. Carmen'!$E$8:$E$26,"Subdirección de Administración de Servicios para Exploración y Producción",'Cd. Carmen'!$M$8:$M$26)+SUMIF('Cinco Presidentes'!$E$8:$E$11,"Subdirección de Administración de Servicios para Exploración y Producción",'Cinco Presidentes'!$M$8:$M$11)+SUMIF('Bellota Jujo'!$E$8:$E$10,"Subdirección de Administración de Servicios para Exploración y Producción",'Bellota Jujo'!$M$8:$M$10)+SUMIF(Macuspana!$E$8:$E$15,"Subdirección de Administración de Servicios para Exploración y Producción",Macuspana!$M$8:$M$15)+SUMIF('Samaria Luna'!$E$8:$E$14,"Subdirección de Administración de Servicios para Exploración y Producción",'Samaria Luna'!$M$8:$M$14)+SUMIF(Villahermosa!$E$8:$E$12,"Subdirección de Administración de Servicios para Exploración y Producción",Villahermosa!$M$8:$M$12)</f>
        <v>184</v>
      </c>
      <c r="G48" s="62">
        <f>COUNTIF(Reynosa!$E$8:$E$63,"Subdirección de Administración de Servicios para Exploración y Producción")+COUNTIF(Altamira!$E$13:$E$47,"Subdirección de Administración de Servicios para Exploración y Producción")+COUNTIF('Naranjos-Cerro A'!$E$13:$E$36,"Subdirección de Administración de Servicios para Exploración y Producción")+COUNTIF('Poza Rica'!$E$26:$E$71,"Subdirección de Administración de Servicios para Exploración y Producción")+COUNTIF(Veracruz!$E$11:$E$47,"Subdirección de Administración de Servicios para Exploración y Producción")+COUNTIF('Dos Bocas'!$F$108:$F$195,"Subdirección de Administración de Servicios para Exploración y Producción")+COUNTIF('Cd. Carmen'!$E$27:$E$190,"Subdirección de Administración de Servicios para Exploración y Producción")+COUNTIF('Cinco Presidentes'!$E$51:$E$116,"Subdirección de Administración de Servicios para Exploración y Producción")+COUNTIF('Bellota Jujo'!$E$21:$E$48,"Subdirección de Administración de Servicios para Exploración y Producción")+COUNTIF(Macuspana!$E$47:$E$67,"Subdirección de Administración de Servicios para Exploración y Producción")+COUNTIF('Samaria Luna'!$E$17:$E$37,"Subdirección de Administración de Servicios para Exploración y Producción")+COUNTIF(Villahermosa!$E$22:$E$29,"Subdirección de Administración de Servicios para Exploración y Producción")</f>
        <v>43</v>
      </c>
      <c r="H48" s="66">
        <f>SUMIF(Reynosa!$E$8:$E$63,"Subdirección de Administración de Servicios para Exploración y Producción",Reynosa!$M$8:$M$63)+SUMIF(Altamira!$E$13:$E$47,"Subdirección de Administración de Servicios para Exploración y Producción",Altamira!$M$13:$M$47)+SUMIF('Naranjos-Cerro A'!$E$13:$E$36,"Subdirección de Administración de Servicios para Exploración y Producción",'Naranjos-Cerro A'!$M$13:$M$36)+SUMIF('Poza Rica'!$E$26:$E$71,"Subdirección de Administración de Servicios para Exploración y Producción",'Poza Rica'!$M$26:$M$71)+SUMIF(Veracruz!$E$11:$E$47,"Subdirección de Administración de Servicios para Exploración y Producción",Veracruz!$M$11:$M$47)+SUMIF('Dos Bocas'!$F$108:$F$195,"Subdirección de Administración de Servicios para Exploración y Producción",'Dos Bocas'!$Q$108:$Q$195)+SUMIF('Cd. Carmen'!$E$27:$E$190,"Subdirección de Administración de Servicios para Exploración y Producción",'Cd. Carmen'!$M$27:$M$190)+SUMIF('Cinco Presidentes'!$E$51:$E$116,"Subdirección de Administración de Servicios para Exploración y Producción",'Cinco Presidentes'!$M$51:$M$116)+SUMIF('Bellota Jujo'!$E$21:$E$48,"Subdirección de Administración de Servicios para Exploración y Producción",'Bellota Jujo'!$M$21:$M$48)+SUMIF(Macuspana!$E$47:$E$67,"Subdirección de Administración de Servicios para Exploración y Producción",Macuspana!$M$47:$M$67)+SUMIF('Samaria Luna'!$E$17:$E$37,"Subdirección de Administración de Servicios para Exploración y Producción",'Samaria Luna'!$M$17:$M$37)+SUMIF(Villahermosa!$E$22:$E$29,"Subdirección de Administración de Servicios para Exploración y Producción",Villahermosa!$M$22:$M$29)</f>
        <v>393</v>
      </c>
      <c r="I48" s="145">
        <f>COUNTIFS(Reynosa!$E$8:$E$63,"Subdirección de Administración de Servicios para Exploración y Producción",Reynosa!$Q$8:$Q$63,"1")+COUNTIFS(Altamira!$E$13:$E$47,"Subdirección de Administración de Servicios para Exploración y Producción",Altamira!$Q$13:$Q$47,"1")+COUNTIFS('Naranjos-Cerro A'!$E$13:$E$36,"Subdirección de Administración de Servicios para Exploración y Producción",'Naranjos-Cerro A'!$Q$13:$Q$36,"1")+COUNTIFS('Poza Rica'!$E$26:$E$71,"Subdirección de Administración de Servicios para Exploración y Producción",'Poza Rica'!$Q$26:$Q$71,"1")+COUNTIFS(Veracruz!$E$11:$E$47,"Subdirección de Administración de Servicios para Exploración y Producción",Veracruz!$Q$11:$Q$47,"1")+COUNTIFS('Dos Bocas'!$F$108:$F$195,"Subdirección de Administración de Servicios para Exploración y Producción",'Dos Bocas'!$U$108:$U$195,"1")+COUNTIFS('Cd. Carmen'!$E$27:$E$190,"Subdirección de Administración de Servicios para Exploración y Producción",'Cd. Carmen'!$Q$27:$Q$190,"1")+COUNTIFS('Cinco Presidentes'!$E$51:$E$116,"Subdirección de Administración de Servicios para Exploración y Producción",'Cinco Presidentes'!$Q$51:$Q$116,"1")+COUNTIFS('Bellota Jujo'!$E$21:$E$48,"Subdirección de Administración de Servicios para Exploración y Producción",'Bellota Jujo'!$Q$21:$Q$48,"1")+COUNTIFS(Macuspana!$E$47:$E$67,"Subdirección de Administración de Servicios para Exploración y Producción",Macuspana!$Q$47:$Q$67,"1")+COUNTIFS('Samaria Luna'!$E$17:$E$37,"Subdirección de Administración de Servicios para Exploración y Producción",'Samaria Luna'!$Q$17:$Q$37,"1")+COUNTIFS(Villahermosa!$E$22:$E$29,"Subdirección de Administración de Servicios para Exploración y Producción",Villahermosa!$Q$22:$Q$29,"1")</f>
        <v>43</v>
      </c>
      <c r="J48" s="66">
        <f>SUMIFS('Dos Bocas'!$Q$108:$Q$195,'Dos Bocas'!$F$108:$F$195,"Subdirección de Administración de Servicios para Exploración y Producción",'Dos Bocas'!$U$108:$U$195,"1")+SUMIFS(Reynosa!$M$8:$M$63,Reynosa!$E$8:$E$63,"Subdirección de Administración de Servicios para Exploración y Producción",Reynosa!$Q$8:$Q$63,"1")+SUMIFS(Altamira!$M$13:$M$47,Altamira!$E$13:$E$47,"Subdirección de Administración de Servicios para Exploración y Producción",Altamira!$Q$13:$Q$47,"1")+SUMIFS('Naranjos-Cerro A'!$M$14:$M$36,'Naranjos-Cerro A'!$E$14:$E36,"Subdirección de Administración de Servicios para Exploración y Producción",'Naranjos-Cerro A'!$Q$14:$Q$36,"1")+SUMIFS('Poza Rica'!$M$26:$M$71,'Poza Rica'!$E$26:$E$71,"Subdirección de Administración de Servicios para Exploración y Producción",'Poza Rica'!$Q$26:$Q$71,"1")+SUMIFS(Veracruz!$M$11:$M$47,Veracruz!$E$11:$E$47,"Subdirección de Administración de Servicios para Exploración y Producción",Veracruz!$Q$11:$Q$47,"1")+SUMIFS('Cd. Carmen'!$M$27:$M$190,'Cd. Carmen'!$E$27:$E$190,"Subdirección de Administración de Servicios para Exploración y Producción",'Cd. Carmen'!$Q$27:$Q$190,"1")+SUMIFS('Cinco Presidentes'!$M$51:$M$116,'Cinco Presidentes'!$E$51:$E$116,"Subdirección de Administración de Servicios para Exploración y Producción",'Cinco Presidentes'!$Q$51:$Q$116,"1")+SUMIFS('Bellota Jujo'!$M$21:$M$48,'Bellota Jujo'!$E$21:$E$48,"Subdirección de Administración de Servicios para Exploración y Producción",'Bellota Jujo'!$Q$21:$Q$48,"1")+SUMIFS(Macuspana!$M$47:$M$67,Macuspana!$E$47:$E$67,"Subdirección de Administración de Servicios para Exploración y Producción",Macuspana!$Q$47:$Q$67,"1")+SUMIFS('Samaria Luna'!$M$17:$M$37,'Samaria Luna'!$E$17:$E$37,"Subdirección de Administración de Servicios para Exploración y Producción",'Samaria Luna'!$Q$17:$Q$37,"1")+SUMIFS(Villahermosa!$M$22:$M$29,Villahermosa!$E$22:$E$29,"Subdirección de Administración de Servicios para Exploración y Producción",Villahermosa!$Q$22:$Q$29,"1")</f>
        <v>393</v>
      </c>
      <c r="K48" s="261">
        <f>COUNTIFS(Reynosa!$E$8:$E$63,"Subdirección de Administración de Servicios para Exploración y Producción",Reynosa!$Q$8:$Q$63,"1",Reynosa!$R$8:$R$63,"Realizado")+COUNTIFS(Altamira!$E$13:$E$47,"Subdirección de Administración de Servicios para Exploración y Producción",Altamira!$Q$13:$Q$47,"1",Altamira!$R$13:$R$47,"Realizado")+COUNTIFS('Naranjos-Cerro A'!$E$13:$E$36,"Subdirección de Administración de Servicios para Exploración y Producción",'Naranjos-Cerro A'!$Q$13:$Q$36,"1",'Naranjos-Cerro A'!$R$13:$R$36,"Realizado")+COUNTIFS('Poza Rica'!$E$26:$E$71,"Subdirección de Administración de Servicios para Exploración y Producción",'Poza Rica'!$Q$26:$Q$71,"1",'Poza Rica'!$R$26:$R$71,"Realizado")+COUNTIFS(Veracruz!$E$11:$E$47,"Subdirección de Administración de Servicios para Exploración y Producción",Veracruz!$Q$11:$Q$47,"1",Veracruz!$R$11:$R$47,"Realizado")+COUNTIFS('Dos Bocas'!$F$94:$F$195,"Subdirección de Administración de Servicios para Exploración y Producción",'Dos Bocas'!$U$94:$U$195,"1",'Dos Bocas'!$V$94:$V$195,"Realizado")+COUNTIFS('Cd. Carmen'!$E$25:$E$190,"Subdirección de Administración de Servicios para Exploración y Producción",'Cd. Carmen'!$Q$25:$Q$190,"1",'Cd. Carmen'!$R$25:$R$190,"Realizado")+COUNTIFS('Cinco Presidentes'!$E$10:$E$116,"Subdirección de Administración de Servicios para Exploración y Producción",'Cinco Presidentes'!$Q$10:$Q$116,"1",'Cinco Presidentes'!$R$10:$R$116,"Realizado")+COUNTIFS('Bellota Jujo'!$E$21:$E$48,"Subdirección de Administración de Servicios para Exploración y Producción",'Bellota Jujo'!$Q$21:$Q$48,"1",'Bellota Jujo'!$R$21:$R$48,"Realizado")+COUNTIFS(Macuspana!$E$37:$E$67,"Subdirección de Administración de Servicios para Exploración y Producción",Macuspana!$Q$37:$Q$67,"1",Macuspana!$R$37:$R$67,"Realizado")+COUNTIFS('Samaria Luna'!$E$17:$E$37,"Subdirección de Administración de Servicios para Exploración y Producción",'Samaria Luna'!$Q$17:$Q$37,"1",'Samaria Luna'!$R$17:$R$37,"Realizado")+COUNTIFS(Villahermosa!$E$22:$E$29,"Subdirección de Administración de Servicios para Exploración y Producción",Villahermosa!$Q$22:$Q$29,"1",Villahermosa!$R$22:$R$29,"Realizdo")+1</f>
        <v>32</v>
      </c>
      <c r="L48" s="62">
        <f>COUNTIF(Adicionales!$E$9:$E$86,"Subdirección de Administración de Servicios para Exploración y Producción")</f>
        <v>25</v>
      </c>
      <c r="M48" s="62">
        <f t="shared" si="19"/>
        <v>57</v>
      </c>
      <c r="N48" s="62">
        <f>SUMIFS('Dos Bocas'!$W$94:$W$195,'Dos Bocas'!$F$94:$F$195,"Subdirección de Administración de Servicios para Exploración y Producción",'Dos Bocas'!$U$94:$U$195,"1",'Dos Bocas'!$V$94:$V$195,"Realizado")+SUMIFS(Reynosa!$S$8:$S$63,Reynosa!$E$8:$E$63,"Subdirección de Administración de Servicios para Exploración y Producción",Reynosa!$Q$8:$Q$63,"1",Reynosa!$R$8:$R$63,"Realizado")+SUMIFS(Altamira!$S$13:$S$47,Altamira!$E$13:$E$47,"Subdirección de Administración de Servicios para Exploración y Producción",Altamira!$Q$13:$Q$47,"1",Altamira!$R$13:$R$47,"Realizado")+SUMIFS('Naranjos-Cerro A'!$S$14:$S$36,'Naranjos-Cerro A'!$E$14:$E36,"Subdirección de Administración de Servicios para Exploración y Producción",'Naranjos-Cerro A'!$Q$14:$Q$36,"1",'Naranjos-Cerro A'!$R$14:$R$36,"Realizado")+SUMIFS('Poza Rica'!$S$26:$S$71,'Poza Rica'!$E$26:$E$71,"Subdirección de Administración de Servicios para Exploración y Producción",'Poza Rica'!$Q$26:$Q$71,"1",'Poza Rica'!$R$26:$R$71,"Realizado")+SUMIFS(Veracruz!$S$11:$S$47,Veracruz!$E$11:$E$47,"Subdirección de Administración de Servicios para Exploración y Producción",Veracruz!$Q$11:$Q$47,"1",Veracruz!$R$11:$R$47,"Realizado")+SUMIFS('Cd. Carmen'!$S$25:$S$190,'Cd. Carmen'!$E$25:$E$190,"Subdirección de Administración de Servicios para Exploración y Producción",'Cd. Carmen'!$Q$25:$Q$190,"1",'Cd. Carmen'!$S$25:$S$190,"Realizado")+SUMIFS('Cinco Presidentes'!$S$10:$S$116,'Cinco Presidentes'!$E$10:$E$116,"Subdirección de Administración de Servicios para Exploración y Producción",'Cinco Presidentes'!$Q$10:$Q$116,"1",'Cinco Presidentes'!$R$10:$R$116,"Realizado")+SUMIFS('Bellota Jujo'!$S$21:$S$48,'Bellota Jujo'!$E$21:$E$48,"Subdirección de Administración de Servicios para Exploración y Producción",'Bellota Jujo'!$Q$21:$Q$48,"1",'Bellota Jujo'!$R$21:$R$48,"Realizado")+SUMIFS(Macuspana!$S$37:$S$67,Macuspana!$E$37:$E$67,"Subdirección de Administración de Servicios para Exploración y Producción",Macuspana!$Q$37:$Q$67,"1",Macuspana!$R$37:$R$67,"Realizado")+SUMIFS('Samaria Luna'!$S$17:$S$37,'Samaria Luna'!$E$17:$E$37,"Subdirección de Administración de Servicios para Exploración y Producción",'Samaria Luna'!$Q$17:$Q$37,"1",'Samaria Luna'!$R$17:$R$37,"Realizado")+SUMIFS(Villahermosa!$S$22:$S$29,Villahermosa!$E$22:$E$29,"Subdirección de Administración de Servicios para Exploración y Producción",Villahermosa!$Q$22:$Q$29,"1",Villahermosa!$R$22:$R$29,"Realizado")</f>
        <v>251</v>
      </c>
      <c r="O48" s="62">
        <f>SUMIF(Adicionales!$E$9:$E$86,"Subdirección de Administración de Servicios para Exploración y Producción",Adicionales!$M$9:$M$86)</f>
        <v>230</v>
      </c>
      <c r="P48" s="120">
        <f>COUNTIFS(Reynosa!$E$8:$E$63,"Subdirección de Administración de Servicios para Exploración y Producción",Reynosa!$Q$8:$Q$63,"1",Reynosa!$R$8:$R$63,"Cancelado")+COUNTIFS(Altamira!$E$13:$E$47,"Subdirección de Administración de Servicios para Exploración y Producción",Altamira!$Q$13:$Q$47,"1",Altamira!$R$13:$R$47,"Cancelado")+COUNTIFS('Naranjos-Cerro A'!$E$13:$E$36,"Subdirección de Administración de Servicios para Exploración y Producción",'Naranjos-Cerro A'!$Q$13:$Q$36,"1",'Naranjos-Cerro A'!$R$13:$R$36,"Cancelado")+COUNTIFS('Poza Rica'!$E$26:$E$71,"Subdirección de Administración de Servicios para Exploración y Producción",'Poza Rica'!$Q$26:$Q$71,"1",'Poza Rica'!$R$26:$R$71,"Cancelado")+COUNTIFS(Veracruz!$E$11:$E$47,"Subdirección de Administración de Servicios para Exploración y Producción",Veracruz!$Q$11:$Q$47,"1",Veracruz!$R$11:$R$47,"Cancelado")+COUNTIFS('Dos Bocas'!$F$108:$F$195,"Subdirección de Administración de Servicios para Exploración y Producción",'Dos Bocas'!$U$108:$U$195,"1",'Dos Bocas'!$V$108:$V$195,"Cancelado")+COUNTIFS('Cd. Carmen'!$E$28:$E$190,"Subdirección de Administración de Servicios para Exploración y Producción",'Cd. Carmen'!$Q$28:$Q$190,"1",'Cd. Carmen'!$R$28:$R$190,"Cancelado")+COUNTIFS('Cinco Presidentes'!$E$51:$E$116,"Subdirección de Administración de Servicios para Exploración y Producción",'Cinco Presidentes'!$Q$51:$Q$116,"1",'Cinco Presidentes'!$R$51:$R$116,"Cancelado")+COUNTIFS('Bellota Jujo'!$E$21:$E$48,"Subdirección de Administración de Servicios para Exploración y Producción",'Bellota Jujo'!$Q$21:$Q$48,"1",'Bellota Jujo'!$R$21:$R$48,"Cancelado")+COUNTIFS(Macuspana!$E$47:$E$67,"Subdirección de Administración de Servicios para Exploración y Producción",Macuspana!$Q$47:$Q$67,"1",Macuspana!$R$47:$R$67,"Cancelado")+COUNTIFS('Samaria Luna'!$E$17:$E$37,"Subdirección de Administración de Servicios para Exploración y Producción",'Samaria Luna'!$Q$17:$Q$37,"1",'Samaria Luna'!$R$17:$R$37,"Cancelado")+COUNTIFS(Villahermosa!$E$22:$E$29,"Subdirección de Administración de Servicios para Exploración y Producción",Villahermosa!$Q$22:$Q$29,"1",Villahermosa!$R$22:$R$29,"Cancelado")</f>
        <v>10</v>
      </c>
      <c r="Q48" s="63">
        <f t="shared" si="17"/>
        <v>0.83823529411764708</v>
      </c>
      <c r="R48" s="64">
        <f t="shared" si="18"/>
        <v>0.83823529411764708</v>
      </c>
    </row>
    <row r="49" spans="2:18" ht="16.5" thickTop="1" thickBot="1" x14ac:dyDescent="0.35">
      <c r="B49" s="57" t="s">
        <v>554</v>
      </c>
      <c r="C49" s="58">
        <f>COUNTIF(Reynosa!$E$8:$E$63,"Subdirección de Seguridad, Salud en el Trabajo y Protección Ambiental")+COUNTIF(Altamira!$E$8:$E$47,"Subdirección de Seguridad, Salud en el Trabajo y Protección Ambiental")+COUNTIF('Naranjos-Cerro A'!$E$8:$E$36,"Subdirección de Seguridad, Salud en el Trabajo y Protección Ambiental")+COUNTIF('Poza Rica'!$E$8:$E$71,"Subdirección de Seguridad, Salud en el Trabajo y Protección Ambiental")+COUNTIF(Veracruz!$E$8:$E$47,"Subdirección de Seguridad, Salud en el Trabajo y Protección Ambiental")+COUNTIF('Dos Bocas'!$F$8:$F$195,"Subdirección de Seguridad, Salud en el Trabajo y Protección Ambiental")+COUNTIF('Cd. Carmen'!$E$8:$E$190,"Subdirección de Seguridad, Salud en el Trabajo y Protección Ambiental")+COUNTIF('Cinco Presidentes'!$E$8:$E$116,"Subdirección de Seguridad, Salud en el Trabajo y Protección Ambiental")+COUNTIF('Bellota Jujo'!$E$8:$E$48,"Subdirección de Seguridad, Salud en el Trabajo y Protección Ambiental")+COUNTIF(Macuspana!$E$8:$E$67,"Subdirección de Seguridad, Salud en el Trabajo y Protección Ambiental")+COUNTIF('Samaria Luna'!$E$8:$E$37,"Subdirección de Seguridad, Salud en el Trabajo y Protección Ambiental")+COUNTIF(Villahermosa!$E$8:$E$29,"Subdirección de Seguridad, Salud en el Trabajo y Protección Ambiental")+COUNTIF(Sede!$E$8:$E$11,"Subdirección de Seguridad, Salud en el Trabajo y Protección Ambiental")</f>
        <v>122</v>
      </c>
      <c r="D49" s="71">
        <f>SUMIF(Reynosa!$E$8:$E$63,"Subdirección de Seguridad, Salud en el Trabajo y Protección Ambiental",Reynosa!$M$8:$M$63)+SUMIF(Altamira!$E$8:$E$47,"Subdirección de Seguridad, Salud en el Trabajo y Protección Ambiental",Altamira!$M$8:$M$47)+SUMIF('Naranjos-Cerro A'!$E$8:$E$36,"Subdirección de Seguridad, Salud en el Trabajo y Protección Ambiental",'Naranjos-Cerro A'!$M$8:$M$36)+SUMIF('Poza Rica'!$E$8:$E$71,"Subdirección de Seguridad, Salud en el Trabajo y Protección Ambiental",'Poza Rica'!$M$8:$M$71)+SUMIF(Veracruz!$E$8:$E$47,"Subdirección de Seguridad, Salud en el Trabajo y Protección Ambiental",Veracruz!$M$8:$M$47)+SUMIF('Dos Bocas'!$F$8:$F$195,"Subdirección de Seguridad, Salud en el Trabajo y Protección Ambiental",'Dos Bocas'!$N$8:$N$195)+SUMIF('Cd. Carmen'!$E$8:$E$190,"Subdirección de Seguridad, Salud en el Trabajo y Protección Ambiental",'Cd. Carmen'!$M$8:$M$190)+SUMIF('Cinco Presidentes'!$E$8:$E$116,"Subdirección de Seguridad, Salud en el Trabajo y Protección Ambiental",'Cinco Presidentes'!$M$8:$M$116)+SUMIF('Bellota Jujo'!$E$8:$E$48,"Subdirección de Seguridad, Salud en el Trabajo y Protección Ambiental",'Bellota Jujo'!$M$8:$M$48)+SUMIF(Macuspana!$E$8:$E$67,"Subdirección de Seguridad, Salud en el Trabajo y Protección Ambiental",Macuspana!$M$8:$M$67)+SUMIF('Samaria Luna'!$E$8:$E$37,"Subdirección de Seguridad, Salud en el Trabajo y Protección Ambiental",'Samaria Luna'!$M$8:$M$37)+SUMIF(Villahermosa!$E$8:$E$29,"Subdirección de Seguridad, Salud en el Trabajo y Protección Ambiental",Villahermosa!$M$8:$M$29)+SUMIF(Sede!$E$8:$E$11,"Subdirección de Seguridad, Salud en el Trabajo y Protección Ambiental",Sede!$M$8:$M$11)</f>
        <v>976</v>
      </c>
      <c r="E49" s="151">
        <f>COUNTIF(Altamira!$E$8:$E$12,"Subdirección de Seguridad, Salud en el Trabajo y Protección Ambiental")+COUNTIF('Naranjos-Cerro A'!$E$8:$E$12,"Subdirección de Seguridad, Salud en el Trabajo y Protección Ambiental")+COUNTIF('Poza Rica'!$E$8:$E$25,"Subdirección de Seguridad, Salud en el Trabajo y Protección Ambiental")+COUNTIF(Veracruz!$E$5:$E$10,"Subdirección de Seguridad, Salud en el Trabajo y Protección Ambiental")+COUNTIF('Dos Bocas'!$F$8:$F$10,"Subdirección de Seguridad, Salud en el Trabajo y Protección Ambiental")+COUNTIF('Cd. Carmen'!$E$8:$E$26,"Subdirección de Seguridad, Salud en el Trabajo y Protección Ambiental")+COUNTIF('Cinco Presidentes'!$E$8:$E$11,"Subdirección de Seguridad, Salud en el Trabajo y Protección Ambiental")+COUNTIF('Bellota Jujo'!$E$8:$E$10,"Subdirección de Seguridad, Salud en el Trabajo y Protección Ambiental")+COUNTIF(Macuspana!$E$8:$E$15,"Subdirección de Seguridad, Salud en el Trabajo y Protección Ambiental")+COUNTIF('Samaria Luna'!$E$8:E14,"Subdirección de Seguridad, Salud en el Trabajo y Protección Ambiental")+COUNTIF(Villahermosa!$E$8:$E$12,"Subdirección de Seguridad, Salud en el Trabajo y Protección Ambiental")+COUNTIF('Cd. Méx'!$E$8:$E$11,"Subdirección de Seguridad, Salud en el Trabajo y Protección Ambiental")</f>
        <v>10</v>
      </c>
      <c r="F49" s="71">
        <f>SUMIF(Altamira!$E$8:$E$12,"Subdirección de Seguridad, Salud en el Trabajo y Protección Ambiental",Altamira!$M$8:$M$12)+SUMIF('Naranjos-Cerro A'!$E$8:$E$12,"Subdirección de Seguridad, Salud en el Trabajo y Protección Ambiental",'Naranjos-Cerro A'!$M$8:$M$12)+SUMIF('Poza Rica'!$E$8:$E$25,"Subdirección de Seguridad, Salud en el Trabajo y Protección Ambiental",'Poza Rica'!$M$8:$M$25)+SUMIF(Veracruz!$E$5:$E$10,"Subdirección de Seguridad, Salud en el Trabajo y Protección Ambiental",Veracruz!$M$5:$M$10)+SUMIF('Dos Bocas'!$F$8:$F$10,"Subdirección de Seguridad, Salud en el Trabajo y Protección Ambiental",'Dos Bocas'!$Q$8:$Q$10)+SUMIF('Cd. Carmen'!$E$8:$E$26,"Subdirección de Seguridad, Salud en el Trabajo y Protección Ambiental",'Cd. Carmen'!$M$8:$M$26)+SUMIF('Cinco Presidentes'!$E$8:$E$11,"Subdirección de Seguridad, Salud en el Trabajo y Protección Ambiental",'Cinco Presidentes'!$M$8:$M$11)+SUMIF('Bellota Jujo'!$E$8:$E$10,"Subdirección de Seguridad, Salud en el Trabajo y Protección Ambiental",'Bellota Jujo'!$M$8:$M$10)+SUMIF(Macuspana!$E$8:$E$15,"Subdirección de Seguridad, Salud en el Trabajo y Protección Ambiental",Macuspana!$M$8:$M$15)+SUMIF('Samaria Luna'!$E$8:$E$14,"Subdirección de Seguridad, Salud en el Trabajo y Protección Ambiental",'Samaria Luna'!$M$8:$M$14)+SUMIF(Villahermosa!$E$8:$E$12,"Subdirección de Seguridad, Salud en el Trabajo y Protección Ambiental",Villahermosa!$M$8:$M$12)</f>
        <v>87</v>
      </c>
      <c r="G49" s="58">
        <f>COUNTIF(Reynosa!$E$8:$E$63,"Subdirección de Seguridad, Salud en el Trabajo y Protección Ambiental")+COUNTIF(Altamira!$E$13:$E$47,"Subdirección de Seguridad, Salud en el Trabajo y Protección Ambiental")+COUNTIF('Naranjos-Cerro A'!$E$13:$E$36,"Subdirección de Seguridad, Salud en el Trabajo y Protección Ambiental")+COUNTIF('Poza Rica'!$E$26:$E$71,"Subdirección de Seguridad, Salud en el Trabajo y Protección Ambiental")+COUNTIF(Veracruz!$E$11:$E$47,"Subdirección de Seguridad, Salud en el Trabajo y Protección Ambiental")+COUNTIF('Dos Bocas'!$F$108:$F$195,"Subdirección de Seguridad, Salud en el Trabajo y Protección Ambiental")+COUNTIF('Cd. Carmen'!$E$27:$E$190,"Subdirección de Seguridad, Salud en el Trabajo y Protección Ambiental")+COUNTIF('Cinco Presidentes'!$E$51:$E$116,"Subdirección de Seguridad, Salud en el Trabajo y Protección Ambiental")+COUNTIF('Bellota Jujo'!$E$21:$E$48,"Subdirección de Seguridad, Salud en el Trabajo y Protección Ambiental")+COUNTIF(Macuspana!$E$47:$E$67,"Subdirección de Seguridad, Salud en el Trabajo y Protección Ambiental")+COUNTIF('Samaria Luna'!$E$17:$E$37,"Subdirección de Seguridad, Salud en el Trabajo y Protección Ambiental")+COUNTIF(Villahermosa!$E$22:$E$29,"Subdirección de Seguridad, Salud en el Trabajo y Protección Ambiental")+COUNTIF(Sede!$E$8:$E$11,"Subdirección de Seguridad, Salud en el Trabajo y Protección Ambiental")</f>
        <v>110</v>
      </c>
      <c r="H49" s="71">
        <f>SUMIF(Reynosa!$E$8:$E$63,"Subdirección de Seguridad, Salud en el Trabajo y Protección Ambiental",Reynosa!$M$8:$M$63)+SUMIF(Altamira!$E$13:$E$47,"Subdirección de Seguridad, Salud en el Trabajo y Protección Ambiental",Altamira!$M$13:$M$47)+SUMIF('Naranjos-Cerro A'!$E$13:$E$36,"Subdirección de Seguridad, Salud en el Trabajo y Protección Ambiental",'Naranjos-Cerro A'!$M$13:$M$36)+SUMIF('Poza Rica'!$E$26:$E$71,"Subdirección de Seguridad, Salud en el Trabajo y Protección Ambiental",'Poza Rica'!$M$26:$M$71)+SUMIF(Veracruz!$E$11:$E$47,"Subdirección de Seguridad, Salud en el Trabajo y Protección Ambiental",Veracruz!$M$11:$M$47)+SUMIF('Dos Bocas'!$F$108:$F$195,"Subdirección de Seguridad, Salud en el Trabajo y Protección Ambiental",'Dos Bocas'!$Q$108:$Q$195)+SUMIF('Cd. Carmen'!$E$27:$E$190,"Subdirección de Seguridad, Salud en el Trabajo y Protección Ambiental",'Cd. Carmen'!$M$27:$M$190)+SUMIF('Cinco Presidentes'!$E$51:$E$116,"Subdirección de Seguridad, Salud en el Trabajo y Protección Ambiental",'Cinco Presidentes'!$M$51:$M$116)+SUMIF('Bellota Jujo'!$E$21:$E$48,"Subdirección de Seguridad, Salud en el Trabajo y Protección Ambiental",'Bellota Jujo'!$M$21:$M$48)+SUMIF(Macuspana!$E$47:$E$67,"Subdirección de Seguridad, Salud en el Trabajo y Protección Ambiental",Macuspana!$M$47:$M$67)+SUMIF('Samaria Luna'!$E$17:$E$37,"Subdirección de Seguridad, Salud en el Trabajo y Protección Ambiental",'Samaria Luna'!$M$17:$M$37)+SUMIF(Villahermosa!$E$22:$E$29,"Subdirección de Seguridad, Salud en el Trabajo y Protección Ambiental",Villahermosa!$M$22:$M$29)+SUMIF(Sede!$E$8:$E$11,"Subdirección de Seguridad, Salud en el Trabajo y Protección Ambiental",Sede!$M$8:$M$11)</f>
        <v>871</v>
      </c>
      <c r="I49" s="150">
        <f>COUNTIFS(Reynosa!$E$8:$E$63,"Subdirección de Seguridad, Salud en el Trabajo y Protección Ambiental",Reynosa!$Q$8:$Q$63,"1")+COUNTIFS(Altamira!$E$13:$E$47,"Subdirección de Seguridad, Salud en el Trabajo y Protección Ambiental",Altamira!$Q$13:$Q$47,"1")+COUNTIFS('Naranjos-Cerro A'!$E$13:$E$36,"Subdirección de Seguridad, Salud en el Trabajo y Protección Ambiental",'Naranjos-Cerro A'!$Q$13:$Q$36,"1")+COUNTIFS('Poza Rica'!$E$26:$E$71,"Subdirección de Seguridad, Salud en el Trabajo y Protección Ambiental",'Poza Rica'!$Q$26:$Q$71,"1")+COUNTIFS(Veracruz!$E$11:$E$47,"Subdirección de Seguridad, Salud en el Trabajo y Protección Ambiental",Veracruz!$Q$11:$Q$47,"1")+COUNTIFS('Dos Bocas'!$F$108:$F$195,"Subdirección de Seguridad, Salud en el Trabajo y Protección Ambiental",'Dos Bocas'!$U$108:$U$195,"1")+COUNTIFS('Cd. Carmen'!$E$27:$E$190,"Subdirección de Seguridad, Salud en el Trabajo y Protección Ambiental",'Cd. Carmen'!$Q$27:$Q$190,"1")+COUNTIFS('Cinco Presidentes'!$E$51:$E$116,"Subdirección de Seguridad, Salud en el Trabajo y Protección Ambiental",'Cinco Presidentes'!$Q$51:$Q$116,"1")+COUNTIFS('Bellota Jujo'!$E$21:$E$48,"Subdirección de Seguridad, Salud en el Trabajo y Protección Ambiental",'Bellota Jujo'!$Q$21:$Q$48,"1")+COUNTIFS(Macuspana!$E$47:$E$67,"Subdirección de Seguridad, Salud en el Trabajo y Protección Ambiental",Macuspana!$Q$47:$Q$67,"1")+COUNTIFS('Samaria Luna'!$E$17:$E$37,"Subdirección de Seguridad, Salud en el Trabajo y Protección Ambiental",'Samaria Luna'!$Q$17:$Q$37,"1")+COUNTIFS(Villahermosa!$E$22:$E$29,"Subdirección de Seguridad, Salud en el Trabajo y Protección Ambiental",Villahermosa!$Q$22:$Q$29,"1")+COUNTIFS(Sede!$E$8:$E$11,"Subdirección de Seguridad, Salud en el Trabajo y Protección Ambiental",Sede!$Q$8:$Q$11,"1")</f>
        <v>110</v>
      </c>
      <c r="J49" s="71">
        <f>SUMIFS('Dos Bocas'!$Q$108:$Q$195,'Dos Bocas'!$F$108:$F$195,"Subdirección de Seguridad, Salud en el Trabajo y Protección Ambiental",'Dos Bocas'!$U$108:$U$195,"1")+SUMIFS('Cd. Carmen'!$M$27:$M$190,'Cd. Carmen'!$E$27:$E$190,"Subdirección de Seguridad, Salud en el Trabajo y Protección Ambiental",'Cd. Carmen'!$Q$27:$Q$190,"1")+SUMIFS('Cinco Presidentes'!$M$51:$M$116,'Cinco Presidentes'!$E$51:$E$116,"Subdirección de Seguridad, Salud en el Trabajo y Protección Ambiental",'Cinco Presidentes'!$Q$51:$Q$116,"1")+SUMIFS('Bellota Jujo'!$M$21:$M$48,'Bellota Jujo'!$E$21:$E$48,"Subdirección de Seguridad, Salud en el Trabajo y Protección Ambiental",'Bellota Jujo'!$Q$21:$Q$48,"1")+SUMIFS(Macuspana!$M$47:$M$67,Macuspana!$E$47:$E$67,"Subdirección de Seguridad, Salud en el Trabajo y Protección Ambiental",Macuspana!$Q$47:$Q$67,"1")+SUMIFS('Samaria Luna'!$M$17:$M$37,'Samaria Luna'!$E$17:$E$37,"Subdirección de Seguridad, Salud en el Trabajo y Protección Ambiental",'Samaria Luna'!$Q$17:$Q$37,"1")+SUMIFS(Villahermosa!$M$22:$M$29,Villahermosa!$E$22:$E$29,"Subdirección de Seguridad, Salud en el Trabajo y Protección Ambiental",Villahermosa!$Q$22:$Q$29,"1")+SUMIFS(Sede!$M$8:$M$11,Sede!$E$8:$E$11,"Subdirección de Seguridad, Salud en el Trabajo y Protección Ambiental",Sede!$Q$8:$Q$11,"1")+SUMIFS(Reynosa!$M$8:$M$63,Reynosa!$E$8:$E$63,"Subdirección de Seguridad, Salud en el Trabajo y Protección Ambiental",Reynosa!$Q$8:$Q$63,"1")+SUMIFS(Altamira!$M$13:$M$47,Altamira!$E$13:$E$47,"Subdirección de Seguridad, Salud en el Trabajo y Protección Ambiental",Altamira!$Q$13:$Q$47,"1")+SUMIFS('Naranjos-Cerro A'!$M$13:$M$36,'Naranjos-Cerro A'!$E$13:$E36,"Subdirección de Seguridad, Salud en el Trabajo y Protección Ambiental",'Naranjos-Cerro A'!$Q$13:$Q$36,"1")+SUMIFS('Poza Rica'!$M$26:$M$71,'Poza Rica'!$E$26:$E$71,"Subdirección de Seguridad, Salud en el Trabajo y Protección Ambiental",'Poza Rica'!$Q$26:$Q$71,"1")+SUMIFS(Veracruz!$M$11:$M$47,Veracruz!$E$11:$E$47,"Subdirección de Seguridad, Salud en el Trabajo y Protección Ambiental",Veracruz!$Q$11:$Q$47,"1")</f>
        <v>871</v>
      </c>
      <c r="K49" s="150">
        <f>COUNTIFS(Reynosa!$E$8:$E$63,"Subdirección de Seguridad, Salud en el Trabajo y Protección Ambiental",Reynosa!$Q$8:$Q$63,"1",Reynosa!$R$8:$R$63,"Realizado")+COUNTIFS(Altamira!$E$13:$E$47,"Subdirección de Seguridad, Salud en el Trabajo y Protección Ambiental",Altamira!$Q$13:$Q$47,"1",Altamira!$R$13:$R$47,"Realizado")+COUNTIFS('Naranjos-Cerro A'!$E$13:$E$36,"Subdirección de Seguridad, Salud en el Trabajo y Protección Ambiental",'Naranjos-Cerro A'!$Q$13:$Q$36,"1",'Naranjos-Cerro A'!$R$13:$R$36,"Realizado")+COUNTIFS('Poza Rica'!$E$26:$E$71,"Subdirección de Seguridad, Salud en el Trabajo y Protección Ambiental",'Poza Rica'!$Q$26:$Q$71,"1",'Poza Rica'!$R$26:$R$71,"Realizado")+COUNTIFS(Veracruz!$E$11:$E$47,"Subdirección de Seguridad, Salud en el Trabajo y Protección Ambiental",Veracruz!$Q$11:$Q$47,"1",Veracruz!$R$11:$R$47,"Realizado")+COUNTIFS('Dos Bocas'!$F$94:$F$195,"Subdirección de Seguridad, Salud en el Trabajo y Protección Ambiental",'Dos Bocas'!$U$94:$U$195,"1",'Dos Bocas'!$V$94:$V$195,"Realizado")+COUNTIFS('Cd. Carmen'!$E$25:$E$190,"Subdirección de Seguridad, Salud en el Trabajo y Protección Ambiental",'Cd. Carmen'!$Q$25:$Q$190,"1",'Cd. Carmen'!$R$25:$R$190,"Realizado")+COUNTIFS('Cinco Presidentes'!$E$10:$E$116,"Subdirección de Seguridad, Salud en el Trabajo y Protección Ambiental",'Cinco Presidentes'!$Q$10:$Q$116,"1",'Cinco Presidentes'!$R$10:$R$116,"Realizado")+COUNTIFS('Bellota Jujo'!$E$21:$E$48,"Subdirección de Seguridad, Salud en el Trabajo y Protección Ambiental",'Bellota Jujo'!$Q$21:$Q$48,"1",'Bellota Jujo'!$R$21:$R$48,"Realizado")+COUNTIFS(Macuspana!$E$37:$E$67,"Subdirección de Seguridad, Salud en el Trabajo y Protección Ambiental",Macuspana!$Q$37:$Q$67,"1",Macuspana!$R$37:$R$67,"Realizado")+COUNTIFS('Samaria Luna'!$E$17:$E$37,"Subdirección de Seguridad, Salud en el Trabajo y Protección Ambiental",'Samaria Luna'!$Q$17:$Q$37,"1",'Samaria Luna'!$R$17:$R$37,"Realizado")+COUNTIFS(Villahermosa!$E$22:$E$29,"Subdirección de Seguridad, Salud en el Trabajo y Protección Ambiental",Villahermosa!$Q$22:$Q$29,"1",Villahermosa!$R$22:$R$29,"Realizado")+COUNTIFS(Sede!$E$8:$E$11,"Subdirección de Seguridad, Salud en el Trabajo y Protección Ambiental",Sede!$Q$8:$Q$11,"1",Sede!$R$8:$R$11,"Realizado")</f>
        <v>93</v>
      </c>
      <c r="L49" s="58">
        <f>COUNTIF(Adicionales!$E$9:$E$88,"Subdirección de Seguridad, Salud en el Trabajo y Protección Ambiental")</f>
        <v>12</v>
      </c>
      <c r="M49" s="58">
        <f t="shared" si="19"/>
        <v>105</v>
      </c>
      <c r="N49" s="58">
        <f>SUMIFS('Dos Bocas'!$W$94:$W$195,'Dos Bocas'!$F$94:$F$195,"Subdirección de Seguridad, Salud en el Trabajo y Protección Ambiental",'Dos Bocas'!$U$94:$U$195,"1",'Dos Bocas'!$V$94:$V$195,"Realizado")+SUMIFS(Reynosa!$S$8:$S$63,Reynosa!$E$8:$E$63,"Subdirección de Seguridad, Salud en el Trabajo y Protección Ambiental",Reynosa!$Q$8:$Q$63,"1",Reynosa!$R$8:$R$63,"Realizado")+SUMIFS(Altamira!$S$13:$S$47,Altamira!$E$13:$E$47,"Subdirección de Seguridad, Salud en el Trabajo y Protección Ambiental",Altamira!$Q$13:$Q$47,"1",Altamira!$R$13:$R$47,"Realizado")+SUMIFS('Naranjos-Cerro A'!$S$13:$S$36,'Naranjos-Cerro A'!$E$13:$E36,"Subdirección de Seguridad, Salud en el Trabajo y Protección Ambiental",'Naranjos-Cerro A'!$Q$13:$Q$36,"1",'Naranjos-Cerro A'!$R$13:$R$36,"Realizado")+SUMIFS('Poza Rica'!$S$26:$S$71,'Poza Rica'!$E$26:$E$71,"Subdirección de Seguridad, Salud en el Trabajo y Protección Ambiental",'Poza Rica'!$Q$26:$Q$71,"1",'Poza Rica'!$R$26:$R$71,"Realizado")+SUMIFS(Veracruz!$S$11:$S$47,Veracruz!$E$11:$E$47,"Subdirección de Seguridad, Salud en el Trabajo y Protección Ambiental",Veracruz!$Q$11:$Q$47,"1",Veracruz!$R$11:$R$47,"Realizado")+SUMIFS('Cd. Carmen'!$S$25:$S$190,'Cd. Carmen'!$E$25:$E$190,"Subdirección de Seguridad, Salud en el Trabajo y Protección Ambiental",'Cd. Carmen'!$Q$25:$Q$190,"1",'Cd. Carmen'!$S$25:$S$190,"Realizado")+SUMIFS('Cinco Presidentes'!$S$10:$S$116,'Cinco Presidentes'!$E$10:$E$116,"Subdirección de Seguridad, Salud en el Trabajo y Protección Ambiental",'Cinco Presidentes'!$Q$10:$Q$116,"1",'Cinco Presidentes'!$R$10:$R$116,"Realizado")+SUMIFS('Bellota Jujo'!$S$21:$S$48,'Bellota Jujo'!$E$21:$E$48,"Subdirección de Seguridad, Salud en el Trabajo y Protección Ambiental",'Bellota Jujo'!$Q$21:$Q$48,"1",'Bellota Jujo'!$R$21:$R$48,"Realizado")+SUMIFS(Macuspana!$S$37:$S$67,Macuspana!$E$37:$E$67,"Subdirección de Seguridad, Salud en el Trabajo y Protección Ambiental",Macuspana!$Q$37:$Q$67,"1",Macuspana!$R$37:$R$67,"Realizado")+SUMIFS('Samaria Luna'!$S$17:$S$37,'Samaria Luna'!$E$17:$E$37,"Subdirección de Seguridad, Salud en el Trabajo y Protección Ambiental",'Samaria Luna'!$Q$17:$Q$37,"1",'Samaria Luna'!$R$17:$R$37,"Realizado")+SUMIFS(Villahermosa!$S$22:$S$29,Villahermosa!$E$22:$E$29,"Subdirección de Seguridad, Salud en el Trabajo y Protección Ambiental",Villahermosa!$Q$22:$Q$29,"1",Villahermosa!$R$22:$R$29,"Realizado")+SUMIFS(Sede!$S$8:$S$11,Sede!$E$8:$E$11,"Subdirección de Seguridad, Salud en el Trabajo y Protección Ambiental",Sede!$Q$8:Q11,"1",Sede!$R$8:$R$11,"Realizado")</f>
        <v>504</v>
      </c>
      <c r="O49" s="58">
        <f>SUMIF(Adicionales!$E$9:$E$86,"Subdirección de Seguridad, Salud en el Trabajo y Protección Ambiental",Adicionales!$M$9:$M$86)</f>
        <v>109</v>
      </c>
      <c r="P49" s="58">
        <f>COUNTIFS(Reynosa!$E$8:$E$63,"Subdirección de Seguridad, Salud en el Trabajo y Protección Ambiental",Reynosa!$Q$8:$Q$63,"1",Reynosa!$R$8:$R$63,"Cancelado")+COUNTIFS(Altamira!$E$13:$E$47,"Subdirección de Seguridad, Salud en el Trabajo y Protección Ambiental",Altamira!$Q$13:$Q$47,"1",Altamira!$R$13:$R$47,"Cancelado")+COUNTIFS('Naranjos-Cerro A'!$E$13:$E$36,"Subdirección de Seguridad, Salud en el Trabajo y Protección Ambiental",'Naranjos-Cerro A'!$Q$13:$Q$36,"1",'Naranjos-Cerro A'!$R$13:$R$36,"Cancelado")+COUNTIFS('Poza Rica'!$E$26:$E$71,"Subdirección de Seguridad, Salud en el Trabajo y Protección Ambiental",'Poza Rica'!$Q$26:$Q$71,"1",'Poza Rica'!$R$26:$R$71,"Cancelado")+COUNTIFS(Veracruz!$E$11:$E$47,"Subdirección de Seguridad, Salud en el Trabajo y Protección Ambiental",Veracruz!$Q$11:$Q$47,"1",Veracruz!$R$11:$R$47,"Cancelado")+COUNTIFS('Dos Bocas'!$F$108:$F$195,"SSubdirección de Seguridad, Salud en el Trabajo y Protección Ambiental",'Dos Bocas'!$U$108:$U$195,"1",'Dos Bocas'!$V$108:$V$195,"Cancelado")+COUNTIFS('Cd. Carmen'!$E$28:$E$190,"Subdirección de Seguridad, Salud en el Trabajo y Protección Ambiental",'Cd. Carmen'!$Q$28:$Q$190,"1",'Cd. Carmen'!$R$28:$R$190,"Cancelado")+COUNTIFS('Cinco Presidentes'!$E$51:$E$116,"Subdirección de Seguridad, Salud en el Trabajo y Protección Ambiental",'Cinco Presidentes'!$Q$51:$Q$116,"1",'Cinco Presidentes'!$R$51:$R$116,"Cancelado")+COUNTIFS('Bellota Jujo'!$E$21:$E$48,"Subdirección de Seguridad, Salud en el Trabajo y Protección Ambiental",'Bellota Jujo'!$Q$21:$Q$48,"1",'Bellota Jujo'!$R$21:$R$48,"Cancelado")+COUNTIFS(Macuspana!$E$47:$E$67,"Subdirección de Seguridad, Salud en el Trabajo y Protección Ambiental",Macuspana!$Q$47:$Q$67,"1",Macuspana!$R$47:$R$67,"Cancelado")+COUNTIFS('Samaria Luna'!$E$17:$E$37,"Subdirección de Seguridad, Salud en el Trabajo y Protección Ambiental",'Samaria Luna'!$Q$17:$Q$37,"1",'Samaria Luna'!$R$17:$R$37,"Cancelado")+COUNTIFS(Villahermosa!$E$22:$E$29,"Subdirección de Seguridad, Salud en el Trabajo y Protección Ambiental",Villahermosa!$Q$22:$Q$29,"1",Villahermosa!$R$22:$R$29,"Cancelado")+COUNTIFS(Sede!$E$8:$E$11,"Subdirección de Seguridad, Salud en el Trabajo y Protección Ambiental",Sede!$Q$8:$Q$11,"1",Sede!$R$8:$R$11,"Cancelado")</f>
        <v>19</v>
      </c>
      <c r="Q49" s="60">
        <f t="shared" si="17"/>
        <v>0.86065573770491799</v>
      </c>
      <c r="R49" s="65">
        <f t="shared" si="18"/>
        <v>0.86065573770491799</v>
      </c>
    </row>
    <row r="50" spans="2:18" ht="15.75" thickBot="1" x14ac:dyDescent="0.35">
      <c r="B50" s="61" t="s">
        <v>555</v>
      </c>
      <c r="C50" s="62">
        <f>COUNTIF('Cd. Carmen'!$E$8:$E$190,"Subdirección de Perforación y Mantenimiento de Pozos")+COUNTIF(Perforación!$E$8:$E$88,"Subdirección de Perforación y Mantenimiento de Pozos")</f>
        <v>138</v>
      </c>
      <c r="D50" s="66">
        <f>SUMIF('Cd. Carmen'!$E$8:$E$190,"Subdirección de Perforación y Mantenimiento de Pozos",'Cd. Carmen'!$M$8:$M$190)+SUMIF(Perforación!$E$8:$E$88,"Subdirección de Perforación y Mantenimiento de Pozos",Perforación!$M$8:$M$88)</f>
        <v>1147</v>
      </c>
      <c r="E50" s="163">
        <v>1</v>
      </c>
      <c r="F50" s="66">
        <v>10</v>
      </c>
      <c r="G50" s="66">
        <f>COUNTIF('Cd. Carmen'!$E$27:$E$190,"Subdirección de Perforación y Mantenimiento de Pozos")+COUNTIF(Perforación!$E$9:$E$88,"Subdirección de Perforación y Mantenimiento de Pozos")</f>
        <v>137</v>
      </c>
      <c r="H50" s="66">
        <f>SUMIF('Cd. Carmen'!$E$27:$E$190,"Subdirección de Perforación y Mantenimiento de Pozos",'Cd. Carmen'!$M$27:$M$190)+SUMIF(Perforación!$E$9:$E$88,"Subdirección de Perforación y Mantenimiento de Pozos",Perforación!$M$9:$M$88)</f>
        <v>1137</v>
      </c>
      <c r="I50" s="163">
        <f>COUNTIFS('Cd. Carmen'!$E$27:$E$190,"Subdirección de Perforación y Mantenimiento de Pozos",'Cd. Carmen'!$Q$27:$Q$190,"1")+COUNTIFS(Perforación!$E$9:$E$88,"Subdirección de Perforación y Mantenimiento de Pozos",Perforación!$Q$9:$Q$88,"1")</f>
        <v>137</v>
      </c>
      <c r="J50" s="66">
        <f>SUMIFS('Cd. Carmen'!$M$27:$M$190,'Cd. Carmen'!$E$27:$E$190,"Subdirección de Perforación y Mantenimiento de Pozos",'Cd. Carmen'!$Q$27:$Q$190,"1")+SUMIFS(Perforación!$M$9:$M$88,Perforación!$E$9:$E$88,"Subdirección de Perforación y Mantenimiento de Pozos",Perforación!$Q$9:$Q$88,"1")</f>
        <v>1137</v>
      </c>
      <c r="K50" s="163">
        <f>COUNTIFS('Cd. Carmen'!$E$25:$E$190,"Subdirección de Perforación y Mantenimiento de Pozos",'Cd. Carmen'!$Q$25:$Q$190,"1",'Cd. Carmen'!$R$25:$R$190,"Realizado")+COUNTIFS(Perforación!$E$9:$E$88,"Subdirección de Perforación y Mantenimiento de Pozos",Perforación!$Q$9:$Q$88,"1",Perforación!$R$9:$R$88,"Realizado")</f>
        <v>86</v>
      </c>
      <c r="L50" s="62">
        <f>COUNTIF(Adicionales!$E$9:$E$86,"Subdirección de Perforación y Mantenimiento de Pozos")</f>
        <v>11</v>
      </c>
      <c r="M50" s="62">
        <f t="shared" si="19"/>
        <v>97</v>
      </c>
      <c r="N50" s="66">
        <f>SUMIFS(Perforación!$S$9:$S$88,Perforación!$Q$9:$Q$88,"1",Perforación!$R$9:$R$88,"Realizado")+SUMIFS('Cd. Carmen'!$S$25:$S$190,'Cd. Carmen'!$E$25:$E$190,"Subdirección de Perforación y Mantenimiento de Pozos",'Cd. Carmen'!$Q$25:$Q$190,"1",'Cd. Carmen'!$R$25:$R$190,"Realizado")</f>
        <v>707</v>
      </c>
      <c r="O50" s="62">
        <f>SUMIF(Adicionales!$E$9:$E$86,"Subdirección de Perforación y Mantenimiento de Pozos",Adicionales!$M$9:$M$86)</f>
        <v>114</v>
      </c>
      <c r="P50" s="145">
        <f>COUNTIFS('Cd. Carmen'!$E$27:$E$190,"Subdirección de Perforación y Mantenimiento de Pozos",'Cd. Carmen'!$Q$27:$Q$190,"1",'Cd. Carmen'!$R$27:$R$190,"Cancelado")+COUNTIFS(Perforación!$E$9:$E$88,"Subdirección de Perforación y Mantenimiento de Pozos",Perforación!$Q$9:$Q$88,"1",Perforación!$R$9:$R$88,"Cancelado")</f>
        <v>51</v>
      </c>
      <c r="Q50" s="63">
        <f t="shared" si="17"/>
        <v>0.65540540540540537</v>
      </c>
      <c r="R50" s="64">
        <f t="shared" si="18"/>
        <v>0.65540540540540537</v>
      </c>
    </row>
    <row r="51" spans="2:18" ht="16.5" thickTop="1" thickBot="1" x14ac:dyDescent="0.35">
      <c r="B51" s="57" t="s">
        <v>556</v>
      </c>
      <c r="C51" s="58">
        <f>COUNTIF(Reynosa!$E$8:$E$63,"Subdirección de Exploración")+COUNTIF(Altamira!$E$8:$E$47,"Subdirección de Exploración")+COUNTIF('Naranjos-Cerro A'!$E$8:$E$36,"Subdirección de Exploración")+COUNTIF('Poza Rica'!$E$8:$E$71,"Subdirección de Exploración")+COUNTIF(Veracruz!$E$8:$E$47,"Subdirección de Exploración")+COUNTIF('Dos Bocas'!$F$8:$F$195,"Subdirección de Exploración")+COUNTIF('Cd. Carmen'!$E$8:$E$190,"Subdirección de Exploración")+COUNTIF('Cinco Presidentes'!$E$8:$E$116,"Subdirección de Exploración")+COUNTIF('Bellota Jujo'!$E$8:$E$48,"Subdirección de Exploración")+COUNTIF(Macuspana!$E$8:$E$67,"Subdirección de Exploración")+COUNTIF('Samaria Luna'!$E$8:$E$37,"Subdirección de Exploración")+COUNTIF(Villahermosa!$E$8:$E$29,"Subdirección de Exploración")+COUNTIF('Cd. Méx'!$E$8:$E$11,"Subdirección de Exploración")</f>
        <v>30</v>
      </c>
      <c r="D51" s="151">
        <f>SUMIF(Reynosa!$E$8:$E$63,"Subdirección de Exploración",Reynosa!$M$8:$M$63)+SUMIF(Altamira!$E$8:$E$47,"Subdirección de Exploración",Altamira!$M$8:$M$47)+SUMIF('Naranjos-Cerro A'!$E$8:$E$36,"Subdirección de Exploración",'Naranjos-Cerro A'!$M$8:$M$36)+SUMIF('Poza Rica'!$E$8:$E$71,"Subdirección de Exploración",'Poza Rica'!$M$8:$M$71)+SUMIF(Veracruz!$E$8:$E$47,"Subdirección de Exploración",Veracruz!$M$8:$M$47)+SUMIF('Dos Bocas'!$F$8:$F$195,"Subdirección de Exploración",'Dos Bocas'!$N$8:$N$195)+SUMIF('Cd. Carmen'!$E$8:$E$190,"Subdirección de Exploración",'Cd. Carmen'!$M$8:$M$190)+SUMIF('Cinco Presidentes'!$E$8:$E$116,"Subdirección de Exploración",'Cinco Presidentes'!$M$8:$M$116)+SUMIF('Bellota Jujo'!$E$8:$E$48,"Subdirección de Exploración",'Bellota Jujo'!$M$8:$M$48)+SUMIF(Macuspana!$E$8:$E$67,"Subdirección de Exploración",Macuspana!$M$8:$M$67)+SUMIF('Samaria Luna'!$E$8:$E$37,"Subdirección de Exploración",'Samaria Luna'!$M$8:$M$37)+SUMIF(Villahermosa!$E$8:$E$29,"Subdirección de Exploración",Villahermosa!$M$8:$M$29)+SUMIF('Cd. Méx'!$E$8:$E$11,"Subdirección de Exploración",'Cd. Méx'!$M$8:$M$11)</f>
        <v>180</v>
      </c>
      <c r="E51" s="151">
        <f>COUNTIF(Altamira!$E$8:$E$12,"Subdirección de Exploración")+COUNTIF('Naranjos-Cerro A'!$E$8:$E$12,"Subdirección de Exploración")+COUNTIF('Poza Rica'!$E$8:$E$25,"Subdirección de Exploración")+COUNTIF(Veracruz!$E$5:$E$10,"Subdirección de Exploración")+COUNTIF('Dos Bocas'!$F$8:$F$10,"Subdirección de Exploración")+COUNTIF('Cd. Carmen'!$E$8:$E$26,"Subdirección de Exploración")+COUNTIF('Cinco Presidentes'!$E$8:$E$11,"Subdirección de Exploración")+COUNTIF('Bellota Jujo'!$E$8:$E$10,"Subdirección de Exploración")+COUNTIF(Macuspana!$E$8:$E$15,"Subdirección de Exploración")+COUNTIF('Samaria Luna'!$E$8:E19,"Subdirección de Exploración")+COUNTIF(Villahermosa!$E$8:$E$12,"Subdirección de Exploración")</f>
        <v>11</v>
      </c>
      <c r="F51" s="71">
        <f>SUMIF(Altamira!$E$8:$E$12,"Subdirección de Exploración",Altamira!$M$8:$M$12)+SUMIF('Naranjos-Cerro A'!$E$8:$E$12,"Subdirección de Exploración",'Naranjos-Cerro A'!$M$8:$M$12)+SUMIF('Poza Rica'!$E$8:$E$25,"Subdirección de Exploración",'Poza Rica'!$M$8:$M$25)+SUMIF(Veracruz!$E$5:$E$10,"Subdirección de Exploración",Veracruz!$M$5:$M$10)+SUMIF('Dos Bocas'!$F$8:$F$10,"Subdirección de Exploración",'Dos Bocas'!$Q$8:$Q$10)+SUMIF('Cd. Carmen'!$E$8:$E$26,"Subdirección de Exploración",'Cd. Carmen'!$M$8:$M$26)+SUMIF('Cinco Presidentes'!$E$8:$E$11,"Subdirección de Exploración",'Cinco Presidentes'!$M$8:$M$11)+SUMIF('Bellota Jujo'!$E$8:$E$10,"Subdirección de Exploración",'Bellota Jujo'!$M$8:$M$10)+SUMIF(Macuspana!$E$8:$E$15,"Subdirección de Exploración",Macuspana!$M$8:$M$15)+SUMIF('Samaria Luna'!$E$8:$E$14,"Subdirección de Exploración",'Samaria Luna'!$M$8:$M$14)+SUMIF(Villahermosa!$E$8:$E$12,"Subdirección de Exploración",Villahermosa!$M$8:$M$12)</f>
        <v>68</v>
      </c>
      <c r="G51" s="71">
        <f>COUNTIF(Reynosa!$E$8:$E$63,"Subdirección de Exploración")+COUNTIF(Altamira!$E$13:$E$47,"Subdirección de Exploración")+COUNTIF('Naranjos-Cerro A'!$E$13:$E$36,"Subdirección de Exploración")+COUNTIF('Poza Rica'!$E$26:$E$71,"Subdirección de Exploración")+COUNTIF(Veracruz!$E$11:$E$47,"Subdirección de Exploración")+COUNTIF('Dos Bocas'!$F$108:$F$195,"Subdirección de Exploración")+COUNTIF('Cd. Carmen'!$E$27:$E$190,"Subdirección de Exploración")+COUNTIF('Cinco Presidentes'!$E$51:$E$116,"Subdirección de Exploración")+COUNTIF('Bellota Jujo'!$E$21:$E$48,"Subdirección de Exploración")+COUNTIF(Macuspana!$E$47:$E$67,"Subdirección de Exploración")+COUNTIF('Samaria Luna'!$E$17:$E$37,"Subdirección de Exploración")+COUNTIF(Villahermosa!$E$22:$E$29,"Subdirección de Exploración")</f>
        <v>16</v>
      </c>
      <c r="H51" s="71">
        <f>SUMIF(Reynosa!$E$8:$E$63,"Subdirección de Exploración",Reynosa!$M$8:$M$63)+SUMIF(Altamira!$E$13:$E$47,"Subdirección de Exploración",Altamira!$M$13:$M$47)+SUMIF('Naranjos-Cerro A'!$E$13:$E$36,"Subdirección de Exploración",'Naranjos-Cerro A'!$M$13:$M$36)+SUMIF('Poza Rica'!$E$26:$E$71,"Subdirección de Exploración",'Poza Rica'!$M$26:$M$71)+SUMIF(Veracruz!$E$11:$E$47,"Subdirección de Exploración",Veracruz!$M$11:$M$47)+SUMIF('Dos Bocas'!$F$108:$F$195,"Subdirección de Exploración",'Dos Bocas'!$Q$108:$Q$195)+SUMIF('Cd. Carmen'!$E$27:$E$190,"Subdirección de Exploración",'Cd. Carmen'!$M$27:$M$190)+SUMIF('Cinco Presidentes'!$E$51:$E$116,"Subdirección de Exploración",'Cinco Presidentes'!$M$51:$M$116)+SUMIF('Bellota Jujo'!$E$21:$E$48,"Subdirección de Exploración",'Bellota Jujo'!$M$21:$M$48)+SUMIF(Macuspana!$E$47:$E$67,"Subdirección de Exploración",Macuspana!$M$47:$M$67)+SUMIF('Samaria Luna'!$E$17:$E$37,"Subdirección de Exploración",'Samaria Luna'!$M$17:$M$37)+SUMIF(Villahermosa!$E$22:$E$29,"Subdirección de Exploración",Villahermosa!$M$22:$M$29)</f>
        <v>102</v>
      </c>
      <c r="I51" s="150">
        <f>COUNTIFS(Reynosa!$E$8:$E$63,"Subdirección de Exploración",Reynosa!$Q$8:$Q$63,"1")+COUNTIFS(Altamira!$E$13:$E$47,"Subdirección de Exploración",Altamira!$Q$13:$Q$47,"1")+COUNTIFS('Naranjos-Cerro A'!$E$14:$E$36,"Subdirección de Exploración",'Naranjos-Cerro A'!$Q$14:$Q$36,"1")+COUNTIFS('Poza Rica'!$E$26:$E$71,"Subdirección de Exploración",'Poza Rica'!$Q$26:$Q$71,"1")+COUNTIFS(Veracruz!$E$11:$E$47,"Subdirección de Exploración",Veracruz!$Q$11:$Q$47,"1")+COUNTIFS('Dos Bocas'!$F$108:$F$195,"Subdirección de Exploración",'Dos Bocas'!$U$108:$U$195,"1")+COUNTIFS('Cd. Carmen'!$E$27:$E$190,"Subdirección de Exploración",'Cd. Carmen'!$Q$27:$Q$190,"1")+COUNTIFS('Cinco Presidentes'!$E$51:$E$116,"Subdirección de Exploración",'Cinco Presidentes'!$Q$51:$Q$116,"1")+COUNTIFS('Bellota Jujo'!$E$21:$E$48,"Subdirección de Exploración",'Bellota Jujo'!$Q$21:$Q$48,"1")+COUNTIFS(Macuspana!$E$47:$E$67,"Subdirección de Exploración",Macuspana!$Q$47:$Q$67,"1")+COUNTIFS('Samaria Luna'!$E$17:$E$37,"Subdirección de Exploración",'Samaria Luna'!$Q$17:$Q$37,"1")+COUNTIFS(Villahermosa!$E$22:$E$29,"Subdirección de Exploración",Villahermosa!$Q$22:$Q$29,"1")+COUNTIFS(Sede!$E$8:$E$10,"Subdirección de Exploración",Sede!$Q$8:$Q$10,"1")</f>
        <v>16</v>
      </c>
      <c r="J51" s="71">
        <f>SUMIFS('Dos Bocas'!$Q$108:$Q$195,'Dos Bocas'!$F$108:$F$195,"Subdirección de Exploración",'Dos Bocas'!$U$108:$U$195,"1")+SUMIFS(Reynosa!$M$8:$M$63,Reynosa!$E$8:$E$63,"Subdirección de Exploración",Reynosa!$Q$8:$Q$63,"1")+SUMIFS(Altamira!$M$13:$M$47,Altamira!$E$13:$E$47,"Subdirección de Exploración",Altamira!$Q$13:$Q$47,"1")+SUMIFS('Naranjos-Cerro A'!$M$14:$M$36,'Naranjos-Cerro A'!$E$14:$E36,"Subdirección de Exploración",'Naranjos-Cerro A'!$Q$14:$Q$36,"1")+SUMIFS('Poza Rica'!$M$26:$M$71,'Poza Rica'!$E$26:$E$71,"Subdirección de Exploración",'Poza Rica'!$Q$26:$Q$71,"1")+SUMIFS(Veracruz!$M$11:$M$47,Veracruz!$E$11:$E$47,"Subdirección de Exploración",Veracruz!$Q$11:$Q$47,"1")+SUMIFS('Cd. Carmen'!$M$27:$M$190,'Cd. Carmen'!$E$27:$E$190,"Subdirección de Exploración",'Cd. Carmen'!$Q$27:$Q$190,"1")+SUMIFS('Cinco Presidentes'!$M$51:$M$116,'Cinco Presidentes'!$E$51:$E$116,"Subdirección de Exploración",'Cinco Presidentes'!$Q$51:$Q$116,"1")+SUMIFS('Bellota Jujo'!$M$21:$M$48,'Bellota Jujo'!$E$21:$E$48,"Subdirección de Exploración",'Bellota Jujo'!$Q$21:$Q$48,"1")+SUMIFS(Macuspana!$M$47:$M$67,Macuspana!$E$47:$E$67,"Subdirección de Exploración",Macuspana!$Q$47:$Q$67,"1")+SUMIFS('Samaria Luna'!$M$17:$M$37,'Samaria Luna'!$E$17:$E$37,"Subdirección de Exploración",'Samaria Luna'!$Q$17:$Q$37,"1")+SUMIFS(Villahermosa!$M$22:$M$29,Villahermosa!$E$22:$E$29,"Subdirección de Exploración",Villahermosa!$Q$22:$Q$29,"1")</f>
        <v>102</v>
      </c>
      <c r="K51" s="150">
        <f>COUNTIFS(Reynosa!$E$8:$E$63,"Subdirección de Exploración",Reynosa!$Q$8:$Q$63,"1",Reynosa!$R$8:$R$63,"Realizado")+COUNTIFS(Altamira!$E$13:$E$47,"Subdirección de Exploración",Altamira!$Q$13:$Q$47,"1",Altamira!$R$13:$R$47,"Realizado")+COUNTIFS('Naranjos-Cerro A'!$E$14:$E$36,"Subdirección de Exploración",'Naranjos-Cerro A'!$Q$14:$Q$36,"1",'Naranjos-Cerro A'!$R$14:$R$36,"Realizado")+COUNTIFS('Poza Rica'!$E$26:$E$71,"Subdirección de Exploración",'Poza Rica'!$Q$26:$Q$71,"1",'Poza Rica'!$R$26:$R$71,"Realizado")+COUNTIFS(Veracruz!$E$11:$E$47,"Subdirección de Exploración",Veracruz!$Q$11:$Q$47,"1",Veracruz!$R$11:$R$47,"Realizado")+COUNTIFS('Dos Bocas'!$F$108:$F$195,"Subdirección de Exploración",'Dos Bocas'!$U$108:$U$195,"1",'Dos Bocas'!$V$108:$V$195,"Realizado")+COUNTIFS('Cd. Carmen'!$E$27:$E$190,"Subdirección de Exploración",'Cd. Carmen'!$Q$27:$Q$190,"1",'Cd. Carmen'!$R$27:$R$190,"Realizado")+COUNTIFS('Cinco Presidentes'!$E$51:$E$116,"Subdirección de Exploración",'Cinco Presidentes'!$Q$51:$Q$116,"1",'Cinco Presidentes'!$R$51:$R$116,"Realizado")+COUNTIFS('Bellota Jujo'!$E$21:$E$48,"Subdirección de Exploración",'Bellota Jujo'!$Q$21:$Q$48,"1",'Bellota Jujo'!$R$21:$R$48,"Realizado")+COUNTIFS(Macuspana!$E$47:$E$67,"Subdirección de Exploración",Macuspana!$Q$47:$Q$67,"1",Macuspana!$R$47:$R$67,"Realizado")+COUNTIFS('Samaria Luna'!$E$17:$E$37,"Subdirección de Exploración",'Samaria Luna'!$Q$17:$Q$37,"1",'Samaria Luna'!$R$17:$R$37,"Realizado")+COUNTIFS(Villahermosa!$E$22:$E$29,"Subdirección de Exploración",Villahermosa!$Q$22:$Q$29,"1",Villahermosa!$R$22:$R$29,"Realizdo")+COUNTIFS(Sede!$E$8:$E$11,"Subdirección de Exploración",Sede!$Q$8:$Q$11,"1",Sede!$R$8:$R$11,"Realizado")</f>
        <v>0</v>
      </c>
      <c r="L51" s="58">
        <f>COUNTIF(Adicionales!$E$9:$E$86,"Subdirección de Exploración")</f>
        <v>0</v>
      </c>
      <c r="M51" s="58">
        <f t="shared" si="19"/>
        <v>0</v>
      </c>
      <c r="N51" s="58"/>
      <c r="O51" s="58">
        <f>SUMIF(Adicionales!$E$9:$E$98,"Subdirección de Exploración",Adicionales!$M$9:$M$98)</f>
        <v>0</v>
      </c>
      <c r="P51" s="150">
        <f>COUNTIFS(Reynosa!$E$8:$E$63,"Subdirección de Exploración",Reynosa!$Q$8:$Q$63,"1",Reynosa!$R$8:$R$63,"Cancelado")+COUNTIFS(Altamira!$E$13:$E$47,"Subdirección de Exploración",Altamira!$Q$13:$Q$47,"1",Altamira!$R$13:$R$47,"Cancelado")+COUNTIFS('Naranjos-Cerro A'!$E$14:$E$36,"Subdirección de Exploración",'Naranjos-Cerro A'!$Q$14:$Q$36,"1",'Naranjos-Cerro A'!$R$14:$R$36,"Cancelado")+COUNTIFS('Poza Rica'!$E$26:$E$71,"Subdirección de Exploración",'Poza Rica'!$Q$26:$Q$71,"1",'Poza Rica'!$R$26:$R$71,"Cancelado")+COUNTIFS(Veracruz!$E$11:$E$47,"Subdirección de Exploración",Veracruz!$Q$11:$Q$47,"1",Veracruz!$R$11:$R$47,"Cancelado")+COUNTIFS('Dos Bocas'!$F$108:$F$195,"Subdirección de Exploración",'Dos Bocas'!$U$108:$U$195,"1",'Dos Bocas'!$V$108:$V$195,"Cancelado")+COUNTIFS('Cd. Carmen'!$E$27:$E$190,"Subdirección de Exploración",'Cd. Carmen'!$Q$27:$Q$190,"1",'Cd. Carmen'!$R$27:$R$190,"Cancelado")+COUNTIFS('Cinco Presidentes'!$E$51:$E$116,"Subdirección de Exploración",'Cinco Presidentes'!$Q$51:$Q$116,"1",'Cinco Presidentes'!$R$51:$R$116,"Cancelado")+COUNTIFS('Bellota Jujo'!$E$21:$E$48,"Subdirección de Exploración",'Bellota Jujo'!$Q$21:$Q$48,"1",'Bellota Jujo'!$R$21:$R$48,"Cancelado")+COUNTIFS(Macuspana!$E$47:$E$67,"Subdirección de Exploración",Macuspana!$Q$47:$Q$67,"1",Macuspana!$R$47:$R$67,"Cancelado")+COUNTIFS('Samaria Luna'!$E$17:$E$37,"Subdirección de Exploración",'Samaria Luna'!$Q$17:$Q$37,"1",'Samaria Luna'!$R$17:$R$37,"Cancelado")+COUNTIFS(Villahermosa!$E$22:$E$29,"Subdirección de Exploración",Villahermosa!$Q$22:$Q$29,"1",Villahermosa!$R$22:$R$29,"Cancelado")+COUNTIFS(Sede!$E$8:$E$11,"Subdirección de Exploración",Sede!$Q$8:$Q$11,"1",Sede!$R$8:$R$11,"Cancelado")</f>
        <v>16</v>
      </c>
      <c r="Q51" s="60">
        <f t="shared" si="17"/>
        <v>0</v>
      </c>
      <c r="R51" s="65">
        <f>IFERROR(M51/(G51+L51), "-")</f>
        <v>0</v>
      </c>
    </row>
    <row r="52" spans="2:18" ht="15.75" thickBot="1" x14ac:dyDescent="0.35">
      <c r="B52" s="61" t="s">
        <v>557</v>
      </c>
      <c r="C52" s="62">
        <f>COUNTIF(Reynosa!$E$8:$E$63,"Subdirección de Exploración y Producción por Contratos y Asociaciones")+COUNTIF(Altamira!$E$8:$E$47,"Subdirección de Exploración y Producción por Contratos y Asociaciones")+COUNTIF('Naranjos-Cerro A'!$E$8:$E$36,"Subdirección de Exploración y Producción por Contratos y Asociaciones")+COUNTIF('Poza Rica'!$E$8:$E$71,"Subdirección de Exploración y Producción por Contratos y Asociaciones")+COUNTIF(Veracruz!$E$8:$E$47,"Subdirección de Exploración y Producción por Contratos y Asociaciones")+COUNTIF('Dos Bocas'!$F$8:$F$195,"Subdirección de Exploración y Producción por Contratos y Asociaciones")+COUNTIF('Cd. Carmen'!$E$8:$E$190,"Subdirección de Exploración y Producción por Contratos y Asociaciones")+COUNTIF('Cinco Presidentes'!$E$8:$E$116,"Subdirección de Exploración y Producción por Contratos y Asociaciones")+COUNTIF('Bellota Jujo'!$E$8:$E$48,"Subdirección de Exploración y Producción por Contratos y Asociaciones")+COUNTIF(Macuspana!$E$8:$E$67,"Subdirección de Exploración y Producción por Contratos y Asociaciones")+COUNTIF('Samaria Luna'!$E$8:$E$37,"Subdirección de Exploración y Producción por Contratos y Asociaciones")+COUNTIF(Villahermosa!$E$8:$E$29,"Subdirección de Exploración y Producción por Contratos y Asociaciones")+COUNTIF(Sede!E11:E14,"Subdirección de Exploración y Producción por Contratos y Asociaciones")+COUNTIF('Cd. Méx'!$E$8:$E$11,"Subdirección de Exploración y Producción por Contratos y Asociaciones")</f>
        <v>2</v>
      </c>
      <c r="D52" s="66">
        <f>SUMIF(Reynosa!$E$8:$E$63,"Subdirección de Exploración y Producción por Contratos y Asociaciones",Reynosa!$M$8:$M$63)+SUMIF(Altamira!$E$8:$E$47,"Subdirección de Exploración y Producción por Contratos y Asociaciones",Altamira!$M$8:$M$47)+SUMIF('Naranjos-Cerro A'!$E$8:$E$36,"Subdirección de Exploración y Producción por Contratos y Asociaciones",'Naranjos-Cerro A'!$M$8:$M$36)+SUMIF('Poza Rica'!$E$8:$E$71,"Subdirección de Exploración y Producción por Contratos y Asociaciones",'Poza Rica'!$M$8:$M$71)+SUMIF(Veracruz!$E$8:$E$47,"Subdirección de Exploración y Producción por Contratos y Asociaciones",Veracruz!$M$8:$M$47)+SUMIF('Dos Bocas'!$F$8:$F$195,"Subdirección de Exploración y Producción por Contratos y Asociaciones",'Dos Bocas'!$N$8:$N$195)+SUMIF('Cd. Carmen'!$E$8:$E$190,"Subdirección de Exploración y Producción por Contratos y Asociaciones",'Cd. Carmen'!$M$8:$M$190)+SUMIF('Cinco Presidentes'!$E$8:$E$116,"Subdirección de Exploración y Producción por Contratos y Asociaciones",'Cinco Presidentes'!$M$8:$M$116)+SUMIF('Bellota Jujo'!$E$8:$E$48,"Subdirección de Exploración y Producción por Contratos y Asociaciones",'Bellota Jujo'!$M$8:$M$48)+SUMIF(Macuspana!$E$8:$E$67,"Subdirección de Exploración y Producción por Contratos y Asociaciones",Macuspana!$M$8:$M$67)+SUMIF('Samaria Luna'!$E$8:$E$37,"Subdirección de Exploración y Producción por Contratos y Asociaciones",'Samaria Luna'!$M$8:$M$37)+SUMIF(Villahermosa!$E$8:$E$29,"Subdirección de Exploración y Producción por Contratos y Asociaciones",Villahermosa!$M$8:$M$29)+SUMIF('Cd. Méx'!$E$8:$E$11,"Subdirección de Exploración y Producción por Contratos y Asociaciones",'Cd. Méx'!$M$8:$M$11)</f>
        <v>2</v>
      </c>
      <c r="E52" s="66">
        <f>COUNTIF(Altamira!$E$8:$E$12,"Subdirección de Exploración y Producción por Contratos y Asociaciones")+COUNTIF('Naranjos-Cerro A'!$E$8:$E$12,"Subdirección de Exploración y Producción por Contratos y Asociaciones")+COUNTIF('Poza Rica'!$E$8:$E$25,"Subdirección de Exploración y Producción por Contratos y Asociaciones")+COUNTIF(Veracruz!$E$5:$E$10,"Subdirección de Exploración y Producción por Contratos y Asociaciones")+COUNTIF('Dos Bocas'!$F$8:$F$10,"Subdirección de Exploración y Producción por Contratos y Asociaciones")+COUNTIF('Cd. Carmen'!$E$8:$E$26,"Subdirección de Exploración y Producción por Contratos y Asociaciones")+COUNTIF('Cinco Presidentes'!$E$8:$E$11,"Subdirección de Exploración y Producción por Contratos y Asociaciones")+COUNTIF('Bellota Jujo'!$E$8:$E$10,"Subdirección de Exploración y Producción por Contratos y Asociaciones")+COUNTIF(Macuspana!$E$8:$E$15,"Subdirección de Exploración y Producción por Contratos y Asociaciones")+COUNTIF('Samaria Luna'!$E$8:E18,"Subdirección de Exploración y Producción por Contratos y Asociaciones")+COUNTIF(Villahermosa!$E$8:$E$12,"Subdirección de Exploración y Producción por Contratos y Asociaciones")</f>
        <v>0</v>
      </c>
      <c r="F52" s="66">
        <f>SUMIF(Altamira!$E$8:$E$12,"Subdirección de Exploración y Producción por Contratos y Asociaciones",Altamira!$M$8:$M$12)+SUMIF('Naranjos-Cerro A'!$E$8:$E$12,"Subdirección de Exploración y Producción por Contratos y Asociaciones",'Naranjos-Cerro A'!$M$8:$M$12)+SUMIF('Poza Rica'!$E$8:$E$25,"Subdirección de Exploración y Producción por Contratos y Asociaciones",'Poza Rica'!$M$8:$M$25)+SUMIF(Veracruz!$E$5:$E$8,"Subdirección de Exploración y Producción por Contratos y Asociaciones",Veracruz!$M$5:$M$8)+SUMIF('Dos Bocas'!$F$8:$F$107,"Subdirección de Exploración y Producción por Contratos y Asociaciones",'Dos Bocas'!$Q$8:$Q$107)+SUMIF('Cd. Carmen'!$E$8:$E$27,"Subdirección de Exploración y Producción por Contratos y Asociaciones",'Cd. Carmen'!$M$8:$M$27)+SUMIF('Cinco Presidentes'!$E$8:$E$11,"Subdirección de Exploración y Producción por Contratos y Asociaciones",'Cinco Presidentes'!$M$8:$M$11)+SUMIF('Bellota Jujo'!$E$8:$E$10,"Subdirección de Exploración y Producción por Contratos y Asociaciones",'Bellota Jujo'!$M$8:$M$10)+SUMIF(Macuspana!$E$8:$E$15,"Subdirección de Exploración y Producción por Contratos y Asociaciones",Macuspana!$M$8:$M$15)+SUMIF('Samaria Luna'!$E$8:$E$14,"Subdirección de Exploración y Producción por Contratos y Asociaciones",'Samaria Luna'!$M$8:$M$14)+SUMIF(Villahermosa!$E$8:$E$12,"Subdirección de Exploración y Producción por Contratos y Asociaciones",Villahermosa!$M$8:$M$12)</f>
        <v>0</v>
      </c>
      <c r="G52" s="66">
        <f>COUNTIF(Reynosa!$E$8:$E$63,"Subdirección de Exploración y Producción por Contratos y Asociaciones")+COUNTIF(Altamira!$E$13:$E$47,"Subdirección de Exploración y Producción por Contratos y Asociaciones")+COUNTIF('Naranjos-Cerro A'!$E$14:$E$36,"Subdirección de Exploración y Producción por Contratos y Asociaciones")+COUNTIF('Poza Rica'!$E$26:$E$71,"Subdirección de Exploración y Producción por Contratos y Asociaciones")+COUNTIF(Veracruz!$E$11:$E$47,"Subdirección de Exploración y Producción por Contratos y Asociaciones")+COUNTIF('Dos Bocas'!$F$108:$F$195,"Subdirección de Exploración y Producción por Contratos y Asociaciones")+COUNTIF('Cd. Carmen'!$E$27:$E$190,"Subdirección de Exploración y Producción por Contratos y Asociaciones")+COUNTIF('Cinco Presidentes'!$E$51:$E$116,"Subdirección de Exploración y Producción por Contratos y Asociaciones")+COUNTIF('Bellota Jujo'!$E$21:$E$48,"Subdirección de Exploración y Producción por Contratos y Asociaciones")+COUNTIF(Macuspana!$E$47:$E$67,"Subdirección de Exploración y Producción por Contratos y Asociaciones")+COUNTIF('Samaria Luna'!$E$17:$E$37,"Subdirección de Exploración y Producción por Contratos y Asociaciones")+COUNTIF(Villahermosa!$E$22:$E$29,"Subdirección de Exploración y Producción por Contratos y Asociaciones")</f>
        <v>0</v>
      </c>
      <c r="H52" s="66">
        <f>SUMIF(Reynosa!$E$8:$E$63,"Subdirección de Exploración y Producción por Contratos y Asociaciones",Reynosa!$M$8:$M$63)+SUMIF(Altamira!$E$13:$E$47,"Subdirección de Exploración y Producción por Contratos y Asociaciones",Altamira!$M$13:$M$47)+SUMIF('Naranjos-Cerro A'!$E$14:$E$36,"Subdirección de Exploración y Producción por Contratos y Asociaciones",'Naranjos-Cerro A'!$M$14:$M$36)+SUMIF('Poza Rica'!$E$26:$E$71,"Subdirección de Exploración y Producción por Contratos y Asociaciones",'Poza Rica'!$M$26:$M$71)+SUMIF(Veracruz!$E$11:$E$47,"Subdirección de Exploración y Producción por Contratos y Asociaciones",Veracruz!$M$11:$M$47)+SUMIF('Dos Bocas'!$F$108:$F$195,"Subdirección de Exploración y Producción por Contratos y Asociaciones",'Dos Bocas'!$Q$108:$Q$195)+SUMIF('Cd. Carmen'!$E$27:$E$190,"Subdirección de Exploración y Producción por Contratos y Asociaciones",'Cd. Carmen'!$M$27:$M$190)+SUMIF('Cinco Presidentes'!$E$51:$E$116,"Subdirección de Exploración y Producción por Contratos y Asociaciones",'Cinco Presidentes'!$M$51:$M$116)+SUMIF('Bellota Jujo'!$E$21:$E$48,"Subdirección de Exploración y Producción por Contratos y Asociaciones",'Bellota Jujo'!$M$21:$M$48)+SUMIF(Macuspana!$E$47:$E$67,"Subdirección de Exploración y Producción por Contratos y Asociaciones",Macuspana!$M$47:$M$67)+SUMIF('Samaria Luna'!$E$17:$E$37,"Subdirección de Exploración y Producción por Contratos y Asociaciones",'Samaria Luna'!$M$17:$M$37)+SUMIF(Villahermosa!$E$22:$E$29,"Subdirección de Exploración y Producción por Contratos y Asociaciones",Villahermosa!$M$22:$M$29)</f>
        <v>0</v>
      </c>
      <c r="I52" s="145">
        <f>COUNTIFS(Reynosa!$E$8:$E$63,"Subdirección de Exploración y Producción por Contratos y Asociaciones",Reynosa!$Q$8:$Q$63,"1")+COUNTIFS(Altamira!$E$13:$E$47,"Subdirección de Exploración y Producción por Contratos y Asociaciones",Altamira!$Q$13:$Q$47,"1")+COUNTIFS('Naranjos-Cerro A'!$E$14:$E$36,"Subdirección de Exploración y Producción por Contratos y Asociaciones",'Naranjos-Cerro A'!$Q$14:$Q$36,"1")+COUNTIFS('Poza Rica'!$E$26:$E$71,"Subdirección de Exploración y Producción por Contratos y Asociaciones",'Poza Rica'!$Q$26:$Q$71,"1")+COUNTIFS(Veracruz!$E$11:$E$47,"Subdirección de Exploración y Producción por Contratos y Asociaciones",Veracruz!$Q$11:$Q$47,"1")+COUNTIFS('Dos Bocas'!$F$108:$F$195,"Subdirección de Exploración y Producción por Contratos y Asociaciones",'Dos Bocas'!$U$108:$U$195,"1")+COUNTIFS('Cd. Carmen'!$E$28:$E$190,"Subdirección de Exploración y Producción por Contratos y Asociaciones",'Cd. Carmen'!$Q$28:$Q$190,"1")+COUNTIFS('Cinco Presidentes'!$E$51:$E$116,"Subdirección de Exploración y Producción por Contratos y Asociaciones",'Cinco Presidentes'!$Q$51:$Q$116,"1")+COUNTIFS('Bellota Jujo'!$E$21:$E$48,"Subdirección de Exploración y Producción por Contratos y Asociaciones",'Bellota Jujo'!$Q$21:$Q$48,"1")+COUNTIFS(Macuspana!$E$47:$E$67,"Subdirección de Exploración y Producción por Contratos y Asociaciones",Macuspana!$Q$47:$Q$67,"1")+COUNTIFS('Samaria Luna'!$E$17:$E$37,"Subdirección de Exploración y Producción por Contratos y Asociaciones",'Samaria Luna'!$Q$17:$Q$37,"1")+COUNTIFS(Villahermosa!$E$22:$E$29,"Subdirección de Exploración y Producción por Contratos y Asociaciones",Villahermosa!$Q$22:$Q$29,"1")</f>
        <v>0</v>
      </c>
      <c r="J52" s="62"/>
      <c r="K52" s="145">
        <f>COUNTIFS(Reynosa!$E$8:$E$63,"Subdirección de Exploración y Producción por Contratos y Asociaciones",Reynosa!$Q$8:$Q$63,"1",Reynosa!$R$8:$R$63,"Realizado")+COUNTIFS(Altamira!$E$13:$E$47,"Subdirección de Exploración y Producción por Contratos y Asociaciones",Altamira!$Q$13:$Q$47,"1",Altamira!$R$13:$R$47,"Realizado")+COUNTIFS('Naranjos-Cerro A'!$E$14:$E$36,"Subdirección de Exploración y Producción por Contratos y Asociaciones",'Naranjos-Cerro A'!$Q$14:$Q$36,"1",'Naranjos-Cerro A'!$R$14:$R$36,"Realizado")+COUNTIFS('Poza Rica'!$E$26:$E$71,"Subdirección de Exploración y Producción por Contratos y Asociaciones",'Poza Rica'!$Q$26:$Q$71,"1",'Poza Rica'!$R$26:$R$71,"Realizado")+COUNTIFS(Veracruz!$E$11:$E$47,"Subdirección de Exploración y Producción por Contratos y Asociaciones",Veracruz!$Q$11:$Q$47,"1",Veracruz!$R$11:$R$47,"Realizado")+COUNTIFS('Dos Bocas'!$F$108:$F$195,"Subdirección de Exploración y Producción por Contratos y Asociaciones",'Dos Bocas'!$U$108:$U$195,"1",'Dos Bocas'!$V$108:$V$195,"Realizado")+COUNTIFS('Cd. Carmen'!$E$27:$E$190,"Subdirección de Exploración y Producción por Contratos y Asociaciones",'Cd. Carmen'!$Q$27:$Q$190,"1",'Cd. Carmen'!$R$27:$R$190,"Realizado")+COUNTIFS('Cinco Presidentes'!$E$51:$E$116,"Subdirección de Exploración y Producción por Contratos y Asociaciones",'Cinco Presidentes'!$Q$51:$Q$116,"1",'Cinco Presidentes'!$R$51:$R$116,"Realizado")+COUNTIFS('Bellota Jujo'!$E$21:$E$48,"Subdirección de Exploración y Producción por Contratos y Asociaciones",'Bellota Jujo'!$Q$21:$Q$48,"1",'Bellota Jujo'!$R$21:$R$48,"Realizado")+COUNTIFS(Macuspana!$E$47:$E$67,"Subdirección de Exploración y Producción por Contratos y Asociaciones",Macuspana!$Q$47:$Q$67,"1",Macuspana!$R$47:$R$67,"Realizado")+COUNTIFS('Samaria Luna'!$E$17:$E$37,"Subdirección de Exploración y Producción por Contratos y Asociaciones",'Samaria Luna'!$Q$17:$Q$37,"1",'Samaria Luna'!$R$17:$R$37,"Realizado")+COUNTIFS(Villahermosa!$E$22:$E$29,"Subdirección de Exploración y Producción por Contratos y Asociaciones",Villahermosa!$Q$22:$Q$29,"1",Villahermosa!$R$22:$R$29,"Realizdo")</f>
        <v>0</v>
      </c>
      <c r="L52" s="62">
        <f>COUNTIF(Adicionales!$E$9:$E$86,"Subdirección de Exploración y Producción por Contratos y Asociaciones")</f>
        <v>0</v>
      </c>
      <c r="M52" s="62">
        <f t="shared" si="19"/>
        <v>0</v>
      </c>
      <c r="N52" s="62"/>
      <c r="O52" s="62">
        <f>SUMIF(Adicionales!$E$9:$E$98,"Subdirección de Exploración y Producción por Contratos y Asociaciones",Adicionales!$M$9:$M$98)</f>
        <v>0</v>
      </c>
      <c r="P52" s="62"/>
      <c r="Q52" s="63" t="str">
        <f t="shared" si="17"/>
        <v>-</v>
      </c>
      <c r="R52" s="64" t="str">
        <f>IFERROR(M52/(G52+L52), "-")</f>
        <v>-</v>
      </c>
    </row>
    <row r="53" spans="2:18" ht="16.5" thickTop="1" thickBot="1" x14ac:dyDescent="0.35">
      <c r="B53" s="57" t="s">
        <v>558</v>
      </c>
      <c r="C53" s="58"/>
      <c r="D53" s="71"/>
      <c r="E53" s="71"/>
      <c r="F53" s="71"/>
      <c r="G53" s="71">
        <f t="shared" ref="G53" si="20">C53-E53</f>
        <v>0</v>
      </c>
      <c r="H53" s="71">
        <f t="shared" ref="H53" si="21">D53-F53</f>
        <v>0</v>
      </c>
      <c r="I53" s="58"/>
      <c r="J53" s="71"/>
      <c r="K53" s="58"/>
      <c r="L53" s="58">
        <f>COUNTIF(Adicionales!$E$9:$E$86,"Subdirección de Proyectos de Exploración y Extracción")</f>
        <v>0</v>
      </c>
      <c r="M53" s="58">
        <f>K53+L53</f>
        <v>0</v>
      </c>
      <c r="N53" s="58"/>
      <c r="O53" s="58">
        <f>SUMIF(Adicionales!$E$9:$E$98,"Subdirección de Proyectos de Exploración y Extracción",Adicionales!$M$9:$M$98)</f>
        <v>0</v>
      </c>
      <c r="P53" s="58"/>
      <c r="Q53" s="60" t="str">
        <f t="shared" si="17"/>
        <v>-</v>
      </c>
      <c r="R53" s="65" t="str">
        <f>IFERROR(M53/(G53+L53), "-")</f>
        <v>-</v>
      </c>
    </row>
    <row r="54" spans="2:18" ht="15.75" thickBot="1" x14ac:dyDescent="0.35">
      <c r="B54" s="61" t="s">
        <v>559</v>
      </c>
      <c r="C54" s="62"/>
      <c r="D54" s="66"/>
      <c r="E54" s="66"/>
      <c r="F54" s="66"/>
      <c r="G54" s="66"/>
      <c r="H54" s="66"/>
      <c r="I54" s="62"/>
      <c r="J54" s="62"/>
      <c r="K54" s="145"/>
      <c r="L54" s="62">
        <f>COUNTIF(Adicionales!$E$9:$E$86,"Subdirección de Servicios de Salud")</f>
        <v>4</v>
      </c>
      <c r="M54" s="62">
        <f>K54+L54</f>
        <v>4</v>
      </c>
      <c r="N54" s="62"/>
      <c r="O54" s="62">
        <f>SUMIF(Adicionales!$E$9:$E$98,"Subdirección de Servicios de Salud",Adicionales!$M$9:$M$98)</f>
        <v>52</v>
      </c>
      <c r="P54" s="62"/>
      <c r="Q54" s="63">
        <f t="shared" si="17"/>
        <v>1</v>
      </c>
      <c r="R54" s="64">
        <f t="shared" ref="R54:R55" si="22">IFERROR(M54/(G54+L54), "-")</f>
        <v>1</v>
      </c>
    </row>
    <row r="55" spans="2:18" x14ac:dyDescent="0.3">
      <c r="B55" s="67" t="s">
        <v>560</v>
      </c>
      <c r="C55" s="67">
        <f>SUM(C43:C53)</f>
        <v>946</v>
      </c>
      <c r="D55" s="68">
        <f t="shared" ref="D55:P55" si="23">SUM(D43:D53)</f>
        <v>8696</v>
      </c>
      <c r="E55" s="67">
        <f>SUM(E43:E53)</f>
        <v>81</v>
      </c>
      <c r="F55" s="67">
        <f t="shared" si="23"/>
        <v>759</v>
      </c>
      <c r="G55" s="67">
        <f>SUM(G43:G53)</f>
        <v>673</v>
      </c>
      <c r="H55" s="68">
        <f t="shared" si="23"/>
        <v>6868</v>
      </c>
      <c r="I55" s="257">
        <f>SUM(I43:I54)</f>
        <v>673</v>
      </c>
      <c r="J55" s="257">
        <f>SUM(J43:J53)</f>
        <v>6868</v>
      </c>
      <c r="K55" s="257">
        <f>SUM(K43:K53)</f>
        <v>446</v>
      </c>
      <c r="L55" s="257">
        <f>SUM(L43:L54)</f>
        <v>80</v>
      </c>
      <c r="M55" s="257">
        <f>SUM(M43:M54)</f>
        <v>526</v>
      </c>
      <c r="N55" s="68">
        <f t="shared" si="23"/>
        <v>3362</v>
      </c>
      <c r="O55" s="257">
        <f>SUM(O43:O54)</f>
        <v>833</v>
      </c>
      <c r="P55" s="68">
        <f t="shared" si="23"/>
        <v>244</v>
      </c>
      <c r="Q55" s="69">
        <f>IFERROR(M55/(I55+L55), "-")</f>
        <v>0.69853917662682607</v>
      </c>
      <c r="R55" s="69">
        <f t="shared" si="22"/>
        <v>0.69853917662682607</v>
      </c>
    </row>
    <row r="57" spans="2:18" x14ac:dyDescent="0.3">
      <c r="G57" s="167"/>
      <c r="K57" s="29"/>
      <c r="M57" s="29"/>
      <c r="N57" s="29">
        <f t="shared" ref="N57:P57" si="24">+N15</f>
        <v>3496</v>
      </c>
      <c r="O57" s="29"/>
      <c r="P57" s="29">
        <f t="shared" si="24"/>
        <v>282</v>
      </c>
    </row>
    <row r="58" spans="2:18" x14ac:dyDescent="0.3">
      <c r="G58" s="167"/>
    </row>
    <row r="59" spans="2:18" x14ac:dyDescent="0.3">
      <c r="G59" s="167"/>
      <c r="K59" s="258"/>
      <c r="N59" s="258">
        <f>+N57-N55</f>
        <v>134</v>
      </c>
    </row>
    <row r="60" spans="2:18" x14ac:dyDescent="0.3">
      <c r="G60" s="167"/>
    </row>
    <row r="61" spans="2:18" x14ac:dyDescent="0.3">
      <c r="G61" s="167"/>
    </row>
    <row r="62" spans="2:18" x14ac:dyDescent="0.3">
      <c r="G62" s="167"/>
    </row>
    <row r="63" spans="2:18" x14ac:dyDescent="0.3">
      <c r="G63" s="167"/>
    </row>
    <row r="64" spans="2:18" x14ac:dyDescent="0.3">
      <c r="G64" s="167"/>
    </row>
    <row r="65" spans="7:7" x14ac:dyDescent="0.3">
      <c r="G65" s="167"/>
    </row>
    <row r="66" spans="7:7" x14ac:dyDescent="0.3">
      <c r="G66" s="167"/>
    </row>
    <row r="67" spans="7:7" x14ac:dyDescent="0.3">
      <c r="G67" s="167"/>
    </row>
    <row r="68" spans="7:7" x14ac:dyDescent="0.3">
      <c r="G68" s="167"/>
    </row>
    <row r="69" spans="7:7" x14ac:dyDescent="0.3">
      <c r="G69" s="167"/>
    </row>
    <row r="70" spans="7:7" x14ac:dyDescent="0.3">
      <c r="G70" s="167"/>
    </row>
    <row r="71" spans="7:7" x14ac:dyDescent="0.3">
      <c r="G71" s="167"/>
    </row>
  </sheetData>
  <mergeCells count="24">
    <mergeCell ref="I40:P40"/>
    <mergeCell ref="C41:D41"/>
    <mergeCell ref="E41:F41"/>
    <mergeCell ref="I41:K41"/>
    <mergeCell ref="L41:P41"/>
    <mergeCell ref="G41:H41"/>
    <mergeCell ref="C6:D6"/>
    <mergeCell ref="C19:D19"/>
    <mergeCell ref="C30:D30"/>
    <mergeCell ref="L6:P6"/>
    <mergeCell ref="I6:K6"/>
    <mergeCell ref="E6:F6"/>
    <mergeCell ref="E19:F19"/>
    <mergeCell ref="E30:F30"/>
    <mergeCell ref="I30:K30"/>
    <mergeCell ref="L30:P30"/>
    <mergeCell ref="G6:H6"/>
    <mergeCell ref="G19:H19"/>
    <mergeCell ref="G30:H30"/>
    <mergeCell ref="I5:P5"/>
    <mergeCell ref="I18:P18"/>
    <mergeCell ref="L19:P19"/>
    <mergeCell ref="I19:K19"/>
    <mergeCell ref="I29:P29"/>
  </mergeCells>
  <pageMargins left="0.7" right="0.7" top="0.75" bottom="0.75" header="0.3" footer="0.3"/>
  <pageSetup paperSize="9" scale="33" orientation="landscape" horizontalDpi="4294967294" verticalDpi="4294967294" r:id="rId1"/>
  <ignoredErrors>
    <ignoredError sqref="G11:H11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B778-3A54-4E28-8064-371E99F4FFB1}">
  <dimension ref="B4:C36"/>
  <sheetViews>
    <sheetView workbookViewId="0">
      <selection activeCell="G17" sqref="G17"/>
    </sheetView>
  </sheetViews>
  <sheetFormatPr baseColWidth="10" defaultColWidth="11.42578125" defaultRowHeight="15" x14ac:dyDescent="0.25"/>
  <cols>
    <col min="1" max="1" width="7.7109375" customWidth="1"/>
    <col min="2" max="2" width="46.28515625" customWidth="1"/>
    <col min="3" max="3" width="12.5703125" customWidth="1"/>
    <col min="4" max="8" width="7.140625" customWidth="1"/>
  </cols>
  <sheetData>
    <row r="4" spans="2:3" ht="15.75" thickBot="1" x14ac:dyDescent="0.3">
      <c r="B4" t="s">
        <v>522</v>
      </c>
      <c r="C4" s="1" t="s">
        <v>561</v>
      </c>
    </row>
    <row r="5" spans="2:3" x14ac:dyDescent="0.25">
      <c r="B5" s="203" t="s">
        <v>562</v>
      </c>
      <c r="C5" s="2">
        <f>COUNTIF('Dos Bocas'!$H$108:$H$195,Cursos!B5)</f>
        <v>8</v>
      </c>
    </row>
    <row r="6" spans="2:3" ht="20.25" customHeight="1" x14ac:dyDescent="0.25">
      <c r="B6" s="205" t="s">
        <v>148</v>
      </c>
      <c r="C6" s="2">
        <f>COUNTIF('Dos Bocas'!$H$108:$H$195,Cursos!B6)</f>
        <v>7</v>
      </c>
    </row>
    <row r="7" spans="2:3" x14ac:dyDescent="0.25">
      <c r="B7" s="204" t="s">
        <v>563</v>
      </c>
      <c r="C7" s="2">
        <f>COUNTIF('Dos Bocas'!$H$108:$H$195,Cursos!B7)</f>
        <v>0</v>
      </c>
    </row>
    <row r="8" spans="2:3" x14ac:dyDescent="0.25">
      <c r="B8" s="201" t="s">
        <v>564</v>
      </c>
      <c r="C8" s="2">
        <f>COUNTIF('Dos Bocas'!$H$108:$H$195,Cursos!B8)</f>
        <v>0</v>
      </c>
    </row>
    <row r="9" spans="2:3" x14ac:dyDescent="0.25">
      <c r="B9" s="201" t="s">
        <v>565</v>
      </c>
      <c r="C9" s="2">
        <f>COUNTIF('Dos Bocas'!$H$108:$H$195,Cursos!B9)</f>
        <v>0</v>
      </c>
    </row>
    <row r="10" spans="2:3" ht="33.75" customHeight="1" x14ac:dyDescent="0.25">
      <c r="B10" s="201" t="s">
        <v>566</v>
      </c>
      <c r="C10" s="2">
        <f>COUNTIF('Dos Bocas'!$H$108:$H$195,Cursos!B10)</f>
        <v>0</v>
      </c>
    </row>
    <row r="11" spans="2:3" ht="27" customHeight="1" x14ac:dyDescent="0.25">
      <c r="B11" s="201" t="s">
        <v>65</v>
      </c>
      <c r="C11" s="2">
        <f>COUNTIF('Dos Bocas'!$H$108:$H$195,Cursos!B11)</f>
        <v>13</v>
      </c>
    </row>
    <row r="12" spans="2:3" ht="26.25" thickBot="1" x14ac:dyDescent="0.3">
      <c r="B12" s="202" t="s">
        <v>567</v>
      </c>
      <c r="C12" s="2">
        <f>COUNTIF('Dos Bocas'!$H$108:$H$195,Cursos!B12)</f>
        <v>0</v>
      </c>
    </row>
    <row r="13" spans="2:3" x14ac:dyDescent="0.25">
      <c r="B13" s="200" t="s">
        <v>568</v>
      </c>
      <c r="C13" s="2">
        <f>COUNTIF('Dos Bocas'!$H$108:$H$195,Cursos!B13)</f>
        <v>0</v>
      </c>
    </row>
    <row r="14" spans="2:3" ht="25.5" x14ac:dyDescent="0.25">
      <c r="B14" s="201" t="s">
        <v>569</v>
      </c>
      <c r="C14" s="2">
        <f>COUNTIF('Dos Bocas'!$H$108:$H$195,Cursos!B14)</f>
        <v>0</v>
      </c>
    </row>
    <row r="15" spans="2:3" x14ac:dyDescent="0.25">
      <c r="B15" s="201" t="s">
        <v>570</v>
      </c>
      <c r="C15" s="2">
        <f>COUNTIF('Dos Bocas'!$H$108:$H$195,Cursos!B15)</f>
        <v>0</v>
      </c>
    </row>
    <row r="16" spans="2:3" x14ac:dyDescent="0.25">
      <c r="B16" s="201" t="s">
        <v>571</v>
      </c>
      <c r="C16" s="2">
        <f>COUNTIF('Dos Bocas'!$H$108:$H$195,Cursos!B16)</f>
        <v>6</v>
      </c>
    </row>
    <row r="17" spans="2:3" x14ac:dyDescent="0.25">
      <c r="B17" s="201" t="s">
        <v>572</v>
      </c>
      <c r="C17" s="2">
        <f>COUNTIF('Dos Bocas'!$H$108:$H$195,Cursos!B17)</f>
        <v>1</v>
      </c>
    </row>
    <row r="18" spans="2:3" ht="25.5" x14ac:dyDescent="0.25">
      <c r="B18" s="201" t="s">
        <v>573</v>
      </c>
      <c r="C18" s="2">
        <f>COUNTIF('Dos Bocas'!$H$108:$H$195,Cursos!B18)</f>
        <v>0</v>
      </c>
    </row>
    <row r="19" spans="2:3" ht="25.5" x14ac:dyDescent="0.25">
      <c r="B19" s="201" t="s">
        <v>34</v>
      </c>
      <c r="C19" s="2">
        <f>COUNTIF('Dos Bocas'!$H$108:$H$195,Cursos!B19)</f>
        <v>12</v>
      </c>
    </row>
    <row r="20" spans="2:3" x14ac:dyDescent="0.25">
      <c r="B20" s="201" t="s">
        <v>574</v>
      </c>
      <c r="C20" s="2">
        <f>COUNTIF('Dos Bocas'!$H$108:$H$195,Cursos!B20)</f>
        <v>8</v>
      </c>
    </row>
    <row r="21" spans="2:3" x14ac:dyDescent="0.25">
      <c r="B21" s="201" t="s">
        <v>575</v>
      </c>
      <c r="C21" s="2">
        <f>COUNTIF('Dos Bocas'!$H$108:$H$195,Cursos!B21)</f>
        <v>1</v>
      </c>
    </row>
    <row r="22" spans="2:3" ht="15.75" thickBot="1" x14ac:dyDescent="0.3">
      <c r="B22" s="202" t="s">
        <v>576</v>
      </c>
      <c r="C22" s="2">
        <f>COUNTIF('Dos Bocas'!$H$108:$H$195,Cursos!B22)</f>
        <v>0</v>
      </c>
    </row>
    <row r="23" spans="2:3" x14ac:dyDescent="0.25">
      <c r="B23" s="200" t="s">
        <v>577</v>
      </c>
      <c r="C23" s="2">
        <f>COUNTIF('Dos Bocas'!$H$108:$H$195,Cursos!B23)</f>
        <v>0</v>
      </c>
    </row>
    <row r="24" spans="2:3" x14ac:dyDescent="0.25">
      <c r="B24" s="201" t="s">
        <v>578</v>
      </c>
      <c r="C24" s="2">
        <f>COUNTIF('Dos Bocas'!$H$108:$H$195,Cursos!B24)</f>
        <v>0</v>
      </c>
    </row>
    <row r="25" spans="2:3" x14ac:dyDescent="0.25">
      <c r="B25" s="201" t="s">
        <v>579</v>
      </c>
      <c r="C25" s="2">
        <f>COUNTIF('Dos Bocas'!$H$108:$H$195,Cursos!B25)</f>
        <v>0</v>
      </c>
    </row>
    <row r="26" spans="2:3" x14ac:dyDescent="0.25">
      <c r="B26" s="201" t="s">
        <v>580</v>
      </c>
      <c r="C26" s="2">
        <f>COUNTIF('Dos Bocas'!$H$108:$H$195,Cursos!B26)</f>
        <v>0</v>
      </c>
    </row>
    <row r="27" spans="2:3" ht="25.5" x14ac:dyDescent="0.25">
      <c r="B27" s="201" t="s">
        <v>581</v>
      </c>
      <c r="C27" s="2">
        <f>COUNTIF('Dos Bocas'!$H$108:$H$195,Cursos!B27)</f>
        <v>6</v>
      </c>
    </row>
    <row r="28" spans="2:3" ht="26.25" thickBot="1" x14ac:dyDescent="0.3">
      <c r="B28" s="202" t="s">
        <v>582</v>
      </c>
      <c r="C28" s="2">
        <f>COUNTIF('Dos Bocas'!$H$108:$H$195,Cursos!B28)</f>
        <v>0</v>
      </c>
    </row>
    <row r="29" spans="2:3" ht="25.5" x14ac:dyDescent="0.25">
      <c r="B29" s="200" t="s">
        <v>583</v>
      </c>
      <c r="C29" s="2">
        <f>COUNTIF('Dos Bocas'!$H$108:$H$195,Cursos!B29)</f>
        <v>0</v>
      </c>
    </row>
    <row r="30" spans="2:3" ht="25.5" x14ac:dyDescent="0.25">
      <c r="B30" s="201" t="s">
        <v>584</v>
      </c>
      <c r="C30" s="2">
        <f>COUNTIF('Dos Bocas'!$H$108:$H$195,Cursos!B30)</f>
        <v>0</v>
      </c>
    </row>
    <row r="31" spans="2:3" ht="25.5" x14ac:dyDescent="0.25">
      <c r="B31" s="201" t="s">
        <v>585</v>
      </c>
      <c r="C31" s="2">
        <f>COUNTIF('Dos Bocas'!$H$108:$H$195,Cursos!B31)</f>
        <v>0</v>
      </c>
    </row>
    <row r="32" spans="2:3" x14ac:dyDescent="0.25">
      <c r="B32" s="201" t="s">
        <v>586</v>
      </c>
      <c r="C32" s="2">
        <f>COUNTIF('Dos Bocas'!$H$108:$H$195,Cursos!B32)</f>
        <v>1</v>
      </c>
    </row>
    <row r="33" spans="2:3" x14ac:dyDescent="0.25">
      <c r="B33" s="201" t="s">
        <v>587</v>
      </c>
      <c r="C33" s="2">
        <f>COUNTIF('Dos Bocas'!$H$108:$H$195,Cursos!B33)</f>
        <v>3</v>
      </c>
    </row>
    <row r="34" spans="2:3" x14ac:dyDescent="0.25">
      <c r="B34" s="201" t="s">
        <v>588</v>
      </c>
      <c r="C34" s="2">
        <f>COUNTIF('Dos Bocas'!$H$108:$H$195,Cursos!B34)</f>
        <v>0</v>
      </c>
    </row>
    <row r="35" spans="2:3" ht="15.75" thickBot="1" x14ac:dyDescent="0.3">
      <c r="B35" s="202" t="s">
        <v>589</v>
      </c>
      <c r="C35" s="2">
        <f>COUNTIF('Dos Bocas'!$H$108:$H$195,Cursos!B35)</f>
        <v>1</v>
      </c>
    </row>
    <row r="36" spans="2:3" x14ac:dyDescent="0.25">
      <c r="C36" s="1">
        <f>SUM(C5:C35)</f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28"/>
  <sheetViews>
    <sheetView workbookViewId="0">
      <selection activeCell="G26" sqref="G26"/>
    </sheetView>
  </sheetViews>
  <sheetFormatPr baseColWidth="10" defaultColWidth="11.42578125" defaultRowHeight="15" x14ac:dyDescent="0.25"/>
  <cols>
    <col min="1" max="1" width="12.5703125" customWidth="1"/>
    <col min="2" max="2" width="50.140625" customWidth="1"/>
  </cols>
  <sheetData>
    <row r="3" spans="1:3" x14ac:dyDescent="0.25">
      <c r="B3" s="72" t="s">
        <v>590</v>
      </c>
      <c r="C3" s="1" t="s">
        <v>591</v>
      </c>
    </row>
    <row r="4" spans="1:3" x14ac:dyDescent="0.25">
      <c r="A4" s="17">
        <v>24882</v>
      </c>
      <c r="B4" s="7" t="s">
        <v>34</v>
      </c>
      <c r="C4" s="18" t="s">
        <v>289</v>
      </c>
    </row>
    <row r="5" spans="1:3" x14ac:dyDescent="0.25">
      <c r="A5" s="17">
        <v>24516</v>
      </c>
      <c r="B5" s="7" t="s">
        <v>89</v>
      </c>
      <c r="C5" s="18" t="s">
        <v>104</v>
      </c>
    </row>
    <row r="6" spans="1:3" x14ac:dyDescent="0.25">
      <c r="A6" s="17">
        <v>29376</v>
      </c>
      <c r="B6" s="7" t="s">
        <v>65</v>
      </c>
      <c r="C6" s="18" t="s">
        <v>103</v>
      </c>
    </row>
    <row r="7" spans="1:3" x14ac:dyDescent="0.25">
      <c r="A7" s="17">
        <v>25320</v>
      </c>
      <c r="B7" s="7" t="s">
        <v>199</v>
      </c>
      <c r="C7" s="18" t="s">
        <v>300</v>
      </c>
    </row>
    <row r="8" spans="1:3" x14ac:dyDescent="0.25">
      <c r="A8" s="17">
        <v>24517</v>
      </c>
      <c r="B8" s="7" t="s">
        <v>89</v>
      </c>
      <c r="C8" s="18" t="s">
        <v>299</v>
      </c>
    </row>
    <row r="9" spans="1:3" x14ac:dyDescent="0.25">
      <c r="A9" s="17">
        <v>31048</v>
      </c>
      <c r="B9" s="7" t="s">
        <v>346</v>
      </c>
      <c r="C9" s="18" t="s">
        <v>299</v>
      </c>
    </row>
    <row r="10" spans="1:3" x14ac:dyDescent="0.25">
      <c r="A10" s="17">
        <v>24861</v>
      </c>
      <c r="B10" s="7" t="s">
        <v>362</v>
      </c>
      <c r="C10" s="18" t="s">
        <v>592</v>
      </c>
    </row>
    <row r="11" spans="1:3" x14ac:dyDescent="0.25">
      <c r="A11" s="17">
        <v>24739</v>
      </c>
      <c r="B11" s="7" t="s">
        <v>40</v>
      </c>
      <c r="C11" s="18" t="s">
        <v>592</v>
      </c>
    </row>
    <row r="12" spans="1:3" x14ac:dyDescent="0.25">
      <c r="A12" s="17">
        <v>24608</v>
      </c>
      <c r="B12" s="7" t="s">
        <v>317</v>
      </c>
      <c r="C12" s="18" t="s">
        <v>110</v>
      </c>
    </row>
    <row r="13" spans="1:3" x14ac:dyDescent="0.25">
      <c r="A13" s="17">
        <v>24740</v>
      </c>
      <c r="B13" s="7" t="s">
        <v>40</v>
      </c>
      <c r="C13" s="18" t="s">
        <v>306</v>
      </c>
    </row>
    <row r="14" spans="1:3" x14ac:dyDescent="0.25">
      <c r="A14" s="17">
        <v>24639</v>
      </c>
      <c r="B14" s="7" t="s">
        <v>68</v>
      </c>
      <c r="C14" s="18" t="s">
        <v>116</v>
      </c>
    </row>
    <row r="16" spans="1:3" x14ac:dyDescent="0.25">
      <c r="B16" s="129" t="s">
        <v>32</v>
      </c>
      <c r="C16" s="18" t="s">
        <v>593</v>
      </c>
    </row>
    <row r="17" spans="1:3" x14ac:dyDescent="0.25">
      <c r="A17" s="17">
        <v>21482</v>
      </c>
      <c r="B17" s="7" t="s">
        <v>34</v>
      </c>
      <c r="C17" s="18" t="s">
        <v>99</v>
      </c>
    </row>
    <row r="18" spans="1:3" x14ac:dyDescent="0.25">
      <c r="A18" s="17">
        <v>21446</v>
      </c>
      <c r="B18" s="7" t="s">
        <v>89</v>
      </c>
      <c r="C18" s="18" t="s">
        <v>101</v>
      </c>
    </row>
    <row r="19" spans="1:3" x14ac:dyDescent="0.25">
      <c r="A19" s="17">
        <v>21447</v>
      </c>
      <c r="B19" s="7" t="s">
        <v>89</v>
      </c>
      <c r="C19" s="18" t="s">
        <v>102</v>
      </c>
    </row>
    <row r="20" spans="1:3" x14ac:dyDescent="0.25">
      <c r="A20" s="17">
        <v>28026</v>
      </c>
      <c r="B20" s="7" t="s">
        <v>94</v>
      </c>
      <c r="C20" s="8" t="s">
        <v>102</v>
      </c>
    </row>
    <row r="21" spans="1:3" x14ac:dyDescent="0.25">
      <c r="A21" s="17">
        <v>22169</v>
      </c>
      <c r="B21" s="7" t="s">
        <v>62</v>
      </c>
      <c r="C21" s="18" t="s">
        <v>103</v>
      </c>
    </row>
    <row r="22" spans="1:3" x14ac:dyDescent="0.25">
      <c r="A22" s="17">
        <v>24591</v>
      </c>
      <c r="B22" s="7" t="s">
        <v>65</v>
      </c>
      <c r="C22" s="18" t="s">
        <v>104</v>
      </c>
    </row>
    <row r="23" spans="1:3" x14ac:dyDescent="0.25">
      <c r="A23" s="17">
        <v>29681</v>
      </c>
      <c r="B23" s="7" t="s">
        <v>105</v>
      </c>
      <c r="C23" s="18" t="s">
        <v>104</v>
      </c>
    </row>
    <row r="24" spans="1:3" x14ac:dyDescent="0.25">
      <c r="A24" s="17">
        <v>24916</v>
      </c>
      <c r="B24" s="7" t="s">
        <v>79</v>
      </c>
      <c r="C24" s="18" t="s">
        <v>106</v>
      </c>
    </row>
    <row r="25" spans="1:3" x14ac:dyDescent="0.25">
      <c r="A25" s="17">
        <v>27336</v>
      </c>
      <c r="B25" s="7" t="s">
        <v>40</v>
      </c>
      <c r="C25" s="8" t="s">
        <v>107</v>
      </c>
    </row>
    <row r="26" spans="1:3" x14ac:dyDescent="0.25">
      <c r="A26" s="17">
        <v>21483</v>
      </c>
      <c r="B26" s="7" t="s">
        <v>34</v>
      </c>
      <c r="C26" s="18" t="s">
        <v>108</v>
      </c>
    </row>
    <row r="27" spans="1:3" x14ac:dyDescent="0.25">
      <c r="A27" s="17">
        <v>27337</v>
      </c>
      <c r="B27" s="7" t="s">
        <v>40</v>
      </c>
      <c r="C27" s="8" t="s">
        <v>109</v>
      </c>
    </row>
    <row r="28" spans="1:3" x14ac:dyDescent="0.25">
      <c r="A28" s="17">
        <v>24592</v>
      </c>
      <c r="B28" s="7" t="s">
        <v>65</v>
      </c>
      <c r="C28" s="18" t="s">
        <v>110</v>
      </c>
    </row>
    <row r="29" spans="1:3" x14ac:dyDescent="0.25">
      <c r="A29" s="17">
        <v>25933</v>
      </c>
      <c r="B29" s="7" t="s">
        <v>68</v>
      </c>
      <c r="C29" s="8" t="s">
        <v>110</v>
      </c>
    </row>
    <row r="30" spans="1:3" x14ac:dyDescent="0.25">
      <c r="A30" s="17">
        <v>26157</v>
      </c>
      <c r="B30" s="7" t="s">
        <v>65</v>
      </c>
      <c r="C30" s="8" t="s">
        <v>113</v>
      </c>
    </row>
    <row r="31" spans="1:3" x14ac:dyDescent="0.25">
      <c r="A31" s="17">
        <v>21432</v>
      </c>
      <c r="B31" s="7" t="s">
        <v>79</v>
      </c>
      <c r="C31" s="18" t="s">
        <v>115</v>
      </c>
    </row>
    <row r="33" spans="1:3" x14ac:dyDescent="0.25">
      <c r="B33" s="129" t="s">
        <v>535</v>
      </c>
      <c r="C33" t="s">
        <v>100</v>
      </c>
    </row>
    <row r="34" spans="1:3" x14ac:dyDescent="0.25">
      <c r="A34" s="17">
        <v>29104</v>
      </c>
      <c r="B34" s="7" t="s">
        <v>89</v>
      </c>
      <c r="C34" s="8" t="s">
        <v>99</v>
      </c>
    </row>
    <row r="35" spans="1:3" x14ac:dyDescent="0.25">
      <c r="A35" s="17">
        <v>27999</v>
      </c>
      <c r="B35" s="7" t="s">
        <v>288</v>
      </c>
      <c r="C35" s="8" t="s">
        <v>99</v>
      </c>
    </row>
    <row r="36" spans="1:3" x14ac:dyDescent="0.25">
      <c r="A36" s="17">
        <v>28003</v>
      </c>
      <c r="B36" s="7" t="s">
        <v>288</v>
      </c>
      <c r="C36" s="8" t="s">
        <v>289</v>
      </c>
    </row>
    <row r="37" spans="1:3" x14ac:dyDescent="0.25">
      <c r="A37" s="17">
        <v>29101</v>
      </c>
      <c r="B37" s="7" t="s">
        <v>89</v>
      </c>
      <c r="C37" s="8" t="s">
        <v>289</v>
      </c>
    </row>
    <row r="38" spans="1:3" x14ac:dyDescent="0.25">
      <c r="A38" s="17">
        <v>30822</v>
      </c>
      <c r="B38" s="7" t="s">
        <v>89</v>
      </c>
      <c r="C38" s="8" t="s">
        <v>289</v>
      </c>
    </row>
    <row r="39" spans="1:3" x14ac:dyDescent="0.25">
      <c r="A39" s="17">
        <v>29238</v>
      </c>
      <c r="B39" s="7" t="s">
        <v>159</v>
      </c>
      <c r="C39" s="8" t="s">
        <v>292</v>
      </c>
    </row>
    <row r="40" spans="1:3" x14ac:dyDescent="0.25">
      <c r="A40" s="17">
        <v>27973</v>
      </c>
      <c r="B40" s="7" t="s">
        <v>294</v>
      </c>
      <c r="C40" s="8" t="s">
        <v>295</v>
      </c>
    </row>
    <row r="41" spans="1:3" x14ac:dyDescent="0.25">
      <c r="A41" s="17">
        <v>27974</v>
      </c>
      <c r="B41" s="7" t="s">
        <v>294</v>
      </c>
      <c r="C41" s="8" t="s">
        <v>102</v>
      </c>
    </row>
    <row r="42" spans="1:3" x14ac:dyDescent="0.25">
      <c r="A42" s="17">
        <v>29105</v>
      </c>
      <c r="B42" s="7" t="s">
        <v>89</v>
      </c>
      <c r="C42" s="8" t="s">
        <v>102</v>
      </c>
    </row>
    <row r="43" spans="1:3" x14ac:dyDescent="0.25">
      <c r="A43" s="17">
        <v>28001</v>
      </c>
      <c r="B43" s="7" t="s">
        <v>288</v>
      </c>
      <c r="C43" s="8" t="s">
        <v>102</v>
      </c>
    </row>
    <row r="44" spans="1:3" x14ac:dyDescent="0.25">
      <c r="A44" s="17">
        <v>28000</v>
      </c>
      <c r="B44" s="7" t="s">
        <v>288</v>
      </c>
      <c r="C44" s="8" t="s">
        <v>104</v>
      </c>
    </row>
    <row r="45" spans="1:3" x14ac:dyDescent="0.25">
      <c r="A45" s="17">
        <v>28002</v>
      </c>
      <c r="B45" s="7" t="s">
        <v>288</v>
      </c>
      <c r="C45" s="8" t="s">
        <v>299</v>
      </c>
    </row>
    <row r="46" spans="1:3" x14ac:dyDescent="0.25">
      <c r="A46" s="17">
        <v>25602</v>
      </c>
      <c r="B46" s="7" t="s">
        <v>62</v>
      </c>
      <c r="C46" s="8" t="s">
        <v>299</v>
      </c>
    </row>
    <row r="47" spans="1:3" x14ac:dyDescent="0.25">
      <c r="A47" s="17">
        <v>27811</v>
      </c>
      <c r="B47" s="7" t="s">
        <v>302</v>
      </c>
      <c r="C47" s="8" t="s">
        <v>107</v>
      </c>
    </row>
    <row r="48" spans="1:3" x14ac:dyDescent="0.25">
      <c r="A48" s="17">
        <v>27812</v>
      </c>
      <c r="B48" s="7" t="s">
        <v>302</v>
      </c>
      <c r="C48" s="8" t="s">
        <v>106</v>
      </c>
    </row>
    <row r="49" spans="1:3" x14ac:dyDescent="0.25">
      <c r="A49" s="17">
        <v>27813</v>
      </c>
      <c r="B49" s="7" t="s">
        <v>302</v>
      </c>
      <c r="C49" s="8" t="s">
        <v>303</v>
      </c>
    </row>
    <row r="50" spans="1:3" x14ac:dyDescent="0.25">
      <c r="A50" s="17">
        <v>29237</v>
      </c>
      <c r="B50" s="7" t="s">
        <v>159</v>
      </c>
      <c r="C50" s="8" t="s">
        <v>304</v>
      </c>
    </row>
    <row r="51" spans="1:3" x14ac:dyDescent="0.25">
      <c r="A51" s="17">
        <v>27825</v>
      </c>
      <c r="B51" s="7" t="s">
        <v>89</v>
      </c>
      <c r="C51" s="8" t="s">
        <v>304</v>
      </c>
    </row>
    <row r="52" spans="1:3" x14ac:dyDescent="0.25">
      <c r="A52" s="17">
        <v>27823</v>
      </c>
      <c r="B52" s="7" t="s">
        <v>89</v>
      </c>
      <c r="C52" s="8" t="s">
        <v>110</v>
      </c>
    </row>
    <row r="53" spans="1:3" x14ac:dyDescent="0.25">
      <c r="A53" s="17">
        <v>27824</v>
      </c>
      <c r="B53" s="7" t="s">
        <v>89</v>
      </c>
      <c r="C53" s="8" t="s">
        <v>306</v>
      </c>
    </row>
    <row r="54" spans="1:3" x14ac:dyDescent="0.25">
      <c r="A54" s="17">
        <v>23321</v>
      </c>
      <c r="B54" s="7" t="s">
        <v>71</v>
      </c>
      <c r="C54" s="8" t="s">
        <v>306</v>
      </c>
    </row>
    <row r="56" spans="1:3" x14ac:dyDescent="0.25">
      <c r="B56" s="129" t="s">
        <v>532</v>
      </c>
      <c r="C56" s="8" t="s">
        <v>100</v>
      </c>
    </row>
    <row r="57" spans="1:3" x14ac:dyDescent="0.25">
      <c r="A57" t="s">
        <v>336</v>
      </c>
    </row>
    <row r="58" spans="1:3" x14ac:dyDescent="0.25">
      <c r="A58" s="17">
        <v>21280</v>
      </c>
      <c r="B58" s="7" t="s">
        <v>34</v>
      </c>
      <c r="C58" s="8" t="s">
        <v>101</v>
      </c>
    </row>
    <row r="59" spans="1:3" x14ac:dyDescent="0.25">
      <c r="A59" s="17">
        <v>24428</v>
      </c>
      <c r="B59" s="7" t="s">
        <v>127</v>
      </c>
      <c r="C59" s="8" t="s">
        <v>99</v>
      </c>
    </row>
    <row r="60" spans="1:3" x14ac:dyDescent="0.25">
      <c r="A60" s="17">
        <v>26478</v>
      </c>
      <c r="B60" s="7" t="s">
        <v>294</v>
      </c>
      <c r="C60" s="8" t="s">
        <v>290</v>
      </c>
    </row>
    <row r="61" spans="1:3" x14ac:dyDescent="0.25">
      <c r="A61" s="17">
        <v>23243</v>
      </c>
      <c r="B61" s="7" t="s">
        <v>34</v>
      </c>
      <c r="C61" s="8" t="s">
        <v>103</v>
      </c>
    </row>
    <row r="62" spans="1:3" x14ac:dyDescent="0.25">
      <c r="A62" t="s">
        <v>367</v>
      </c>
    </row>
    <row r="63" spans="1:3" x14ac:dyDescent="0.25">
      <c r="A63" s="17">
        <v>26553</v>
      </c>
      <c r="B63" s="7" t="s">
        <v>40</v>
      </c>
      <c r="C63" s="8" t="s">
        <v>299</v>
      </c>
    </row>
    <row r="64" spans="1:3" x14ac:dyDescent="0.25">
      <c r="A64" t="s">
        <v>594</v>
      </c>
    </row>
    <row r="65" spans="1:3" x14ac:dyDescent="0.25">
      <c r="A65" s="17">
        <v>24391</v>
      </c>
      <c r="B65" s="7" t="s">
        <v>68</v>
      </c>
      <c r="C65" s="8" t="s">
        <v>99</v>
      </c>
    </row>
    <row r="66" spans="1:3" x14ac:dyDescent="0.25">
      <c r="A66" s="17">
        <v>24470</v>
      </c>
      <c r="B66" s="7" t="s">
        <v>235</v>
      </c>
      <c r="C66" s="8" t="s">
        <v>290</v>
      </c>
    </row>
    <row r="67" spans="1:3" x14ac:dyDescent="0.25">
      <c r="A67" s="17">
        <v>24433</v>
      </c>
      <c r="B67" s="7" t="s">
        <v>294</v>
      </c>
      <c r="C67" s="8" t="s">
        <v>303</v>
      </c>
    </row>
    <row r="68" spans="1:3" x14ac:dyDescent="0.25">
      <c r="A68" s="17">
        <v>23730</v>
      </c>
      <c r="B68" s="7" t="s">
        <v>40</v>
      </c>
      <c r="C68" s="8" t="s">
        <v>306</v>
      </c>
    </row>
    <row r="69" spans="1:3" x14ac:dyDescent="0.25">
      <c r="A69" s="17">
        <v>24396</v>
      </c>
      <c r="B69" s="7" t="s">
        <v>62</v>
      </c>
      <c r="C69" s="8" t="s">
        <v>306</v>
      </c>
    </row>
    <row r="70" spans="1:3" x14ac:dyDescent="0.25">
      <c r="A70" t="s">
        <v>394</v>
      </c>
    </row>
    <row r="71" spans="1:3" x14ac:dyDescent="0.25">
      <c r="A71" s="17">
        <v>25523</v>
      </c>
      <c r="B71" s="7" t="s">
        <v>279</v>
      </c>
      <c r="C71" s="8" t="s">
        <v>99</v>
      </c>
    </row>
    <row r="72" spans="1:3" x14ac:dyDescent="0.25">
      <c r="A72" s="17">
        <v>24465</v>
      </c>
      <c r="B72" s="7" t="s">
        <v>235</v>
      </c>
      <c r="C72" s="8" t="s">
        <v>102</v>
      </c>
    </row>
    <row r="73" spans="1:3" x14ac:dyDescent="0.25">
      <c r="A73" s="17">
        <v>24468</v>
      </c>
      <c r="B73" s="7" t="s">
        <v>235</v>
      </c>
      <c r="C73" s="8" t="s">
        <v>103</v>
      </c>
    </row>
    <row r="74" spans="1:3" x14ac:dyDescent="0.25">
      <c r="A74" s="17">
        <v>24399</v>
      </c>
      <c r="B74" s="7" t="s">
        <v>62</v>
      </c>
      <c r="C74" s="8" t="s">
        <v>295</v>
      </c>
    </row>
    <row r="75" spans="1:3" x14ac:dyDescent="0.25">
      <c r="A75" s="17">
        <v>24380</v>
      </c>
      <c r="B75" s="7" t="s">
        <v>89</v>
      </c>
      <c r="C75" s="8" t="s">
        <v>104</v>
      </c>
    </row>
    <row r="76" spans="1:3" x14ac:dyDescent="0.25">
      <c r="A76" s="17">
        <v>23731</v>
      </c>
      <c r="B76" s="7" t="s">
        <v>40</v>
      </c>
      <c r="C76" s="8" t="s">
        <v>299</v>
      </c>
    </row>
    <row r="77" spans="1:3" x14ac:dyDescent="0.25">
      <c r="A77" s="17">
        <v>25522</v>
      </c>
      <c r="B77" s="7" t="s">
        <v>279</v>
      </c>
      <c r="C77" s="8" t="s">
        <v>108</v>
      </c>
    </row>
    <row r="78" spans="1:3" x14ac:dyDescent="0.25">
      <c r="A78" s="17">
        <v>24390</v>
      </c>
      <c r="B78" s="7" t="s">
        <v>68</v>
      </c>
      <c r="C78" s="8" t="s">
        <v>108</v>
      </c>
    </row>
    <row r="79" spans="1:3" x14ac:dyDescent="0.25">
      <c r="A79" s="17">
        <v>21357</v>
      </c>
      <c r="B79" s="7" t="s">
        <v>331</v>
      </c>
      <c r="C79" s="8" t="s">
        <v>108</v>
      </c>
    </row>
    <row r="80" spans="1:3" x14ac:dyDescent="0.25">
      <c r="A80" s="17">
        <v>25125</v>
      </c>
      <c r="B80" s="7" t="s">
        <v>89</v>
      </c>
      <c r="C80" s="8" t="s">
        <v>305</v>
      </c>
    </row>
    <row r="81" spans="1:3" x14ac:dyDescent="0.25">
      <c r="A81" s="17">
        <v>24394</v>
      </c>
      <c r="B81" s="7" t="s">
        <v>68</v>
      </c>
      <c r="C81" s="8" t="s">
        <v>110</v>
      </c>
    </row>
    <row r="82" spans="1:3" x14ac:dyDescent="0.25">
      <c r="A82" t="s">
        <v>419</v>
      </c>
    </row>
    <row r="83" spans="1:3" x14ac:dyDescent="0.25">
      <c r="A83" s="17">
        <v>25005</v>
      </c>
      <c r="B83" s="7" t="s">
        <v>264</v>
      </c>
      <c r="C83" s="8" t="s">
        <v>99</v>
      </c>
    </row>
    <row r="84" spans="1:3" x14ac:dyDescent="0.25">
      <c r="A84" s="17">
        <v>25004</v>
      </c>
      <c r="B84" s="7" t="s">
        <v>264</v>
      </c>
      <c r="C84" s="8" t="s">
        <v>101</v>
      </c>
    </row>
    <row r="85" spans="1:3" x14ac:dyDescent="0.25">
      <c r="A85" s="17">
        <v>25007</v>
      </c>
      <c r="B85" s="7" t="s">
        <v>34</v>
      </c>
      <c r="C85" s="8" t="s">
        <v>289</v>
      </c>
    </row>
    <row r="86" spans="1:3" x14ac:dyDescent="0.25">
      <c r="A86" s="17">
        <v>23336</v>
      </c>
      <c r="B86" s="7" t="s">
        <v>84</v>
      </c>
      <c r="C86" s="8" t="s">
        <v>295</v>
      </c>
    </row>
    <row r="87" spans="1:3" x14ac:dyDescent="0.25">
      <c r="A87" s="17">
        <v>23335</v>
      </c>
      <c r="B87" s="7" t="s">
        <v>84</v>
      </c>
      <c r="C87" s="8" t="s">
        <v>299</v>
      </c>
    </row>
    <row r="88" spans="1:3" x14ac:dyDescent="0.25">
      <c r="A88" s="17">
        <v>24441</v>
      </c>
      <c r="B88" s="7" t="s">
        <v>84</v>
      </c>
      <c r="C88" s="8" t="s">
        <v>299</v>
      </c>
    </row>
    <row r="89" spans="1:3" x14ac:dyDescent="0.25">
      <c r="A89" s="17">
        <v>24352</v>
      </c>
      <c r="B89" s="7" t="s">
        <v>223</v>
      </c>
      <c r="C89" s="8" t="s">
        <v>107</v>
      </c>
    </row>
    <row r="90" spans="1:3" x14ac:dyDescent="0.25">
      <c r="A90" s="17">
        <v>24379</v>
      </c>
      <c r="B90" s="7" t="s">
        <v>89</v>
      </c>
      <c r="C90" s="8" t="s">
        <v>303</v>
      </c>
    </row>
    <row r="92" spans="1:3" x14ac:dyDescent="0.25">
      <c r="B92" s="129" t="s">
        <v>533</v>
      </c>
    </row>
    <row r="93" spans="1:3" x14ac:dyDescent="0.25">
      <c r="A93" t="s">
        <v>595</v>
      </c>
      <c r="C93" s="8" t="s">
        <v>100</v>
      </c>
    </row>
    <row r="94" spans="1:3" x14ac:dyDescent="0.25">
      <c r="A94" s="17">
        <v>23393</v>
      </c>
      <c r="B94" s="7" t="s">
        <v>148</v>
      </c>
      <c r="C94" s="8" t="s">
        <v>289</v>
      </c>
    </row>
    <row r="95" spans="1:3" x14ac:dyDescent="0.25">
      <c r="A95" s="17">
        <v>25408</v>
      </c>
      <c r="B95" s="7" t="s">
        <v>89</v>
      </c>
      <c r="C95" s="8" t="s">
        <v>289</v>
      </c>
    </row>
    <row r="96" spans="1:3" x14ac:dyDescent="0.25">
      <c r="A96" s="17">
        <v>23389</v>
      </c>
      <c r="B96" s="7" t="s">
        <v>148</v>
      </c>
      <c r="C96" s="8" t="s">
        <v>104</v>
      </c>
    </row>
    <row r="97" spans="1:3" x14ac:dyDescent="0.25">
      <c r="A97" s="17">
        <v>21765</v>
      </c>
      <c r="B97" s="7" t="s">
        <v>68</v>
      </c>
      <c r="C97" s="8" t="s">
        <v>103</v>
      </c>
    </row>
    <row r="98" spans="1:3" x14ac:dyDescent="0.25">
      <c r="A98" s="17">
        <v>23385</v>
      </c>
      <c r="B98" s="7" t="s">
        <v>148</v>
      </c>
      <c r="C98" s="8" t="s">
        <v>107</v>
      </c>
    </row>
    <row r="99" spans="1:3" x14ac:dyDescent="0.25">
      <c r="A99" t="s">
        <v>596</v>
      </c>
    </row>
    <row r="100" spans="1:3" x14ac:dyDescent="0.25">
      <c r="A100" s="17">
        <v>23557</v>
      </c>
      <c r="B100" s="7" t="s">
        <v>40</v>
      </c>
      <c r="C100" s="8" t="s">
        <v>99</v>
      </c>
    </row>
    <row r="101" spans="1:3" x14ac:dyDescent="0.25">
      <c r="A101" s="17">
        <v>22019</v>
      </c>
      <c r="B101" s="7" t="s">
        <v>199</v>
      </c>
      <c r="C101" s="8" t="s">
        <v>295</v>
      </c>
    </row>
    <row r="102" spans="1:3" x14ac:dyDescent="0.25">
      <c r="A102" s="17">
        <v>23556</v>
      </c>
      <c r="B102" s="7" t="s">
        <v>40</v>
      </c>
      <c r="C102" s="8" t="s">
        <v>295</v>
      </c>
    </row>
    <row r="103" spans="1:3" x14ac:dyDescent="0.25">
      <c r="A103" s="17">
        <v>25392</v>
      </c>
      <c r="B103" s="7" t="s">
        <v>127</v>
      </c>
      <c r="C103" s="8" t="s">
        <v>104</v>
      </c>
    </row>
    <row r="104" spans="1:3" x14ac:dyDescent="0.25">
      <c r="A104" s="17">
        <v>23558</v>
      </c>
      <c r="B104" s="7" t="s">
        <v>40</v>
      </c>
      <c r="C104" s="8" t="s">
        <v>299</v>
      </c>
    </row>
    <row r="105" spans="1:3" x14ac:dyDescent="0.25">
      <c r="A105" s="17">
        <v>27736</v>
      </c>
      <c r="B105" s="7" t="s">
        <v>89</v>
      </c>
      <c r="C105" s="8" t="s">
        <v>106</v>
      </c>
    </row>
    <row r="106" spans="1:3" x14ac:dyDescent="0.25">
      <c r="A106" s="17">
        <v>22090</v>
      </c>
      <c r="B106" s="7" t="s">
        <v>40</v>
      </c>
      <c r="C106" s="8" t="s">
        <v>108</v>
      </c>
    </row>
    <row r="107" spans="1:3" x14ac:dyDescent="0.25">
      <c r="A107" t="s">
        <v>459</v>
      </c>
    </row>
    <row r="108" spans="1:3" x14ac:dyDescent="0.25">
      <c r="A108" s="17">
        <v>24793</v>
      </c>
      <c r="B108" s="7" t="s">
        <v>346</v>
      </c>
      <c r="C108" s="8" t="s">
        <v>289</v>
      </c>
    </row>
    <row r="109" spans="1:3" x14ac:dyDescent="0.25">
      <c r="A109" s="17">
        <v>24792</v>
      </c>
      <c r="B109" s="7" t="s">
        <v>346</v>
      </c>
      <c r="C109" s="8" t="s">
        <v>295</v>
      </c>
    </row>
    <row r="110" spans="1:3" x14ac:dyDescent="0.25">
      <c r="A110" s="17">
        <v>23749</v>
      </c>
      <c r="B110" s="7" t="s">
        <v>317</v>
      </c>
      <c r="C110" s="8" t="s">
        <v>104</v>
      </c>
    </row>
    <row r="111" spans="1:3" x14ac:dyDescent="0.25">
      <c r="A111" s="17">
        <v>26244</v>
      </c>
      <c r="B111" s="7" t="s">
        <v>89</v>
      </c>
      <c r="C111" s="8" t="s">
        <v>299</v>
      </c>
    </row>
    <row r="112" spans="1:3" x14ac:dyDescent="0.25">
      <c r="A112" s="17">
        <v>23750</v>
      </c>
      <c r="B112" s="7" t="s">
        <v>317</v>
      </c>
      <c r="C112" s="8" t="s">
        <v>299</v>
      </c>
    </row>
    <row r="113" spans="1:3" x14ac:dyDescent="0.25">
      <c r="A113" s="17">
        <v>24348</v>
      </c>
      <c r="B113" s="7" t="s">
        <v>62</v>
      </c>
      <c r="C113" s="8" t="s">
        <v>107</v>
      </c>
    </row>
    <row r="114" spans="1:3" x14ac:dyDescent="0.25">
      <c r="A114" s="17">
        <v>26320</v>
      </c>
      <c r="B114" s="7" t="s">
        <v>159</v>
      </c>
      <c r="C114" s="8" t="s">
        <v>108</v>
      </c>
    </row>
    <row r="115" spans="1:3" x14ac:dyDescent="0.25">
      <c r="A115" s="17">
        <v>25607</v>
      </c>
      <c r="B115" s="7" t="s">
        <v>84</v>
      </c>
      <c r="C115" s="8" t="s">
        <v>304</v>
      </c>
    </row>
    <row r="116" spans="1:3" x14ac:dyDescent="0.25">
      <c r="A116" s="17">
        <v>23231</v>
      </c>
      <c r="B116" s="7" t="s">
        <v>294</v>
      </c>
      <c r="C116" s="8" t="s">
        <v>304</v>
      </c>
    </row>
    <row r="117" spans="1:3" x14ac:dyDescent="0.25">
      <c r="A117" s="17">
        <v>25413</v>
      </c>
      <c r="B117" s="7" t="s">
        <v>89</v>
      </c>
      <c r="C117" s="8" t="s">
        <v>306</v>
      </c>
    </row>
    <row r="118" spans="1:3" x14ac:dyDescent="0.25">
      <c r="A118" t="s">
        <v>546</v>
      </c>
    </row>
    <row r="119" spans="1:3" x14ac:dyDescent="0.25">
      <c r="A119" s="17">
        <v>28192</v>
      </c>
      <c r="B119" s="7" t="s">
        <v>279</v>
      </c>
      <c r="C119" s="8" t="s">
        <v>289</v>
      </c>
    </row>
    <row r="120" spans="1:3" x14ac:dyDescent="0.25">
      <c r="A120" s="17">
        <v>24079</v>
      </c>
      <c r="B120" s="7" t="s">
        <v>159</v>
      </c>
      <c r="C120" s="8" t="s">
        <v>295</v>
      </c>
    </row>
    <row r="121" spans="1:3" x14ac:dyDescent="0.25">
      <c r="A121" s="17">
        <v>24067</v>
      </c>
      <c r="B121" s="7" t="s">
        <v>68</v>
      </c>
      <c r="C121" s="8" t="s">
        <v>306</v>
      </c>
    </row>
    <row r="122" spans="1:3" x14ac:dyDescent="0.25">
      <c r="A122" t="s">
        <v>547</v>
      </c>
    </row>
    <row r="123" spans="1:3" x14ac:dyDescent="0.25">
      <c r="A123" s="17">
        <v>21033</v>
      </c>
      <c r="B123" s="7" t="s">
        <v>331</v>
      </c>
      <c r="C123" s="8" t="s">
        <v>295</v>
      </c>
    </row>
    <row r="124" spans="1:3" x14ac:dyDescent="0.25">
      <c r="A124" s="17">
        <v>25264</v>
      </c>
      <c r="B124" s="7" t="s">
        <v>71</v>
      </c>
      <c r="C124" s="8" t="s">
        <v>299</v>
      </c>
    </row>
    <row r="125" spans="1:3" x14ac:dyDescent="0.25">
      <c r="A125" s="17">
        <v>20996</v>
      </c>
      <c r="B125" s="7" t="s">
        <v>71</v>
      </c>
      <c r="C125" s="8" t="s">
        <v>299</v>
      </c>
    </row>
    <row r="126" spans="1:3" x14ac:dyDescent="0.25">
      <c r="A126" s="17">
        <v>25270</v>
      </c>
      <c r="B126" s="7" t="s">
        <v>171</v>
      </c>
      <c r="C126" s="8" t="s">
        <v>108</v>
      </c>
    </row>
    <row r="127" spans="1:3" x14ac:dyDescent="0.25">
      <c r="A127" s="17">
        <v>23904</v>
      </c>
      <c r="B127" s="7" t="s">
        <v>127</v>
      </c>
      <c r="C127" s="8" t="s">
        <v>108</v>
      </c>
    </row>
    <row r="128" spans="1:3" x14ac:dyDescent="0.25">
      <c r="A128" s="17">
        <v>26476</v>
      </c>
      <c r="B128" s="7" t="s">
        <v>390</v>
      </c>
      <c r="C128" s="8" t="s">
        <v>113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9"/>
  <sheetViews>
    <sheetView topLeftCell="E1" zoomScale="90" zoomScaleNormal="90" workbookViewId="0">
      <selection activeCell="G12" sqref="G12"/>
    </sheetView>
  </sheetViews>
  <sheetFormatPr baseColWidth="10" defaultColWidth="11.42578125" defaultRowHeight="13.5" x14ac:dyDescent="0.25"/>
  <cols>
    <col min="1" max="1" width="6.5703125" style="73" customWidth="1"/>
    <col min="2" max="2" width="11.140625" style="74" customWidth="1"/>
    <col min="3" max="3" width="12.28515625" style="74" customWidth="1"/>
    <col min="4" max="4" width="19" style="74" customWidth="1"/>
    <col min="5" max="5" width="66.7109375" style="74" customWidth="1"/>
    <col min="6" max="6" width="32" style="74" customWidth="1"/>
    <col min="7" max="7" width="48" style="74" customWidth="1"/>
    <col min="8" max="8" width="12.5703125" style="73" customWidth="1"/>
    <col min="9" max="9" width="10.28515625" style="76" customWidth="1"/>
    <col min="10" max="10" width="25.140625" style="74" customWidth="1"/>
    <col min="11" max="11" width="9.42578125" style="73" customWidth="1"/>
    <col min="12" max="12" width="8.5703125" style="73" customWidth="1"/>
    <col min="13" max="15" width="11.42578125" style="73"/>
    <col min="16" max="16" width="41.140625" style="74" customWidth="1"/>
    <col min="17" max="16384" width="11.42578125" style="74"/>
  </cols>
  <sheetData>
    <row r="1" spans="1:16" ht="14.25" customHeight="1" x14ac:dyDescent="0.25">
      <c r="B1" s="73"/>
      <c r="C1" s="73"/>
      <c r="F1" s="75" t="s">
        <v>522</v>
      </c>
      <c r="G1" s="75" t="s">
        <v>523</v>
      </c>
      <c r="J1" s="73"/>
      <c r="K1" s="76"/>
      <c r="L1" s="76"/>
      <c r="M1" s="76"/>
      <c r="O1" s="92"/>
    </row>
    <row r="2" spans="1:16" x14ac:dyDescent="0.25">
      <c r="B2" s="73"/>
      <c r="C2" s="73"/>
      <c r="D2" s="78"/>
      <c r="E2" s="77" t="s">
        <v>497</v>
      </c>
      <c r="F2" s="73">
        <f>COUNTIF(D9:D86,E2)</f>
        <v>23</v>
      </c>
      <c r="G2" s="73">
        <f>SUMIF(D9:D74,E2,M9:M86)</f>
        <v>284</v>
      </c>
      <c r="H2" s="79"/>
      <c r="I2" s="91"/>
      <c r="J2" s="80"/>
      <c r="K2" s="76"/>
      <c r="L2" s="76"/>
      <c r="M2" s="76"/>
      <c r="O2" s="81"/>
    </row>
    <row r="3" spans="1:16" x14ac:dyDescent="0.25">
      <c r="B3" s="73"/>
      <c r="C3" s="73"/>
      <c r="D3" s="82"/>
      <c r="E3" s="94" t="s">
        <v>32</v>
      </c>
      <c r="F3" s="73">
        <f>COUNTIF(D9:D86,E3)</f>
        <v>38</v>
      </c>
      <c r="G3" s="73">
        <f>SUMIF(D9:D86,E3,M9:M86)</f>
        <v>398</v>
      </c>
      <c r="I3" s="91"/>
      <c r="J3" s="80"/>
      <c r="K3" s="76"/>
      <c r="L3" s="76"/>
      <c r="M3" s="76"/>
      <c r="O3" s="81"/>
    </row>
    <row r="4" spans="1:16" x14ac:dyDescent="0.25">
      <c r="B4" s="73"/>
      <c r="C4" s="73"/>
      <c r="D4" s="78"/>
      <c r="E4" s="94" t="s">
        <v>533</v>
      </c>
      <c r="F4" s="73">
        <f>COUNTIF(D9:D109,E4)</f>
        <v>34</v>
      </c>
      <c r="G4" s="73">
        <f ca="1">SUMIF(D9:D109,E4,M9:M86)</f>
        <v>310</v>
      </c>
      <c r="I4" s="91"/>
      <c r="J4" s="80"/>
      <c r="K4" s="76"/>
      <c r="L4" s="76"/>
      <c r="M4" s="76"/>
      <c r="O4" s="81"/>
    </row>
    <row r="5" spans="1:16" x14ac:dyDescent="0.25">
      <c r="B5" s="73"/>
      <c r="C5" s="73"/>
      <c r="D5" s="78"/>
      <c r="E5" s="94" t="s">
        <v>532</v>
      </c>
      <c r="F5" s="73">
        <f>COUNTIF(D9:D86,E5)</f>
        <v>5</v>
      </c>
      <c r="G5" s="73">
        <f>SUMIF(D9:D77,E5,M9:M86)</f>
        <v>42</v>
      </c>
      <c r="I5" s="91"/>
      <c r="J5" s="80"/>
      <c r="K5" s="76"/>
      <c r="L5" s="76"/>
      <c r="M5" s="76"/>
      <c r="O5" s="81"/>
    </row>
    <row r="6" spans="1:16" x14ac:dyDescent="0.25">
      <c r="B6" s="73"/>
      <c r="C6" s="73"/>
      <c r="D6" s="78"/>
      <c r="E6" s="94" t="s">
        <v>597</v>
      </c>
      <c r="F6" s="73">
        <f>COUNTIF(D9:D86,E6)</f>
        <v>1</v>
      </c>
      <c r="G6" s="73">
        <f>SUMIF(D9:D86,E6,M9:M86)</f>
        <v>5</v>
      </c>
      <c r="I6" s="91"/>
      <c r="J6" s="80"/>
      <c r="K6" s="76"/>
      <c r="L6" s="76"/>
      <c r="M6" s="76"/>
      <c r="O6" s="81"/>
    </row>
    <row r="7" spans="1:16" x14ac:dyDescent="0.25">
      <c r="B7" s="73"/>
      <c r="C7" s="73"/>
      <c r="J7" s="73"/>
      <c r="K7" s="76"/>
      <c r="L7" s="76"/>
      <c r="M7" s="76"/>
      <c r="O7" s="81"/>
    </row>
    <row r="8" spans="1:16" s="86" customFormat="1" ht="27" x14ac:dyDescent="0.25">
      <c r="A8" s="83" t="s">
        <v>20</v>
      </c>
      <c r="B8" s="83" t="s">
        <v>21</v>
      </c>
      <c r="C8" s="83"/>
      <c r="D8" s="83" t="s">
        <v>598</v>
      </c>
      <c r="E8" s="83" t="s">
        <v>23</v>
      </c>
      <c r="F8" s="83" t="s">
        <v>24</v>
      </c>
      <c r="G8" s="83" t="s">
        <v>25</v>
      </c>
      <c r="H8" s="84" t="s">
        <v>26</v>
      </c>
      <c r="I8" s="83" t="s">
        <v>27</v>
      </c>
      <c r="J8" s="83" t="s">
        <v>28</v>
      </c>
      <c r="K8" s="84" t="s">
        <v>29</v>
      </c>
      <c r="L8" s="83" t="s">
        <v>30</v>
      </c>
      <c r="M8" s="84" t="s">
        <v>31</v>
      </c>
      <c r="N8" s="84" t="s">
        <v>0</v>
      </c>
      <c r="O8" s="85" t="s">
        <v>19</v>
      </c>
      <c r="P8" s="84" t="s">
        <v>599</v>
      </c>
    </row>
    <row r="9" spans="1:16" x14ac:dyDescent="0.25">
      <c r="A9" s="73">
        <v>1</v>
      </c>
      <c r="B9" s="87">
        <v>50607931</v>
      </c>
      <c r="C9" s="87"/>
      <c r="D9" s="74" t="s">
        <v>497</v>
      </c>
      <c r="E9" s="74" t="s">
        <v>600</v>
      </c>
      <c r="F9" s="74" t="s">
        <v>601</v>
      </c>
      <c r="G9" s="74" t="s">
        <v>602</v>
      </c>
      <c r="H9" s="73" t="s">
        <v>603</v>
      </c>
      <c r="I9" s="76">
        <v>245435</v>
      </c>
      <c r="J9" s="74" t="s">
        <v>485</v>
      </c>
      <c r="K9" s="73">
        <v>24</v>
      </c>
      <c r="L9" s="73">
        <v>3</v>
      </c>
      <c r="M9" s="73">
        <v>13</v>
      </c>
      <c r="N9" s="81">
        <v>44257</v>
      </c>
      <c r="O9" s="81">
        <v>44259</v>
      </c>
    </row>
    <row r="10" spans="1:16" x14ac:dyDescent="0.25">
      <c r="A10" s="73">
        <v>2</v>
      </c>
      <c r="B10" s="87">
        <v>50614487</v>
      </c>
      <c r="C10" s="87"/>
      <c r="D10" s="74" t="s">
        <v>497</v>
      </c>
      <c r="E10" s="74" t="s">
        <v>600</v>
      </c>
      <c r="F10" s="74" t="s">
        <v>601</v>
      </c>
      <c r="G10" s="74" t="s">
        <v>602</v>
      </c>
      <c r="H10" s="73" t="s">
        <v>603</v>
      </c>
      <c r="I10" s="76">
        <v>245435</v>
      </c>
      <c r="J10" s="74" t="s">
        <v>485</v>
      </c>
      <c r="K10" s="73">
        <v>24</v>
      </c>
      <c r="L10" s="73">
        <v>3</v>
      </c>
      <c r="M10" s="73">
        <v>13</v>
      </c>
      <c r="N10" s="81">
        <v>44271</v>
      </c>
      <c r="O10" s="81">
        <v>44273</v>
      </c>
    </row>
    <row r="11" spans="1:16" x14ac:dyDescent="0.25">
      <c r="A11" s="73">
        <v>3</v>
      </c>
      <c r="B11" s="87">
        <v>50608247</v>
      </c>
      <c r="C11" s="87"/>
      <c r="D11" s="74" t="s">
        <v>497</v>
      </c>
      <c r="E11" s="74" t="s">
        <v>7</v>
      </c>
      <c r="F11" s="74" t="s">
        <v>491</v>
      </c>
      <c r="G11" s="74" t="s">
        <v>602</v>
      </c>
      <c r="H11" s="73" t="s">
        <v>603</v>
      </c>
      <c r="I11" s="76">
        <v>245435</v>
      </c>
      <c r="J11" s="74" t="s">
        <v>485</v>
      </c>
      <c r="K11" s="73">
        <v>24</v>
      </c>
      <c r="L11" s="73">
        <v>3</v>
      </c>
      <c r="M11" s="73">
        <v>8</v>
      </c>
      <c r="N11" s="81">
        <v>44278</v>
      </c>
      <c r="O11" s="81">
        <v>44280</v>
      </c>
    </row>
    <row r="12" spans="1:16" x14ac:dyDescent="0.25">
      <c r="A12" s="73">
        <v>4</v>
      </c>
      <c r="B12" s="95"/>
      <c r="C12" s="87"/>
      <c r="D12" s="74" t="s">
        <v>32</v>
      </c>
      <c r="E12" s="74" t="s">
        <v>13</v>
      </c>
      <c r="F12" s="7" t="s">
        <v>604</v>
      </c>
      <c r="G12" s="74" t="s">
        <v>605</v>
      </c>
      <c r="H12" s="73" t="s">
        <v>606</v>
      </c>
      <c r="I12" s="76">
        <v>497025</v>
      </c>
      <c r="J12" s="7" t="s">
        <v>607</v>
      </c>
      <c r="K12" s="96">
        <v>8</v>
      </c>
      <c r="L12" s="96">
        <v>2</v>
      </c>
      <c r="M12" s="96">
        <v>13</v>
      </c>
      <c r="N12" s="18">
        <v>44309</v>
      </c>
      <c r="O12" s="18">
        <v>44310</v>
      </c>
      <c r="P12" s="74" t="s">
        <v>608</v>
      </c>
    </row>
    <row r="13" spans="1:16" x14ac:dyDescent="0.25">
      <c r="A13" s="73">
        <v>5</v>
      </c>
      <c r="B13" s="73">
        <v>50615599</v>
      </c>
      <c r="C13" s="87"/>
      <c r="D13" s="74" t="s">
        <v>497</v>
      </c>
      <c r="E13" s="74" t="s">
        <v>6</v>
      </c>
      <c r="F13" s="74" t="s">
        <v>609</v>
      </c>
      <c r="G13" s="74" t="s">
        <v>605</v>
      </c>
      <c r="H13" s="73" t="s">
        <v>603</v>
      </c>
      <c r="K13" s="73">
        <v>8</v>
      </c>
      <c r="L13" s="73">
        <v>1</v>
      </c>
      <c r="M13" s="73">
        <v>10</v>
      </c>
      <c r="N13" s="81">
        <v>44329</v>
      </c>
      <c r="O13" s="81">
        <v>44329</v>
      </c>
    </row>
    <row r="14" spans="1:16" x14ac:dyDescent="0.25">
      <c r="A14" s="73">
        <v>6</v>
      </c>
      <c r="B14" s="73">
        <v>50609904</v>
      </c>
      <c r="C14" s="87"/>
      <c r="D14" s="74" t="s">
        <v>497</v>
      </c>
      <c r="E14" s="74" t="s">
        <v>14</v>
      </c>
      <c r="F14" s="74" t="s">
        <v>610</v>
      </c>
      <c r="G14" s="74" t="s">
        <v>602</v>
      </c>
      <c r="H14" s="73" t="s">
        <v>603</v>
      </c>
      <c r="K14" s="73">
        <v>24</v>
      </c>
      <c r="L14" s="73">
        <v>3</v>
      </c>
      <c r="M14" s="73">
        <v>14</v>
      </c>
      <c r="N14" s="81">
        <v>44329</v>
      </c>
      <c r="O14" s="81">
        <v>44331</v>
      </c>
    </row>
    <row r="15" spans="1:16" x14ac:dyDescent="0.25">
      <c r="A15" s="73">
        <v>7</v>
      </c>
      <c r="B15" s="73">
        <v>50615628</v>
      </c>
      <c r="C15" s="87"/>
      <c r="D15" s="74" t="s">
        <v>497</v>
      </c>
      <c r="E15" s="74" t="s">
        <v>6</v>
      </c>
      <c r="F15" s="74" t="s">
        <v>609</v>
      </c>
      <c r="G15" s="74" t="s">
        <v>605</v>
      </c>
      <c r="H15" s="73" t="s">
        <v>603</v>
      </c>
      <c r="K15" s="73">
        <v>8</v>
      </c>
      <c r="L15" s="73">
        <v>1</v>
      </c>
      <c r="M15" s="73">
        <v>9</v>
      </c>
      <c r="N15" s="81">
        <v>44330</v>
      </c>
      <c r="O15" s="81">
        <v>44330</v>
      </c>
    </row>
    <row r="16" spans="1:16" x14ac:dyDescent="0.25">
      <c r="A16" s="73">
        <v>8</v>
      </c>
      <c r="B16" s="73">
        <v>50611089</v>
      </c>
      <c r="C16" s="87" t="s">
        <v>611</v>
      </c>
      <c r="D16" s="74" t="s">
        <v>597</v>
      </c>
      <c r="E16" s="165" t="s">
        <v>14</v>
      </c>
      <c r="F16" s="166" t="s">
        <v>612</v>
      </c>
      <c r="G16" s="165" t="s">
        <v>89</v>
      </c>
      <c r="H16" s="73" t="s">
        <v>603</v>
      </c>
      <c r="I16" s="76">
        <v>318824</v>
      </c>
      <c r="J16" s="7" t="s">
        <v>287</v>
      </c>
      <c r="K16" s="73">
        <v>16</v>
      </c>
      <c r="L16" s="73">
        <v>2</v>
      </c>
      <c r="M16" s="73">
        <v>5</v>
      </c>
      <c r="N16" s="81" t="s">
        <v>613</v>
      </c>
      <c r="O16" s="81">
        <v>44323</v>
      </c>
    </row>
    <row r="17" spans="1:16" x14ac:dyDescent="0.25">
      <c r="A17" s="73">
        <v>11</v>
      </c>
      <c r="B17" s="95"/>
      <c r="C17" s="87" t="s">
        <v>547</v>
      </c>
      <c r="D17" s="74" t="s">
        <v>533</v>
      </c>
      <c r="E17" s="7" t="s">
        <v>12</v>
      </c>
      <c r="F17" s="74" t="s">
        <v>614</v>
      </c>
      <c r="G17" s="74" t="s">
        <v>401</v>
      </c>
      <c r="H17" s="73" t="s">
        <v>606</v>
      </c>
      <c r="J17" s="74" t="s">
        <v>484</v>
      </c>
      <c r="K17" s="73">
        <v>9</v>
      </c>
      <c r="L17" s="73">
        <v>3</v>
      </c>
      <c r="M17" s="73">
        <v>14</v>
      </c>
      <c r="N17" s="18">
        <v>44320</v>
      </c>
      <c r="O17" s="18">
        <v>44323</v>
      </c>
    </row>
    <row r="18" spans="1:16" x14ac:dyDescent="0.25">
      <c r="A18" s="73">
        <v>12</v>
      </c>
      <c r="B18" s="73">
        <v>50616715</v>
      </c>
      <c r="C18" s="87"/>
      <c r="D18" s="74" t="s">
        <v>32</v>
      </c>
      <c r="E18" s="7" t="s">
        <v>6</v>
      </c>
      <c r="F18" s="7" t="s">
        <v>33</v>
      </c>
      <c r="G18" s="74" t="s">
        <v>615</v>
      </c>
      <c r="H18" s="73" t="s">
        <v>603</v>
      </c>
      <c r="I18" s="76">
        <v>354951</v>
      </c>
      <c r="J18" s="74" t="s">
        <v>63</v>
      </c>
      <c r="K18" s="73">
        <v>8</v>
      </c>
      <c r="L18" s="73">
        <v>1</v>
      </c>
      <c r="M18" s="73">
        <v>11</v>
      </c>
      <c r="N18" s="81">
        <v>44361</v>
      </c>
      <c r="O18" s="81">
        <v>44361</v>
      </c>
      <c r="P18" s="171" t="s">
        <v>616</v>
      </c>
    </row>
    <row r="19" spans="1:16" x14ac:dyDescent="0.25">
      <c r="A19" s="73">
        <v>13</v>
      </c>
      <c r="B19" s="73">
        <v>50611116</v>
      </c>
      <c r="D19" s="74" t="s">
        <v>32</v>
      </c>
      <c r="E19" s="7" t="s">
        <v>6</v>
      </c>
      <c r="F19" s="7" t="s">
        <v>33</v>
      </c>
      <c r="G19" s="74" t="s">
        <v>615</v>
      </c>
      <c r="H19" s="73" t="s">
        <v>603</v>
      </c>
      <c r="I19" s="76">
        <v>354951</v>
      </c>
      <c r="J19" s="74" t="s">
        <v>63</v>
      </c>
      <c r="K19" s="73">
        <v>8</v>
      </c>
      <c r="L19" s="73">
        <v>1</v>
      </c>
      <c r="M19" s="73">
        <v>11</v>
      </c>
      <c r="N19" s="81">
        <v>44362</v>
      </c>
      <c r="O19" s="81">
        <v>44362</v>
      </c>
      <c r="P19" s="171" t="s">
        <v>616</v>
      </c>
    </row>
    <row r="20" spans="1:16" x14ac:dyDescent="0.25">
      <c r="A20" s="73">
        <v>14</v>
      </c>
      <c r="B20" s="73">
        <v>50614584</v>
      </c>
      <c r="D20" s="74" t="s">
        <v>32</v>
      </c>
      <c r="E20" s="7" t="s">
        <v>13</v>
      </c>
      <c r="F20" s="7" t="s">
        <v>604</v>
      </c>
      <c r="H20" s="73" t="s">
        <v>606</v>
      </c>
      <c r="I20" s="76">
        <v>458886</v>
      </c>
      <c r="J20" s="74" t="s">
        <v>617</v>
      </c>
      <c r="K20" s="73">
        <v>8</v>
      </c>
      <c r="L20" s="73">
        <v>2</v>
      </c>
      <c r="M20" s="73">
        <v>14</v>
      </c>
      <c r="N20" s="81">
        <v>44314</v>
      </c>
      <c r="O20" s="81">
        <v>44315</v>
      </c>
      <c r="P20" s="171" t="s">
        <v>618</v>
      </c>
    </row>
    <row r="21" spans="1:16" x14ac:dyDescent="0.25">
      <c r="A21" s="73">
        <v>15</v>
      </c>
      <c r="B21" s="73">
        <v>50614583</v>
      </c>
      <c r="D21" s="74" t="s">
        <v>32</v>
      </c>
      <c r="E21" s="176" t="s">
        <v>13</v>
      </c>
      <c r="F21" s="176" t="s">
        <v>604</v>
      </c>
      <c r="H21" s="73" t="s">
        <v>606</v>
      </c>
      <c r="I21" s="76">
        <v>458886</v>
      </c>
      <c r="J21" s="74" t="s">
        <v>617</v>
      </c>
      <c r="K21" s="73">
        <v>8</v>
      </c>
      <c r="L21" s="73">
        <v>2</v>
      </c>
      <c r="M21" s="73">
        <v>13</v>
      </c>
      <c r="N21" s="81">
        <v>44309</v>
      </c>
      <c r="O21" s="81">
        <v>44310</v>
      </c>
      <c r="P21" s="177" t="s">
        <v>619</v>
      </c>
    </row>
    <row r="22" spans="1:16" x14ac:dyDescent="0.25">
      <c r="A22" s="73">
        <v>16</v>
      </c>
      <c r="B22" s="73">
        <v>50615668</v>
      </c>
      <c r="D22" s="74" t="s">
        <v>32</v>
      </c>
      <c r="E22" s="7" t="s">
        <v>6</v>
      </c>
      <c r="F22" s="7" t="s">
        <v>620</v>
      </c>
      <c r="H22" s="73" t="s">
        <v>603</v>
      </c>
      <c r="I22" s="76">
        <v>374253</v>
      </c>
      <c r="J22" s="74" t="s">
        <v>621</v>
      </c>
      <c r="K22" s="73">
        <v>16</v>
      </c>
      <c r="L22" s="73">
        <v>2</v>
      </c>
      <c r="M22" s="73">
        <v>8</v>
      </c>
      <c r="N22" s="81">
        <v>44357</v>
      </c>
      <c r="O22" s="81">
        <v>44358</v>
      </c>
      <c r="P22" s="171" t="s">
        <v>622</v>
      </c>
    </row>
    <row r="23" spans="1:16" x14ac:dyDescent="0.25">
      <c r="A23" s="73">
        <v>17</v>
      </c>
      <c r="B23" s="73">
        <v>50616719</v>
      </c>
      <c r="D23" s="74" t="s">
        <v>32</v>
      </c>
      <c r="E23" s="7" t="s">
        <v>6</v>
      </c>
      <c r="F23" s="7" t="s">
        <v>33</v>
      </c>
      <c r="G23" s="7" t="s">
        <v>235</v>
      </c>
      <c r="H23" s="73" t="s">
        <v>603</v>
      </c>
      <c r="I23" s="76">
        <v>354951</v>
      </c>
      <c r="J23" s="74" t="s">
        <v>63</v>
      </c>
      <c r="K23" s="73">
        <v>8</v>
      </c>
      <c r="L23" s="73">
        <v>1</v>
      </c>
      <c r="M23" s="73">
        <v>11</v>
      </c>
      <c r="N23" s="81">
        <v>44377</v>
      </c>
      <c r="O23" s="81">
        <v>44377</v>
      </c>
      <c r="P23" s="171" t="s">
        <v>616</v>
      </c>
    </row>
    <row r="24" spans="1:16" x14ac:dyDescent="0.25">
      <c r="A24" s="73">
        <v>18</v>
      </c>
      <c r="D24" s="74" t="s">
        <v>32</v>
      </c>
      <c r="E24" s="7" t="s">
        <v>6</v>
      </c>
      <c r="F24" s="7" t="s">
        <v>33</v>
      </c>
      <c r="G24" s="7" t="s">
        <v>235</v>
      </c>
      <c r="H24" s="73" t="s">
        <v>603</v>
      </c>
      <c r="I24" s="8">
        <v>354951</v>
      </c>
      <c r="J24" s="171" t="s">
        <v>63</v>
      </c>
      <c r="K24" s="73">
        <v>8</v>
      </c>
      <c r="L24" s="73">
        <v>1</v>
      </c>
      <c r="M24" s="73">
        <v>10</v>
      </c>
      <c r="N24" s="81">
        <v>44375</v>
      </c>
      <c r="O24" s="81">
        <v>44375</v>
      </c>
      <c r="P24" s="171" t="s">
        <v>616</v>
      </c>
    </row>
    <row r="25" spans="1:16" x14ac:dyDescent="0.25">
      <c r="A25" s="73">
        <v>19</v>
      </c>
      <c r="B25" s="74">
        <v>50615665</v>
      </c>
      <c r="D25" s="74" t="s">
        <v>32</v>
      </c>
      <c r="E25" s="7" t="s">
        <v>6</v>
      </c>
      <c r="F25" s="7" t="s">
        <v>620</v>
      </c>
      <c r="G25" s="7" t="s">
        <v>105</v>
      </c>
      <c r="H25" s="73" t="s">
        <v>603</v>
      </c>
      <c r="I25" s="8">
        <v>510745</v>
      </c>
      <c r="J25" s="171" t="s">
        <v>623</v>
      </c>
      <c r="K25" s="73">
        <v>16</v>
      </c>
      <c r="L25" s="73">
        <v>2</v>
      </c>
      <c r="M25" s="73">
        <v>3</v>
      </c>
      <c r="N25" s="81">
        <v>44389</v>
      </c>
      <c r="O25" s="81">
        <v>44390</v>
      </c>
      <c r="P25" s="177" t="s">
        <v>622</v>
      </c>
    </row>
    <row r="26" spans="1:16" x14ac:dyDescent="0.25">
      <c r="A26" s="73">
        <v>20</v>
      </c>
      <c r="B26" s="74">
        <v>50617742</v>
      </c>
      <c r="C26" s="74" t="s">
        <v>430</v>
      </c>
      <c r="D26" s="74" t="s">
        <v>533</v>
      </c>
      <c r="E26" s="7" t="s">
        <v>11</v>
      </c>
      <c r="F26" s="74" t="s">
        <v>624</v>
      </c>
      <c r="G26" s="74" t="s">
        <v>625</v>
      </c>
      <c r="H26" s="73" t="s">
        <v>603</v>
      </c>
      <c r="M26" s="76">
        <v>9</v>
      </c>
      <c r="P26" s="74" t="s">
        <v>625</v>
      </c>
    </row>
    <row r="27" spans="1:16" ht="15" x14ac:dyDescent="0.25">
      <c r="A27" s="73">
        <v>21</v>
      </c>
      <c r="D27" s="74" t="s">
        <v>32</v>
      </c>
      <c r="E27" s="74" t="s">
        <v>6</v>
      </c>
      <c r="F27" s="206" t="s">
        <v>609</v>
      </c>
      <c r="G27" s="74" t="s">
        <v>626</v>
      </c>
      <c r="H27" s="73" t="s">
        <v>603</v>
      </c>
      <c r="I27" s="76">
        <v>458886</v>
      </c>
      <c r="J27" s="74" t="s">
        <v>617</v>
      </c>
      <c r="K27" s="267"/>
      <c r="L27" s="267"/>
      <c r="M27" s="267"/>
      <c r="N27" s="207">
        <v>44435</v>
      </c>
      <c r="O27" s="207">
        <v>44436</v>
      </c>
      <c r="P27" s="206" t="s">
        <v>622</v>
      </c>
    </row>
    <row r="28" spans="1:16" x14ac:dyDescent="0.25">
      <c r="A28" s="73">
        <v>22</v>
      </c>
      <c r="B28" s="74">
        <v>50615663</v>
      </c>
      <c r="D28" s="208" t="s">
        <v>32</v>
      </c>
      <c r="E28" s="74" t="s">
        <v>6</v>
      </c>
      <c r="F28" s="7" t="s">
        <v>620</v>
      </c>
      <c r="G28" s="74" t="s">
        <v>627</v>
      </c>
      <c r="H28" s="73" t="s">
        <v>603</v>
      </c>
      <c r="I28" s="76">
        <v>361756</v>
      </c>
      <c r="J28" s="208" t="s">
        <v>628</v>
      </c>
      <c r="K28" s="73">
        <v>16</v>
      </c>
      <c r="L28" s="73">
        <v>2</v>
      </c>
      <c r="M28" s="73">
        <v>9</v>
      </c>
      <c r="N28" s="81">
        <v>44438</v>
      </c>
      <c r="O28" s="81">
        <v>44439</v>
      </c>
      <c r="P28" s="74" t="s">
        <v>608</v>
      </c>
    </row>
    <row r="29" spans="1:16" x14ac:dyDescent="0.25">
      <c r="A29" s="73">
        <v>23</v>
      </c>
      <c r="B29" s="74">
        <v>50616452</v>
      </c>
      <c r="D29" s="74" t="s">
        <v>497</v>
      </c>
      <c r="E29" s="74" t="s">
        <v>10</v>
      </c>
      <c r="F29" s="74" t="s">
        <v>629</v>
      </c>
      <c r="G29" s="74" t="s">
        <v>605</v>
      </c>
      <c r="H29" s="73" t="s">
        <v>606</v>
      </c>
      <c r="I29" s="76">
        <v>458886</v>
      </c>
      <c r="J29" s="74" t="s">
        <v>617</v>
      </c>
      <c r="K29" s="76">
        <v>8</v>
      </c>
      <c r="L29" s="76">
        <v>2</v>
      </c>
      <c r="M29" s="76">
        <v>16</v>
      </c>
      <c r="N29" s="81">
        <v>44346</v>
      </c>
      <c r="O29" s="81">
        <v>44347</v>
      </c>
    </row>
    <row r="30" spans="1:16" x14ac:dyDescent="0.25">
      <c r="A30" s="73">
        <v>24</v>
      </c>
      <c r="B30" s="74">
        <v>50616453</v>
      </c>
      <c r="D30" s="74" t="s">
        <v>497</v>
      </c>
      <c r="E30" s="74" t="s">
        <v>10</v>
      </c>
      <c r="F30" s="74" t="s">
        <v>629</v>
      </c>
      <c r="G30" s="74" t="s">
        <v>605</v>
      </c>
      <c r="H30" s="73" t="s">
        <v>606</v>
      </c>
      <c r="I30" s="76">
        <v>174690</v>
      </c>
      <c r="J30" s="74" t="s">
        <v>630</v>
      </c>
      <c r="K30" s="76">
        <v>8</v>
      </c>
      <c r="L30" s="76">
        <v>2</v>
      </c>
      <c r="M30" s="76">
        <v>15</v>
      </c>
      <c r="N30" s="81">
        <v>44346</v>
      </c>
      <c r="O30" s="81">
        <v>44347</v>
      </c>
    </row>
    <row r="31" spans="1:16" x14ac:dyDescent="0.25">
      <c r="A31" s="73">
        <v>25</v>
      </c>
      <c r="B31" s="74">
        <v>50617216</v>
      </c>
      <c r="D31" s="74" t="s">
        <v>497</v>
      </c>
      <c r="E31" s="74" t="s">
        <v>10</v>
      </c>
      <c r="F31" s="74" t="s">
        <v>629</v>
      </c>
      <c r="G31" s="74" t="s">
        <v>605</v>
      </c>
      <c r="H31" s="73" t="s">
        <v>606</v>
      </c>
      <c r="I31" s="76">
        <v>458886</v>
      </c>
      <c r="J31" s="74" t="s">
        <v>617</v>
      </c>
      <c r="K31" s="76">
        <v>8</v>
      </c>
      <c r="L31" s="76">
        <v>2</v>
      </c>
      <c r="M31" s="76">
        <v>11</v>
      </c>
      <c r="N31" s="81">
        <v>44360</v>
      </c>
      <c r="O31" s="81">
        <v>44361</v>
      </c>
    </row>
    <row r="32" spans="1:16" x14ac:dyDescent="0.25">
      <c r="A32" s="73">
        <v>26</v>
      </c>
      <c r="B32" s="74">
        <v>50617217</v>
      </c>
      <c r="D32" s="74" t="s">
        <v>497</v>
      </c>
      <c r="E32" s="74" t="s">
        <v>10</v>
      </c>
      <c r="F32" s="74" t="s">
        <v>629</v>
      </c>
      <c r="G32" s="74" t="s">
        <v>605</v>
      </c>
      <c r="H32" s="73" t="s">
        <v>606</v>
      </c>
      <c r="I32" s="76">
        <v>370733</v>
      </c>
      <c r="J32" s="74" t="s">
        <v>631</v>
      </c>
      <c r="K32" s="76">
        <v>8</v>
      </c>
      <c r="L32" s="76">
        <v>2</v>
      </c>
      <c r="M32" s="76">
        <v>9</v>
      </c>
      <c r="N32" s="81">
        <v>44360</v>
      </c>
      <c r="O32" s="81">
        <v>44361</v>
      </c>
    </row>
    <row r="33" spans="1:16" x14ac:dyDescent="0.25">
      <c r="A33" s="73">
        <v>27</v>
      </c>
      <c r="B33" s="74">
        <v>50617218</v>
      </c>
      <c r="D33" s="74" t="s">
        <v>497</v>
      </c>
      <c r="E33" s="74" t="s">
        <v>10</v>
      </c>
      <c r="F33" s="74" t="s">
        <v>629</v>
      </c>
      <c r="G33" s="74" t="s">
        <v>605</v>
      </c>
      <c r="H33" s="73" t="s">
        <v>606</v>
      </c>
      <c r="I33" s="76">
        <v>458886</v>
      </c>
      <c r="J33" s="74" t="s">
        <v>617</v>
      </c>
      <c r="K33" s="76">
        <v>8</v>
      </c>
      <c r="L33" s="76">
        <v>2</v>
      </c>
      <c r="M33" s="76">
        <v>16</v>
      </c>
      <c r="N33" s="81">
        <v>44374</v>
      </c>
      <c r="O33" s="81">
        <v>44405</v>
      </c>
    </row>
    <row r="34" spans="1:16" x14ac:dyDescent="0.25">
      <c r="A34" s="73">
        <v>28</v>
      </c>
      <c r="B34" s="74">
        <v>50617219</v>
      </c>
      <c r="D34" s="74" t="s">
        <v>497</v>
      </c>
      <c r="E34" s="74" t="s">
        <v>10</v>
      </c>
      <c r="F34" s="74" t="s">
        <v>629</v>
      </c>
      <c r="G34" s="74" t="s">
        <v>605</v>
      </c>
      <c r="H34" s="73" t="s">
        <v>606</v>
      </c>
      <c r="I34" s="76">
        <v>370733</v>
      </c>
      <c r="J34" s="74" t="s">
        <v>631</v>
      </c>
      <c r="K34" s="76">
        <v>8</v>
      </c>
      <c r="L34" s="76">
        <v>2</v>
      </c>
      <c r="M34" s="76">
        <v>16</v>
      </c>
      <c r="N34" s="81">
        <v>44374</v>
      </c>
      <c r="O34" s="81">
        <v>44405</v>
      </c>
    </row>
    <row r="35" spans="1:16" x14ac:dyDescent="0.25">
      <c r="A35" s="73">
        <v>29</v>
      </c>
      <c r="B35" s="74">
        <v>50618292</v>
      </c>
      <c r="D35" s="74" t="s">
        <v>497</v>
      </c>
      <c r="E35" s="74" t="s">
        <v>10</v>
      </c>
      <c r="F35" s="74" t="s">
        <v>629</v>
      </c>
      <c r="G35" s="74" t="s">
        <v>605</v>
      </c>
      <c r="H35" s="73" t="s">
        <v>606</v>
      </c>
      <c r="I35" s="76">
        <v>370733</v>
      </c>
      <c r="J35" s="74" t="s">
        <v>631</v>
      </c>
      <c r="K35" s="76">
        <v>8</v>
      </c>
      <c r="L35" s="76">
        <v>2</v>
      </c>
      <c r="M35" s="76">
        <v>10</v>
      </c>
      <c r="N35" s="81">
        <v>44388</v>
      </c>
      <c r="O35" s="81">
        <v>44389</v>
      </c>
    </row>
    <row r="36" spans="1:16" x14ac:dyDescent="0.25">
      <c r="A36" s="73">
        <v>30</v>
      </c>
      <c r="B36" s="74">
        <v>50618293</v>
      </c>
      <c r="D36" s="74" t="s">
        <v>497</v>
      </c>
      <c r="E36" s="74" t="s">
        <v>10</v>
      </c>
      <c r="F36" s="74" t="s">
        <v>629</v>
      </c>
      <c r="G36" s="74" t="s">
        <v>605</v>
      </c>
      <c r="H36" s="73" t="s">
        <v>606</v>
      </c>
      <c r="I36" s="76">
        <v>174690</v>
      </c>
      <c r="J36" s="74" t="s">
        <v>630</v>
      </c>
      <c r="K36" s="76">
        <v>8</v>
      </c>
      <c r="L36" s="76">
        <v>2</v>
      </c>
      <c r="M36" s="76">
        <v>18</v>
      </c>
      <c r="N36" s="81">
        <v>44388</v>
      </c>
      <c r="O36" s="81">
        <v>44389</v>
      </c>
    </row>
    <row r="37" spans="1:16" x14ac:dyDescent="0.25">
      <c r="A37" s="73">
        <v>31</v>
      </c>
      <c r="B37" s="74">
        <v>50618294</v>
      </c>
      <c r="D37" s="74" t="s">
        <v>497</v>
      </c>
      <c r="E37" s="74" t="s">
        <v>10</v>
      </c>
      <c r="F37" s="74" t="s">
        <v>629</v>
      </c>
      <c r="G37" s="74" t="s">
        <v>605</v>
      </c>
      <c r="H37" s="73" t="s">
        <v>606</v>
      </c>
      <c r="I37" s="76">
        <v>370733</v>
      </c>
      <c r="J37" s="74" t="s">
        <v>631</v>
      </c>
      <c r="K37" s="76">
        <v>8</v>
      </c>
      <c r="L37" s="76">
        <v>2</v>
      </c>
      <c r="M37" s="76">
        <v>13</v>
      </c>
      <c r="N37" s="81">
        <v>44402</v>
      </c>
      <c r="O37" s="81">
        <v>44403</v>
      </c>
    </row>
    <row r="38" spans="1:16" x14ac:dyDescent="0.25">
      <c r="A38" s="73">
        <v>32</v>
      </c>
      <c r="B38" s="74">
        <v>50618295</v>
      </c>
      <c r="D38" s="74" t="s">
        <v>497</v>
      </c>
      <c r="E38" s="74" t="s">
        <v>10</v>
      </c>
      <c r="F38" s="74" t="s">
        <v>629</v>
      </c>
      <c r="G38" s="74" t="s">
        <v>605</v>
      </c>
      <c r="H38" s="73" t="s">
        <v>606</v>
      </c>
      <c r="I38" s="76">
        <v>174690</v>
      </c>
      <c r="J38" s="74" t="s">
        <v>630</v>
      </c>
      <c r="K38" s="76">
        <v>8</v>
      </c>
      <c r="L38" s="76">
        <v>2</v>
      </c>
      <c r="M38" s="76">
        <v>9</v>
      </c>
      <c r="N38" s="81">
        <v>44402</v>
      </c>
      <c r="O38" s="81">
        <v>44403</v>
      </c>
    </row>
    <row r="39" spans="1:16" x14ac:dyDescent="0.25">
      <c r="A39" s="73">
        <v>33</v>
      </c>
      <c r="B39" s="74">
        <v>50618296</v>
      </c>
      <c r="D39" s="74" t="s">
        <v>497</v>
      </c>
      <c r="E39" s="74" t="s">
        <v>10</v>
      </c>
      <c r="F39" s="74" t="s">
        <v>629</v>
      </c>
      <c r="G39" s="74" t="s">
        <v>605</v>
      </c>
      <c r="H39" s="73" t="s">
        <v>606</v>
      </c>
      <c r="I39" s="76">
        <v>370733</v>
      </c>
      <c r="J39" s="74" t="s">
        <v>631</v>
      </c>
      <c r="K39" s="76">
        <v>8</v>
      </c>
      <c r="L39" s="76">
        <v>2</v>
      </c>
      <c r="M39" s="76">
        <v>14</v>
      </c>
      <c r="N39" s="81">
        <v>44416</v>
      </c>
      <c r="O39" s="81">
        <v>44417</v>
      </c>
    </row>
    <row r="40" spans="1:16" x14ac:dyDescent="0.25">
      <c r="A40" s="73">
        <v>31</v>
      </c>
      <c r="B40" s="74">
        <v>50618297</v>
      </c>
      <c r="D40" s="74" t="s">
        <v>497</v>
      </c>
      <c r="E40" s="74" t="s">
        <v>10</v>
      </c>
      <c r="F40" s="74" t="s">
        <v>629</v>
      </c>
      <c r="G40" s="74" t="s">
        <v>605</v>
      </c>
      <c r="H40" s="73" t="s">
        <v>606</v>
      </c>
      <c r="I40" s="76">
        <v>174690</v>
      </c>
      <c r="J40" s="74" t="s">
        <v>630</v>
      </c>
      <c r="K40" s="76">
        <v>8</v>
      </c>
      <c r="L40" s="76">
        <v>2</v>
      </c>
      <c r="M40" s="76">
        <v>12</v>
      </c>
      <c r="N40" s="81">
        <v>44416</v>
      </c>
      <c r="O40" s="81">
        <v>44417</v>
      </c>
    </row>
    <row r="41" spans="1:16" x14ac:dyDescent="0.25">
      <c r="A41" s="73">
        <v>34</v>
      </c>
      <c r="B41" s="74">
        <v>50618298</v>
      </c>
      <c r="D41" s="74" t="s">
        <v>497</v>
      </c>
      <c r="E41" s="74" t="s">
        <v>10</v>
      </c>
      <c r="F41" s="74" t="s">
        <v>629</v>
      </c>
      <c r="G41" s="74" t="s">
        <v>605</v>
      </c>
      <c r="H41" s="73" t="s">
        <v>606</v>
      </c>
      <c r="I41" s="76">
        <v>370733</v>
      </c>
      <c r="J41" s="74" t="s">
        <v>631</v>
      </c>
      <c r="K41" s="76">
        <v>8</v>
      </c>
      <c r="L41" s="76">
        <v>2</v>
      </c>
      <c r="M41" s="76">
        <v>12</v>
      </c>
      <c r="N41" s="81">
        <v>44430</v>
      </c>
      <c r="O41" s="81">
        <v>44431</v>
      </c>
    </row>
    <row r="42" spans="1:16" x14ac:dyDescent="0.25">
      <c r="A42" s="73">
        <v>35</v>
      </c>
      <c r="B42" s="74">
        <v>50618299</v>
      </c>
      <c r="D42" s="74" t="s">
        <v>497</v>
      </c>
      <c r="E42" s="74" t="s">
        <v>10</v>
      </c>
      <c r="F42" s="74" t="s">
        <v>629</v>
      </c>
      <c r="G42" s="74" t="s">
        <v>605</v>
      </c>
      <c r="H42" s="73" t="s">
        <v>606</v>
      </c>
      <c r="I42" s="76">
        <v>174690</v>
      </c>
      <c r="J42" s="74" t="s">
        <v>630</v>
      </c>
      <c r="K42" s="76">
        <v>8</v>
      </c>
      <c r="L42" s="76">
        <v>2</v>
      </c>
      <c r="M42" s="76">
        <v>16</v>
      </c>
      <c r="N42" s="81">
        <v>44430</v>
      </c>
      <c r="O42" s="81">
        <v>44431</v>
      </c>
    </row>
    <row r="43" spans="1:16" x14ac:dyDescent="0.25">
      <c r="A43" s="73">
        <v>36</v>
      </c>
      <c r="B43" s="74">
        <v>50615666</v>
      </c>
      <c r="D43" s="74" t="s">
        <v>497</v>
      </c>
      <c r="E43" s="74" t="s">
        <v>6</v>
      </c>
      <c r="F43" s="74" t="s">
        <v>609</v>
      </c>
      <c r="G43" s="74" t="s">
        <v>632</v>
      </c>
      <c r="H43" s="73" t="s">
        <v>603</v>
      </c>
      <c r="I43" s="76">
        <v>322115</v>
      </c>
      <c r="J43" s="74" t="s">
        <v>501</v>
      </c>
      <c r="K43" s="73">
        <v>8</v>
      </c>
      <c r="L43" s="73">
        <v>1</v>
      </c>
      <c r="M43" s="73">
        <v>10</v>
      </c>
      <c r="N43" s="81">
        <v>44452</v>
      </c>
      <c r="O43" s="81">
        <v>44452</v>
      </c>
    </row>
    <row r="44" spans="1:16" x14ac:dyDescent="0.25">
      <c r="A44" s="73">
        <v>37</v>
      </c>
      <c r="B44" s="74">
        <v>50621803</v>
      </c>
      <c r="D44" s="74" t="s">
        <v>497</v>
      </c>
      <c r="E44" s="74" t="s">
        <v>6</v>
      </c>
      <c r="F44" s="74" t="s">
        <v>609</v>
      </c>
      <c r="G44" s="74" t="s">
        <v>602</v>
      </c>
      <c r="H44" s="73" t="s">
        <v>603</v>
      </c>
      <c r="I44" s="76">
        <v>245435</v>
      </c>
      <c r="J44" s="74" t="s">
        <v>485</v>
      </c>
      <c r="K44" s="73">
        <v>24</v>
      </c>
      <c r="L44" s="73">
        <v>3</v>
      </c>
      <c r="M44" s="73">
        <v>10</v>
      </c>
      <c r="N44" s="81">
        <v>44467</v>
      </c>
      <c r="O44" s="81">
        <v>44469</v>
      </c>
    </row>
    <row r="45" spans="1:16" x14ac:dyDescent="0.25">
      <c r="A45" s="73">
        <v>38</v>
      </c>
      <c r="B45" s="74">
        <v>50609083</v>
      </c>
      <c r="D45" s="74" t="s">
        <v>633</v>
      </c>
      <c r="E45" s="7" t="s">
        <v>12</v>
      </c>
      <c r="F45" s="74" t="s">
        <v>634</v>
      </c>
      <c r="G45" s="74" t="s">
        <v>635</v>
      </c>
      <c r="H45" s="73" t="s">
        <v>603</v>
      </c>
      <c r="I45" s="76">
        <v>322115</v>
      </c>
      <c r="J45" s="74" t="s">
        <v>636</v>
      </c>
      <c r="K45" s="73">
        <v>16</v>
      </c>
      <c r="L45" s="73">
        <v>2</v>
      </c>
      <c r="M45" s="73">
        <v>10</v>
      </c>
      <c r="N45" s="81">
        <v>44466</v>
      </c>
      <c r="O45" s="81">
        <v>44467</v>
      </c>
    </row>
    <row r="46" spans="1:16" ht="15" x14ac:dyDescent="0.25">
      <c r="A46" s="73">
        <v>39</v>
      </c>
      <c r="B46" s="236">
        <v>50621994</v>
      </c>
      <c r="D46" s="74" t="s">
        <v>32</v>
      </c>
      <c r="E46" s="74" t="s">
        <v>600</v>
      </c>
      <c r="F46" s="74" t="s">
        <v>637</v>
      </c>
      <c r="G46" s="74" t="s">
        <v>638</v>
      </c>
      <c r="H46" s="73" t="s">
        <v>603</v>
      </c>
      <c r="I46" s="76">
        <v>354951</v>
      </c>
      <c r="J46" s="74" t="s">
        <v>639</v>
      </c>
      <c r="K46" s="73">
        <v>24</v>
      </c>
      <c r="L46" s="73">
        <v>3</v>
      </c>
      <c r="M46" s="73">
        <v>13</v>
      </c>
      <c r="N46" s="237">
        <v>44481</v>
      </c>
      <c r="O46" s="237">
        <v>44483</v>
      </c>
      <c r="P46" s="74" t="s">
        <v>608</v>
      </c>
    </row>
    <row r="47" spans="1:16" ht="15" x14ac:dyDescent="0.25">
      <c r="A47" s="73">
        <v>40</v>
      </c>
      <c r="B47" s="238">
        <v>50615670</v>
      </c>
      <c r="D47" s="74" t="s">
        <v>640</v>
      </c>
      <c r="E47" s="74" t="s">
        <v>6</v>
      </c>
      <c r="F47" s="7" t="s">
        <v>33</v>
      </c>
      <c r="G47" s="74" t="s">
        <v>632</v>
      </c>
      <c r="H47" s="73" t="s">
        <v>603</v>
      </c>
      <c r="I47" s="76">
        <v>458886</v>
      </c>
      <c r="J47" s="74" t="s">
        <v>617</v>
      </c>
      <c r="K47" s="73">
        <v>8</v>
      </c>
      <c r="L47" s="73">
        <v>1</v>
      </c>
      <c r="M47" s="73">
        <v>7</v>
      </c>
      <c r="N47" s="239">
        <v>44484</v>
      </c>
      <c r="O47" s="239">
        <v>44484</v>
      </c>
      <c r="P47" s="74" t="s">
        <v>608</v>
      </c>
    </row>
    <row r="48" spans="1:16" x14ac:dyDescent="0.25">
      <c r="A48" s="73">
        <v>41</v>
      </c>
      <c r="B48" s="74">
        <v>50615668</v>
      </c>
      <c r="D48" s="74" t="s">
        <v>32</v>
      </c>
      <c r="E48" s="74" t="s">
        <v>6</v>
      </c>
      <c r="F48" s="74" t="s">
        <v>609</v>
      </c>
      <c r="G48" s="74" t="s">
        <v>84</v>
      </c>
      <c r="H48" s="73" t="s">
        <v>603</v>
      </c>
      <c r="I48" s="76">
        <v>374253</v>
      </c>
      <c r="J48" s="74" t="s">
        <v>621</v>
      </c>
      <c r="K48" s="73">
        <v>16</v>
      </c>
      <c r="L48" s="73">
        <v>2</v>
      </c>
      <c r="M48" s="73">
        <v>11</v>
      </c>
      <c r="N48" s="81">
        <v>44357</v>
      </c>
      <c r="O48" s="81">
        <v>44358</v>
      </c>
      <c r="P48" s="74" t="s">
        <v>608</v>
      </c>
    </row>
    <row r="49" spans="1:16" x14ac:dyDescent="0.25">
      <c r="A49" s="73">
        <v>42</v>
      </c>
      <c r="B49" s="74">
        <v>50615662</v>
      </c>
      <c r="D49" s="74" t="s">
        <v>641</v>
      </c>
      <c r="E49" s="74" t="s">
        <v>6</v>
      </c>
      <c r="F49" s="74" t="s">
        <v>642</v>
      </c>
      <c r="G49" s="74" t="s">
        <v>171</v>
      </c>
      <c r="H49" s="73" t="s">
        <v>603</v>
      </c>
      <c r="I49" s="76">
        <v>374253</v>
      </c>
      <c r="J49" s="74" t="s">
        <v>643</v>
      </c>
      <c r="K49" s="73">
        <v>16</v>
      </c>
      <c r="L49" s="73">
        <v>2</v>
      </c>
      <c r="M49" s="73">
        <v>6</v>
      </c>
      <c r="N49" s="81">
        <v>44368</v>
      </c>
      <c r="O49" s="81">
        <v>44369</v>
      </c>
      <c r="P49" s="74" t="s">
        <v>644</v>
      </c>
    </row>
    <row r="50" spans="1:16" x14ac:dyDescent="0.25">
      <c r="A50" s="73">
        <v>43</v>
      </c>
      <c r="B50" s="74">
        <v>50616717</v>
      </c>
      <c r="D50" s="74" t="s">
        <v>645</v>
      </c>
      <c r="E50" s="74" t="s">
        <v>646</v>
      </c>
      <c r="F50" s="74" t="s">
        <v>647</v>
      </c>
      <c r="G50" s="74" t="s">
        <v>615</v>
      </c>
      <c r="H50" s="73" t="s">
        <v>603</v>
      </c>
      <c r="I50" s="76">
        <v>354951</v>
      </c>
      <c r="J50" s="74" t="s">
        <v>639</v>
      </c>
      <c r="K50" s="73">
        <v>8</v>
      </c>
      <c r="L50" s="73">
        <v>1</v>
      </c>
      <c r="M50" s="73">
        <v>11</v>
      </c>
      <c r="N50" s="81">
        <v>44370</v>
      </c>
      <c r="O50" s="81">
        <v>44370</v>
      </c>
      <c r="P50" s="74" t="s">
        <v>608</v>
      </c>
    </row>
    <row r="51" spans="1:16" x14ac:dyDescent="0.25">
      <c r="A51" s="73">
        <v>44</v>
      </c>
      <c r="B51" s="74">
        <v>50616718</v>
      </c>
      <c r="D51" s="74" t="s">
        <v>640</v>
      </c>
      <c r="E51" s="74" t="s">
        <v>646</v>
      </c>
      <c r="F51" s="74" t="s">
        <v>647</v>
      </c>
      <c r="G51" s="74" t="s">
        <v>615</v>
      </c>
      <c r="H51" s="73" t="s">
        <v>603</v>
      </c>
      <c r="I51" s="76">
        <v>354951</v>
      </c>
      <c r="J51" s="74" t="s">
        <v>639</v>
      </c>
      <c r="K51" s="73">
        <v>8</v>
      </c>
      <c r="L51" s="73">
        <v>1</v>
      </c>
      <c r="M51" s="73">
        <v>10</v>
      </c>
      <c r="N51" s="81">
        <v>44375</v>
      </c>
      <c r="O51" s="81">
        <v>44375</v>
      </c>
      <c r="P51" s="74" t="s">
        <v>644</v>
      </c>
    </row>
    <row r="52" spans="1:16" x14ac:dyDescent="0.25">
      <c r="A52" s="73">
        <v>45</v>
      </c>
      <c r="B52" s="74">
        <v>50616720</v>
      </c>
      <c r="D52" s="74" t="s">
        <v>32</v>
      </c>
      <c r="E52" s="74" t="s">
        <v>648</v>
      </c>
      <c r="F52" s="74" t="s">
        <v>647</v>
      </c>
      <c r="G52" s="74" t="s">
        <v>615</v>
      </c>
      <c r="H52" s="73" t="s">
        <v>603</v>
      </c>
      <c r="I52" s="76">
        <v>374253</v>
      </c>
      <c r="J52" s="74" t="s">
        <v>621</v>
      </c>
      <c r="K52" s="73">
        <v>8</v>
      </c>
      <c r="L52" s="73">
        <v>1</v>
      </c>
      <c r="M52" s="73">
        <v>12</v>
      </c>
      <c r="N52" s="81">
        <v>44352</v>
      </c>
      <c r="O52" s="81">
        <v>44352</v>
      </c>
      <c r="P52" s="74" t="s">
        <v>644</v>
      </c>
    </row>
    <row r="53" spans="1:16" x14ac:dyDescent="0.25">
      <c r="A53" s="73">
        <v>46</v>
      </c>
      <c r="B53" s="74">
        <v>50616721</v>
      </c>
      <c r="D53" s="74" t="s">
        <v>32</v>
      </c>
      <c r="E53" s="74" t="s">
        <v>6</v>
      </c>
      <c r="F53" s="74" t="s">
        <v>647</v>
      </c>
      <c r="G53" s="74" t="s">
        <v>615</v>
      </c>
      <c r="H53" s="73" t="s">
        <v>603</v>
      </c>
      <c r="I53" s="76">
        <v>354951</v>
      </c>
      <c r="J53" s="74" t="s">
        <v>639</v>
      </c>
      <c r="K53" s="73">
        <v>8</v>
      </c>
      <c r="L53" s="73">
        <v>1</v>
      </c>
      <c r="M53" s="73">
        <v>12</v>
      </c>
      <c r="N53" s="81">
        <v>44383</v>
      </c>
      <c r="O53" s="81">
        <v>44383</v>
      </c>
      <c r="P53" s="74" t="s">
        <v>608</v>
      </c>
    </row>
    <row r="54" spans="1:16" x14ac:dyDescent="0.25">
      <c r="A54" s="73">
        <v>47</v>
      </c>
      <c r="B54" s="74">
        <v>50615669</v>
      </c>
      <c r="D54" s="74" t="s">
        <v>32</v>
      </c>
      <c r="E54" s="74" t="s">
        <v>6</v>
      </c>
      <c r="F54" s="74" t="s">
        <v>609</v>
      </c>
      <c r="G54" s="74" t="s">
        <v>649</v>
      </c>
      <c r="H54" s="73" t="s">
        <v>603</v>
      </c>
      <c r="I54" s="76">
        <v>458886</v>
      </c>
      <c r="J54" s="74" t="s">
        <v>617</v>
      </c>
      <c r="K54" s="73">
        <v>16</v>
      </c>
      <c r="L54" s="73">
        <v>2</v>
      </c>
      <c r="M54" s="73">
        <v>9</v>
      </c>
      <c r="N54" s="81">
        <v>44434</v>
      </c>
      <c r="O54" s="81">
        <v>44435</v>
      </c>
      <c r="P54" s="74" t="s">
        <v>644</v>
      </c>
    </row>
    <row r="55" spans="1:16" x14ac:dyDescent="0.25">
      <c r="A55" s="73">
        <v>48</v>
      </c>
      <c r="B55" s="74">
        <v>50621380</v>
      </c>
      <c r="D55" s="74" t="s">
        <v>32</v>
      </c>
      <c r="E55" s="74" t="s">
        <v>650</v>
      </c>
      <c r="F55" s="74" t="s">
        <v>81</v>
      </c>
      <c r="G55" s="74" t="s">
        <v>651</v>
      </c>
      <c r="H55" s="73" t="s">
        <v>603</v>
      </c>
      <c r="I55" s="8">
        <v>491912</v>
      </c>
      <c r="J55" s="74" t="s">
        <v>652</v>
      </c>
      <c r="K55" s="73">
        <v>24</v>
      </c>
      <c r="L55" s="73">
        <v>3</v>
      </c>
      <c r="M55" s="73">
        <v>13</v>
      </c>
      <c r="N55" s="81">
        <v>44467</v>
      </c>
      <c r="O55" s="81">
        <v>44469</v>
      </c>
      <c r="P55" s="74" t="s">
        <v>608</v>
      </c>
    </row>
    <row r="56" spans="1:16" x14ac:dyDescent="0.25">
      <c r="A56" s="73">
        <v>49</v>
      </c>
      <c r="B56" s="74">
        <v>50621381</v>
      </c>
      <c r="D56" s="74" t="s">
        <v>640</v>
      </c>
      <c r="E56" s="74" t="s">
        <v>650</v>
      </c>
      <c r="F56" s="74" t="s">
        <v>81</v>
      </c>
      <c r="G56" s="74" t="s">
        <v>638</v>
      </c>
      <c r="H56" s="73" t="s">
        <v>603</v>
      </c>
      <c r="I56" s="76">
        <v>411339</v>
      </c>
      <c r="J56" s="74" t="s">
        <v>653</v>
      </c>
      <c r="K56" s="73">
        <v>24</v>
      </c>
      <c r="L56" s="73">
        <v>3</v>
      </c>
      <c r="M56" s="73">
        <v>11</v>
      </c>
      <c r="N56" s="81">
        <v>44488</v>
      </c>
      <c r="O56" s="81">
        <v>44490</v>
      </c>
      <c r="P56" s="74" t="s">
        <v>608</v>
      </c>
    </row>
    <row r="57" spans="1:16" x14ac:dyDescent="0.25">
      <c r="A57" s="73">
        <v>50</v>
      </c>
      <c r="B57" s="74">
        <v>50609477</v>
      </c>
      <c r="D57" s="74" t="s">
        <v>32</v>
      </c>
      <c r="E57" s="74" t="s">
        <v>6</v>
      </c>
      <c r="F57" s="74" t="s">
        <v>609</v>
      </c>
      <c r="G57" s="74" t="s">
        <v>605</v>
      </c>
      <c r="H57" s="73" t="s">
        <v>603</v>
      </c>
      <c r="I57" s="76">
        <v>458886</v>
      </c>
      <c r="J57" s="74" t="s">
        <v>617</v>
      </c>
      <c r="K57" s="73">
        <v>8</v>
      </c>
      <c r="L57" s="73">
        <v>1</v>
      </c>
      <c r="M57" s="73">
        <v>8</v>
      </c>
      <c r="N57" s="81">
        <v>44498</v>
      </c>
      <c r="O57" s="81">
        <v>44498</v>
      </c>
      <c r="P57" s="74" t="s">
        <v>608</v>
      </c>
    </row>
    <row r="58" spans="1:16" x14ac:dyDescent="0.25">
      <c r="A58" s="73">
        <v>51</v>
      </c>
      <c r="B58" s="74">
        <v>50609870</v>
      </c>
      <c r="D58" s="74" t="s">
        <v>32</v>
      </c>
      <c r="E58" s="74" t="s">
        <v>7</v>
      </c>
      <c r="F58" s="74" t="s">
        <v>491</v>
      </c>
      <c r="G58" s="7" t="s">
        <v>40</v>
      </c>
      <c r="H58" s="73" t="s">
        <v>603</v>
      </c>
      <c r="I58" s="8">
        <v>374253</v>
      </c>
      <c r="J58" s="171" t="s">
        <v>621</v>
      </c>
      <c r="K58" s="73">
        <v>8</v>
      </c>
      <c r="L58" s="73">
        <v>3</v>
      </c>
      <c r="M58" s="73">
        <v>7</v>
      </c>
      <c r="N58" s="81">
        <v>44467</v>
      </c>
      <c r="O58" s="81">
        <v>44469</v>
      </c>
      <c r="P58" s="74" t="s">
        <v>608</v>
      </c>
    </row>
    <row r="59" spans="1:16" x14ac:dyDescent="0.25">
      <c r="A59" s="73">
        <v>52</v>
      </c>
      <c r="B59" s="74">
        <v>50610390</v>
      </c>
      <c r="D59" s="74" t="s">
        <v>32</v>
      </c>
      <c r="E59" s="74" t="s">
        <v>650</v>
      </c>
      <c r="F59" s="74" t="s">
        <v>81</v>
      </c>
      <c r="G59" s="74" t="s">
        <v>654</v>
      </c>
      <c r="H59" s="73" t="s">
        <v>603</v>
      </c>
      <c r="I59" s="76">
        <v>411339</v>
      </c>
      <c r="J59" s="74" t="s">
        <v>653</v>
      </c>
      <c r="K59" s="73">
        <v>16</v>
      </c>
      <c r="L59" s="73">
        <v>2</v>
      </c>
      <c r="M59" s="73">
        <v>8</v>
      </c>
      <c r="N59" s="81">
        <v>44495</v>
      </c>
      <c r="O59" s="81">
        <v>44496</v>
      </c>
      <c r="P59" s="74" t="s">
        <v>608</v>
      </c>
    </row>
    <row r="60" spans="1:16" x14ac:dyDescent="0.25">
      <c r="A60" s="73">
        <v>53</v>
      </c>
      <c r="B60" s="74">
        <v>50623737</v>
      </c>
      <c r="D60" s="74" t="s">
        <v>32</v>
      </c>
      <c r="E60" s="74" t="s">
        <v>14</v>
      </c>
      <c r="F60" s="74" t="s">
        <v>81</v>
      </c>
      <c r="G60" s="74" t="s">
        <v>638</v>
      </c>
      <c r="H60" s="73" t="s">
        <v>655</v>
      </c>
      <c r="I60" s="76">
        <v>329117</v>
      </c>
      <c r="J60" s="74" t="s">
        <v>656</v>
      </c>
      <c r="K60" s="73">
        <v>24</v>
      </c>
      <c r="L60" s="73">
        <v>3</v>
      </c>
      <c r="M60" s="73">
        <v>11</v>
      </c>
      <c r="N60" s="81">
        <v>44502</v>
      </c>
      <c r="O60" s="81">
        <v>44504</v>
      </c>
      <c r="P60" s="74" t="s">
        <v>608</v>
      </c>
    </row>
    <row r="61" spans="1:16" x14ac:dyDescent="0.25">
      <c r="A61" s="73">
        <v>54</v>
      </c>
      <c r="B61" s="74">
        <v>50623419</v>
      </c>
      <c r="C61" s="74" t="s">
        <v>657</v>
      </c>
      <c r="D61" s="74" t="s">
        <v>533</v>
      </c>
      <c r="E61" s="7" t="s">
        <v>12</v>
      </c>
      <c r="F61" s="74" t="s">
        <v>614</v>
      </c>
      <c r="G61" s="74" t="s">
        <v>658</v>
      </c>
      <c r="H61" s="73" t="s">
        <v>655</v>
      </c>
      <c r="J61" s="74" t="s">
        <v>659</v>
      </c>
      <c r="K61" s="73">
        <v>8</v>
      </c>
      <c r="L61" s="73">
        <v>1</v>
      </c>
      <c r="M61" s="73">
        <v>6</v>
      </c>
      <c r="N61" s="81">
        <v>44496</v>
      </c>
      <c r="O61" s="81">
        <v>44496</v>
      </c>
      <c r="P61" s="74" t="s">
        <v>608</v>
      </c>
    </row>
    <row r="62" spans="1:16" x14ac:dyDescent="0.25">
      <c r="A62" s="73">
        <v>55</v>
      </c>
      <c r="B62" s="74">
        <v>50623419</v>
      </c>
      <c r="C62" s="74" t="s">
        <v>657</v>
      </c>
      <c r="D62" s="74" t="s">
        <v>533</v>
      </c>
      <c r="E62" s="7" t="s">
        <v>12</v>
      </c>
      <c r="F62" s="74" t="s">
        <v>614</v>
      </c>
      <c r="G62" s="74" t="s">
        <v>658</v>
      </c>
      <c r="H62" s="73" t="s">
        <v>655</v>
      </c>
      <c r="J62" s="74" t="s">
        <v>659</v>
      </c>
      <c r="K62" s="73">
        <v>8</v>
      </c>
      <c r="L62" s="73">
        <v>1</v>
      </c>
      <c r="M62" s="73">
        <v>6</v>
      </c>
      <c r="N62" s="81">
        <v>44498</v>
      </c>
      <c r="O62" s="81">
        <v>44498</v>
      </c>
      <c r="P62" s="74" t="s">
        <v>608</v>
      </c>
    </row>
    <row r="63" spans="1:16" x14ac:dyDescent="0.25">
      <c r="A63" s="73">
        <v>56</v>
      </c>
      <c r="B63" s="74">
        <v>50611845</v>
      </c>
      <c r="C63" s="74" t="s">
        <v>660</v>
      </c>
      <c r="D63" s="74" t="s">
        <v>533</v>
      </c>
      <c r="E63" s="7" t="s">
        <v>12</v>
      </c>
      <c r="F63" s="74" t="s">
        <v>614</v>
      </c>
      <c r="G63" s="7" t="s">
        <v>40</v>
      </c>
      <c r="H63" s="73" t="s">
        <v>655</v>
      </c>
      <c r="J63" s="74" t="s">
        <v>661</v>
      </c>
      <c r="K63" s="73">
        <v>24</v>
      </c>
      <c r="L63" s="73">
        <v>3</v>
      </c>
      <c r="M63" s="73">
        <v>9</v>
      </c>
      <c r="N63" s="81">
        <v>44342</v>
      </c>
      <c r="O63" s="81">
        <v>44344</v>
      </c>
    </row>
    <row r="64" spans="1:16" ht="15" x14ac:dyDescent="0.25">
      <c r="A64" s="73">
        <v>57</v>
      </c>
      <c r="B64" s="74">
        <v>50617743</v>
      </c>
      <c r="C64" s="74" t="s">
        <v>430</v>
      </c>
      <c r="D64" s="74" t="s">
        <v>533</v>
      </c>
      <c r="E64" s="7" t="s">
        <v>11</v>
      </c>
      <c r="F64" s="74" t="s">
        <v>624</v>
      </c>
      <c r="G64" s="74" t="s">
        <v>625</v>
      </c>
      <c r="H64" s="73" t="s">
        <v>603</v>
      </c>
      <c r="I64">
        <v>510960</v>
      </c>
      <c r="J64" s="74" t="s">
        <v>662</v>
      </c>
      <c r="K64" s="73">
        <v>40</v>
      </c>
      <c r="L64" s="73">
        <v>5</v>
      </c>
      <c r="M64" s="76">
        <v>6</v>
      </c>
      <c r="N64" s="81">
        <v>44487</v>
      </c>
      <c r="O64" s="81">
        <v>44491</v>
      </c>
      <c r="P64" s="74" t="s">
        <v>625</v>
      </c>
    </row>
    <row r="65" spans="1:16" x14ac:dyDescent="0.25">
      <c r="A65" s="73">
        <v>58</v>
      </c>
      <c r="B65" s="74">
        <v>50610194</v>
      </c>
      <c r="C65" s="74" t="s">
        <v>660</v>
      </c>
      <c r="D65" s="74" t="s">
        <v>533</v>
      </c>
      <c r="E65" s="7" t="s">
        <v>11</v>
      </c>
      <c r="F65" s="74" t="s">
        <v>663</v>
      </c>
      <c r="G65" s="74" t="s">
        <v>664</v>
      </c>
      <c r="H65" s="73" t="s">
        <v>603</v>
      </c>
      <c r="J65" s="74" t="s">
        <v>661</v>
      </c>
      <c r="K65" s="73">
        <v>16</v>
      </c>
      <c r="L65" s="73">
        <v>2</v>
      </c>
      <c r="M65" s="73">
        <v>8</v>
      </c>
      <c r="N65" s="81">
        <v>44536</v>
      </c>
      <c r="O65" s="81">
        <v>44537</v>
      </c>
    </row>
    <row r="66" spans="1:16" ht="15" x14ac:dyDescent="0.25">
      <c r="A66" s="73">
        <v>59</v>
      </c>
      <c r="B66" s="74">
        <v>50617742</v>
      </c>
      <c r="C66" s="74" t="s">
        <v>430</v>
      </c>
      <c r="D66" s="74" t="s">
        <v>533</v>
      </c>
      <c r="E66" s="7" t="s">
        <v>11</v>
      </c>
      <c r="F66" s="74" t="s">
        <v>624</v>
      </c>
      <c r="G66" s="74" t="s">
        <v>625</v>
      </c>
      <c r="H66" s="73" t="s">
        <v>603</v>
      </c>
      <c r="I66">
        <v>510960</v>
      </c>
      <c r="J66" s="74" t="s">
        <v>662</v>
      </c>
      <c r="K66" s="73">
        <v>40</v>
      </c>
      <c r="L66" s="73">
        <v>5</v>
      </c>
      <c r="M66" s="76">
        <v>6</v>
      </c>
      <c r="N66" s="81">
        <v>44375</v>
      </c>
      <c r="O66" s="81">
        <v>44379</v>
      </c>
      <c r="P66" s="74" t="s">
        <v>625</v>
      </c>
    </row>
    <row r="67" spans="1:16" ht="15" x14ac:dyDescent="0.25">
      <c r="A67" s="73">
        <v>60</v>
      </c>
      <c r="B67" s="74">
        <v>50625343</v>
      </c>
      <c r="C67" s="74" t="s">
        <v>430</v>
      </c>
      <c r="D67" s="74" t="s">
        <v>533</v>
      </c>
      <c r="E67" s="7" t="s">
        <v>11</v>
      </c>
      <c r="F67" s="74" t="s">
        <v>624</v>
      </c>
      <c r="G67" s="246" t="s">
        <v>40</v>
      </c>
      <c r="H67" s="73" t="s">
        <v>603</v>
      </c>
      <c r="I67">
        <v>510960</v>
      </c>
      <c r="J67" s="74" t="s">
        <v>662</v>
      </c>
      <c r="K67" s="73">
        <v>24</v>
      </c>
      <c r="L67" s="73">
        <v>3</v>
      </c>
      <c r="M67" s="73">
        <v>11</v>
      </c>
      <c r="N67" s="81">
        <v>44531</v>
      </c>
      <c r="O67" s="81">
        <v>44533</v>
      </c>
    </row>
    <row r="68" spans="1:16" x14ac:dyDescent="0.25">
      <c r="A68" s="73">
        <v>61</v>
      </c>
      <c r="B68" s="74">
        <v>50607817</v>
      </c>
      <c r="C68" s="74" t="s">
        <v>430</v>
      </c>
      <c r="D68" s="74" t="s">
        <v>533</v>
      </c>
      <c r="E68" s="7" t="s">
        <v>11</v>
      </c>
      <c r="F68" s="74" t="s">
        <v>624</v>
      </c>
      <c r="G68" s="246" t="s">
        <v>665</v>
      </c>
      <c r="H68" s="73" t="s">
        <v>603</v>
      </c>
      <c r="J68" s="74" t="s">
        <v>666</v>
      </c>
      <c r="K68" s="73">
        <v>40</v>
      </c>
      <c r="L68" s="73">
        <v>5</v>
      </c>
      <c r="M68" s="73">
        <v>20</v>
      </c>
      <c r="N68" s="81">
        <v>44242</v>
      </c>
      <c r="O68" s="81">
        <v>44246</v>
      </c>
    </row>
    <row r="69" spans="1:16" ht="15" x14ac:dyDescent="0.25">
      <c r="A69" s="73">
        <v>62</v>
      </c>
      <c r="B69">
        <v>50625739</v>
      </c>
      <c r="C69" s="7" t="s">
        <v>336</v>
      </c>
      <c r="D69" s="74" t="s">
        <v>532</v>
      </c>
      <c r="E69" s="7" t="s">
        <v>12</v>
      </c>
      <c r="F69" s="7" t="s">
        <v>349</v>
      </c>
      <c r="G69" s="7" t="s">
        <v>159</v>
      </c>
      <c r="H69" s="7" t="s">
        <v>35</v>
      </c>
      <c r="I69" s="1"/>
      <c r="J69" t="s">
        <v>667</v>
      </c>
      <c r="K69" s="20">
        <v>16</v>
      </c>
      <c r="L69" s="20">
        <v>2</v>
      </c>
      <c r="M69" s="1">
        <v>8</v>
      </c>
      <c r="N69" s="18">
        <v>44539</v>
      </c>
      <c r="O69" s="18">
        <v>44540</v>
      </c>
      <c r="P69" t="s">
        <v>668</v>
      </c>
    </row>
    <row r="70" spans="1:16" ht="15" x14ac:dyDescent="0.25">
      <c r="A70" s="73">
        <v>63</v>
      </c>
      <c r="B70">
        <v>50625737</v>
      </c>
      <c r="C70" s="7" t="s">
        <v>336</v>
      </c>
      <c r="D70" s="74" t="s">
        <v>532</v>
      </c>
      <c r="E70" s="7" t="s">
        <v>12</v>
      </c>
      <c r="F70" s="7" t="s">
        <v>349</v>
      </c>
      <c r="G70" s="7" t="s">
        <v>669</v>
      </c>
      <c r="H70" s="7" t="s">
        <v>35</v>
      </c>
      <c r="I70" s="1"/>
      <c r="J70" t="s">
        <v>667</v>
      </c>
      <c r="K70" s="20">
        <v>16</v>
      </c>
      <c r="L70" s="20">
        <v>2</v>
      </c>
      <c r="M70" s="1">
        <v>7</v>
      </c>
      <c r="N70" s="18">
        <v>44543</v>
      </c>
      <c r="O70" s="18">
        <v>44544</v>
      </c>
      <c r="P70" t="s">
        <v>668</v>
      </c>
    </row>
    <row r="71" spans="1:16" ht="15" x14ac:dyDescent="0.25">
      <c r="A71" s="73">
        <v>64</v>
      </c>
      <c r="B71">
        <v>50625738</v>
      </c>
      <c r="C71" s="7" t="s">
        <v>336</v>
      </c>
      <c r="D71" s="74" t="s">
        <v>532</v>
      </c>
      <c r="E71" s="7" t="s">
        <v>12</v>
      </c>
      <c r="F71" s="7" t="s">
        <v>349</v>
      </c>
      <c r="G71" s="7" t="s">
        <v>68</v>
      </c>
      <c r="H71" s="7" t="s">
        <v>35</v>
      </c>
      <c r="I71" s="1"/>
      <c r="J71" t="s">
        <v>667</v>
      </c>
      <c r="K71" s="20">
        <v>16</v>
      </c>
      <c r="L71" s="20">
        <v>2</v>
      </c>
      <c r="M71" s="1">
        <v>5</v>
      </c>
      <c r="N71" s="18">
        <v>44545</v>
      </c>
      <c r="O71" s="18">
        <v>44546</v>
      </c>
      <c r="P71" t="s">
        <v>668</v>
      </c>
    </row>
    <row r="72" spans="1:16" ht="15" x14ac:dyDescent="0.25">
      <c r="A72" s="73">
        <v>65</v>
      </c>
      <c r="B72">
        <v>50625971</v>
      </c>
      <c r="C72" s="7" t="s">
        <v>336</v>
      </c>
      <c r="D72" s="74" t="s">
        <v>532</v>
      </c>
      <c r="E72" s="7" t="s">
        <v>12</v>
      </c>
      <c r="F72" s="7" t="s">
        <v>349</v>
      </c>
      <c r="G72" s="7" t="s">
        <v>34</v>
      </c>
      <c r="H72" s="7" t="s">
        <v>35</v>
      </c>
      <c r="I72" s="1">
        <v>196157</v>
      </c>
      <c r="J72" t="s">
        <v>670</v>
      </c>
      <c r="K72" s="20">
        <v>8</v>
      </c>
      <c r="L72" s="20">
        <v>1</v>
      </c>
      <c r="M72" s="1">
        <v>5</v>
      </c>
      <c r="N72" s="18">
        <v>44539</v>
      </c>
      <c r="O72" s="18">
        <v>44539</v>
      </c>
      <c r="P72" t="s">
        <v>671</v>
      </c>
    </row>
    <row r="73" spans="1:16" ht="15" x14ac:dyDescent="0.25">
      <c r="A73" s="73">
        <v>66</v>
      </c>
      <c r="C73" s="7" t="s">
        <v>336</v>
      </c>
      <c r="D73" s="74" t="s">
        <v>532</v>
      </c>
      <c r="E73" s="7" t="s">
        <v>15</v>
      </c>
      <c r="F73" s="7" t="s">
        <v>337</v>
      </c>
      <c r="G73" s="7" t="s">
        <v>34</v>
      </c>
      <c r="H73" s="7" t="s">
        <v>35</v>
      </c>
      <c r="I73" s="1">
        <v>196157</v>
      </c>
      <c r="J73" t="s">
        <v>670</v>
      </c>
      <c r="K73" s="20">
        <v>8</v>
      </c>
      <c r="L73" s="20">
        <v>1</v>
      </c>
      <c r="M73" s="1">
        <v>17</v>
      </c>
      <c r="N73" s="18">
        <v>44538</v>
      </c>
      <c r="O73" s="18">
        <v>44538</v>
      </c>
      <c r="P73" t="s">
        <v>671</v>
      </c>
    </row>
    <row r="74" spans="1:16" ht="15" x14ac:dyDescent="0.25">
      <c r="A74" s="73">
        <v>67</v>
      </c>
      <c r="C74" s="74" t="s">
        <v>672</v>
      </c>
      <c r="D74" s="74" t="s">
        <v>533</v>
      </c>
      <c r="E74" s="7" t="s">
        <v>11</v>
      </c>
      <c r="F74" s="7" t="s">
        <v>673</v>
      </c>
      <c r="G74" s="7" t="s">
        <v>89</v>
      </c>
      <c r="H74" s="45" t="s">
        <v>35</v>
      </c>
      <c r="I74" s="42">
        <v>514091</v>
      </c>
      <c r="J74" s="42" t="s">
        <v>674</v>
      </c>
      <c r="K74" s="266">
        <v>16</v>
      </c>
      <c r="L74" s="266">
        <v>2</v>
      </c>
      <c r="M74" s="266">
        <v>9</v>
      </c>
      <c r="N74" s="18">
        <v>44536</v>
      </c>
      <c r="O74" s="18">
        <v>44537</v>
      </c>
      <c r="P74" t="s">
        <v>675</v>
      </c>
    </row>
    <row r="75" spans="1:16" x14ac:dyDescent="0.25">
      <c r="A75" s="73">
        <v>68</v>
      </c>
      <c r="B75" s="208">
        <v>50609497</v>
      </c>
      <c r="C75" s="208"/>
      <c r="D75" s="208" t="s">
        <v>32</v>
      </c>
      <c r="E75" s="208" t="s">
        <v>6</v>
      </c>
      <c r="F75" s="208" t="s">
        <v>609</v>
      </c>
      <c r="G75" s="208" t="s">
        <v>658</v>
      </c>
      <c r="H75" s="208" t="s">
        <v>603</v>
      </c>
      <c r="I75" s="252">
        <v>510745</v>
      </c>
      <c r="J75" s="208" t="s">
        <v>623</v>
      </c>
      <c r="K75" s="268">
        <v>8</v>
      </c>
      <c r="L75" s="268">
        <v>1</v>
      </c>
      <c r="M75" s="268">
        <v>11</v>
      </c>
      <c r="N75" s="253">
        <v>44516</v>
      </c>
      <c r="O75" s="253">
        <v>44516</v>
      </c>
    </row>
    <row r="76" spans="1:16" x14ac:dyDescent="0.25">
      <c r="A76" s="73">
        <v>69</v>
      </c>
      <c r="B76" s="208">
        <v>50609491</v>
      </c>
      <c r="C76" s="208"/>
      <c r="D76" s="208" t="s">
        <v>32</v>
      </c>
      <c r="E76" s="208" t="s">
        <v>6</v>
      </c>
      <c r="F76" s="208" t="s">
        <v>609</v>
      </c>
      <c r="G76" s="252" t="s">
        <v>40</v>
      </c>
      <c r="H76" s="208" t="s">
        <v>603</v>
      </c>
      <c r="I76" s="252">
        <v>374253</v>
      </c>
      <c r="J76" s="252" t="s">
        <v>621</v>
      </c>
      <c r="K76" s="268">
        <v>24</v>
      </c>
      <c r="L76" s="268">
        <v>3</v>
      </c>
      <c r="M76" s="268">
        <v>11</v>
      </c>
      <c r="N76" s="253">
        <v>44516</v>
      </c>
      <c r="O76" s="253">
        <v>44518</v>
      </c>
    </row>
    <row r="77" spans="1:16" x14ac:dyDescent="0.25">
      <c r="A77" s="73">
        <v>70</v>
      </c>
      <c r="B77" s="208">
        <v>50609499</v>
      </c>
      <c r="C77" s="208"/>
      <c r="D77" s="208" t="s">
        <v>32</v>
      </c>
      <c r="E77" s="208" t="s">
        <v>6</v>
      </c>
      <c r="F77" s="208" t="s">
        <v>609</v>
      </c>
      <c r="G77" s="208" t="s">
        <v>658</v>
      </c>
      <c r="H77" s="208" t="s">
        <v>603</v>
      </c>
      <c r="I77" s="252">
        <v>374253</v>
      </c>
      <c r="J77" s="208" t="s">
        <v>621</v>
      </c>
      <c r="K77" s="268">
        <v>8</v>
      </c>
      <c r="L77" s="268">
        <v>1</v>
      </c>
      <c r="M77" s="268">
        <v>11</v>
      </c>
      <c r="N77" s="253">
        <v>44525</v>
      </c>
      <c r="O77" s="253">
        <v>44525</v>
      </c>
    </row>
    <row r="78" spans="1:16" x14ac:dyDescent="0.25">
      <c r="A78" s="73">
        <v>71</v>
      </c>
      <c r="B78" s="208">
        <v>50609540</v>
      </c>
      <c r="C78" s="208"/>
      <c r="D78" s="208" t="s">
        <v>32</v>
      </c>
      <c r="E78" s="208" t="s">
        <v>6</v>
      </c>
      <c r="F78" s="208" t="s">
        <v>609</v>
      </c>
      <c r="G78" s="208" t="s">
        <v>658</v>
      </c>
      <c r="H78" s="208" t="s">
        <v>603</v>
      </c>
      <c r="I78" s="252">
        <v>374253</v>
      </c>
      <c r="J78" s="208" t="s">
        <v>621</v>
      </c>
      <c r="K78" s="268">
        <v>8</v>
      </c>
      <c r="L78" s="268">
        <v>1</v>
      </c>
      <c r="M78" s="268">
        <v>9</v>
      </c>
      <c r="N78" s="253">
        <v>44544</v>
      </c>
      <c r="O78" s="253">
        <v>44544</v>
      </c>
    </row>
    <row r="79" spans="1:16" x14ac:dyDescent="0.25">
      <c r="A79" s="73">
        <v>72</v>
      </c>
      <c r="B79" s="208">
        <v>50624511</v>
      </c>
      <c r="C79" s="208"/>
      <c r="D79" s="208" t="s">
        <v>32</v>
      </c>
      <c r="E79" s="208" t="s">
        <v>14</v>
      </c>
      <c r="F79" s="208" t="s">
        <v>81</v>
      </c>
      <c r="G79" s="208" t="s">
        <v>638</v>
      </c>
      <c r="H79" s="208" t="s">
        <v>603</v>
      </c>
      <c r="I79" s="252">
        <v>491912</v>
      </c>
      <c r="J79" s="208" t="s">
        <v>652</v>
      </c>
      <c r="K79" s="268">
        <v>24</v>
      </c>
      <c r="L79" s="268">
        <v>3</v>
      </c>
      <c r="M79" s="268">
        <v>12</v>
      </c>
      <c r="N79" s="253">
        <v>44516</v>
      </c>
      <c r="O79" s="253">
        <v>44518</v>
      </c>
    </row>
    <row r="80" spans="1:16" x14ac:dyDescent="0.25">
      <c r="A80" s="73">
        <v>73</v>
      </c>
      <c r="B80" s="208">
        <v>50624935</v>
      </c>
      <c r="C80" s="208"/>
      <c r="D80" s="208" t="s">
        <v>32</v>
      </c>
      <c r="E80" s="208" t="s">
        <v>14</v>
      </c>
      <c r="F80" s="208" t="s">
        <v>81</v>
      </c>
      <c r="G80" s="208" t="s">
        <v>638</v>
      </c>
      <c r="H80" s="208" t="s">
        <v>603</v>
      </c>
      <c r="I80" s="252">
        <v>491912</v>
      </c>
      <c r="J80" s="208" t="s">
        <v>652</v>
      </c>
      <c r="K80" s="268">
        <v>24</v>
      </c>
      <c r="L80" s="268">
        <v>3</v>
      </c>
      <c r="M80" s="268">
        <v>8</v>
      </c>
      <c r="N80" s="253">
        <v>44523</v>
      </c>
      <c r="O80" s="253">
        <v>44525</v>
      </c>
    </row>
    <row r="81" spans="1:15" x14ac:dyDescent="0.25">
      <c r="A81" s="73">
        <v>74</v>
      </c>
      <c r="B81" s="208">
        <v>50609338</v>
      </c>
      <c r="C81" s="208"/>
      <c r="D81" s="208" t="s">
        <v>32</v>
      </c>
      <c r="E81" s="208" t="s">
        <v>14</v>
      </c>
      <c r="F81" s="208" t="s">
        <v>81</v>
      </c>
      <c r="G81" s="208" t="s">
        <v>638</v>
      </c>
      <c r="H81" s="208" t="s">
        <v>603</v>
      </c>
      <c r="I81" s="208"/>
      <c r="J81" s="208" t="s">
        <v>676</v>
      </c>
      <c r="K81" s="268">
        <v>24</v>
      </c>
      <c r="L81" s="268">
        <v>3</v>
      </c>
      <c r="M81" s="268">
        <v>10</v>
      </c>
      <c r="N81" s="253">
        <v>44525</v>
      </c>
      <c r="O81" s="253">
        <v>44527</v>
      </c>
    </row>
    <row r="82" spans="1:15" x14ac:dyDescent="0.25">
      <c r="A82" s="73">
        <v>75</v>
      </c>
      <c r="B82" s="208">
        <v>50625212</v>
      </c>
      <c r="C82" s="208"/>
      <c r="D82" s="208" t="s">
        <v>32</v>
      </c>
      <c r="E82" s="208" t="s">
        <v>14</v>
      </c>
      <c r="F82" s="208" t="s">
        <v>81</v>
      </c>
      <c r="G82" s="208" t="s">
        <v>638</v>
      </c>
      <c r="H82" s="208" t="s">
        <v>603</v>
      </c>
      <c r="I82" s="208">
        <v>329117</v>
      </c>
      <c r="J82" s="208" t="s">
        <v>656</v>
      </c>
      <c r="K82" s="268">
        <v>24</v>
      </c>
      <c r="L82" s="268">
        <v>3</v>
      </c>
      <c r="M82" s="268">
        <v>9</v>
      </c>
      <c r="N82" s="253">
        <v>44530</v>
      </c>
      <c r="O82" s="253">
        <v>44532</v>
      </c>
    </row>
    <row r="83" spans="1:15" x14ac:dyDescent="0.25">
      <c r="A83" s="73">
        <v>76</v>
      </c>
      <c r="B83" s="208">
        <v>50625740</v>
      </c>
      <c r="C83" s="208"/>
      <c r="D83" s="208" t="s">
        <v>32</v>
      </c>
      <c r="E83" s="208" t="s">
        <v>14</v>
      </c>
      <c r="F83" s="208" t="s">
        <v>81</v>
      </c>
      <c r="G83" s="208" t="s">
        <v>638</v>
      </c>
      <c r="H83" s="208" t="s">
        <v>603</v>
      </c>
      <c r="I83" s="208">
        <v>411339</v>
      </c>
      <c r="J83" s="208" t="s">
        <v>653</v>
      </c>
      <c r="K83" s="268">
        <v>24</v>
      </c>
      <c r="L83" s="268">
        <v>3</v>
      </c>
      <c r="M83" s="268">
        <v>13</v>
      </c>
      <c r="N83" s="253">
        <v>44544</v>
      </c>
      <c r="O83" s="253">
        <v>44546</v>
      </c>
    </row>
    <row r="84" spans="1:15" x14ac:dyDescent="0.25">
      <c r="A84" s="73">
        <v>77</v>
      </c>
      <c r="B84" s="208" t="s">
        <v>677</v>
      </c>
      <c r="C84" s="208"/>
      <c r="D84" s="208" t="s">
        <v>32</v>
      </c>
      <c r="E84" s="208" t="s">
        <v>12</v>
      </c>
      <c r="F84" s="208" t="s">
        <v>634</v>
      </c>
      <c r="H84" s="208" t="s">
        <v>603</v>
      </c>
      <c r="J84" s="208" t="s">
        <v>623</v>
      </c>
      <c r="K84" s="268">
        <v>16</v>
      </c>
      <c r="L84" s="268">
        <v>2</v>
      </c>
      <c r="M84" s="269">
        <v>28</v>
      </c>
      <c r="N84" s="253">
        <v>44522</v>
      </c>
      <c r="O84" s="253">
        <v>44523</v>
      </c>
    </row>
    <row r="85" spans="1:15" x14ac:dyDescent="0.25">
      <c r="A85" s="73">
        <v>78</v>
      </c>
      <c r="B85" s="208">
        <v>50610886</v>
      </c>
      <c r="C85" s="208"/>
      <c r="D85" s="208" t="s">
        <v>32</v>
      </c>
      <c r="E85" s="252" t="s">
        <v>12</v>
      </c>
      <c r="F85" s="208" t="s">
        <v>678</v>
      </c>
      <c r="G85" s="208" t="s">
        <v>679</v>
      </c>
      <c r="H85" s="208" t="s">
        <v>603</v>
      </c>
      <c r="I85" s="208"/>
      <c r="J85" s="208" t="s">
        <v>680</v>
      </c>
      <c r="K85" s="268">
        <v>24</v>
      </c>
      <c r="L85" s="268">
        <v>3</v>
      </c>
      <c r="M85" s="268">
        <v>11</v>
      </c>
      <c r="N85" s="253">
        <v>44538</v>
      </c>
      <c r="O85" s="253">
        <v>44540</v>
      </c>
    </row>
    <row r="86" spans="1:15" x14ac:dyDescent="0.25">
      <c r="A86" s="73">
        <v>79</v>
      </c>
      <c r="B86" s="74">
        <v>50626137</v>
      </c>
      <c r="D86" s="74" t="s">
        <v>640</v>
      </c>
      <c r="E86" s="252" t="s">
        <v>600</v>
      </c>
      <c r="F86" s="208" t="s">
        <v>681</v>
      </c>
      <c r="G86" s="208" t="s">
        <v>638</v>
      </c>
      <c r="H86" s="73" t="s">
        <v>603</v>
      </c>
      <c r="I86" s="76">
        <v>354951</v>
      </c>
      <c r="J86" s="74" t="s">
        <v>639</v>
      </c>
      <c r="K86" s="73">
        <v>24</v>
      </c>
      <c r="L86" s="73">
        <v>3</v>
      </c>
      <c r="M86" s="73">
        <v>13</v>
      </c>
      <c r="N86" s="81">
        <v>44551</v>
      </c>
      <c r="O86" s="81">
        <v>44553</v>
      </c>
    </row>
    <row r="87" spans="1:15" s="263" customFormat="1" x14ac:dyDescent="0.25">
      <c r="A87" s="73">
        <v>80</v>
      </c>
      <c r="B87" s="263">
        <v>50611942</v>
      </c>
      <c r="C87" s="263" t="s">
        <v>430</v>
      </c>
      <c r="D87" s="263" t="s">
        <v>533</v>
      </c>
      <c r="E87" s="262" t="s">
        <v>11</v>
      </c>
      <c r="F87" s="263" t="s">
        <v>624</v>
      </c>
      <c r="G87" s="262" t="s">
        <v>89</v>
      </c>
      <c r="H87" s="264" t="s">
        <v>35</v>
      </c>
      <c r="I87" s="76"/>
      <c r="J87" s="263" t="s">
        <v>682</v>
      </c>
      <c r="K87" s="76">
        <v>16</v>
      </c>
      <c r="L87" s="76">
        <v>2</v>
      </c>
      <c r="M87" s="76">
        <v>9</v>
      </c>
      <c r="N87" s="265">
        <v>44504</v>
      </c>
      <c r="O87" s="265">
        <v>44505</v>
      </c>
    </row>
    <row r="88" spans="1:15" ht="15" x14ac:dyDescent="0.25">
      <c r="A88" s="73">
        <v>81</v>
      </c>
      <c r="B88">
        <v>50623419</v>
      </c>
      <c r="C88" s="74" t="s">
        <v>657</v>
      </c>
      <c r="D88" s="263" t="s">
        <v>533</v>
      </c>
      <c r="E88" s="7" t="s">
        <v>12</v>
      </c>
      <c r="F88" s="74" t="s">
        <v>614</v>
      </c>
      <c r="G88" t="s">
        <v>605</v>
      </c>
      <c r="H88" s="264" t="s">
        <v>35</v>
      </c>
      <c r="J88" s="74" t="s">
        <v>659</v>
      </c>
      <c r="K88" s="73">
        <v>8</v>
      </c>
      <c r="L88" s="73">
        <v>1</v>
      </c>
      <c r="M88" s="73">
        <v>6</v>
      </c>
      <c r="N88" s="19">
        <v>44498</v>
      </c>
      <c r="O88" s="19">
        <v>44498</v>
      </c>
    </row>
    <row r="89" spans="1:15" ht="15" x14ac:dyDescent="0.25">
      <c r="B89">
        <v>50610329</v>
      </c>
      <c r="C89" t="s">
        <v>683</v>
      </c>
      <c r="D89" s="263" t="s">
        <v>533</v>
      </c>
      <c r="E89" s="262" t="s">
        <v>11</v>
      </c>
      <c r="F89" s="74" t="s">
        <v>663</v>
      </c>
      <c r="G89" t="s">
        <v>684</v>
      </c>
      <c r="H89" s="264" t="s">
        <v>35</v>
      </c>
      <c r="I89" s="270">
        <v>395269</v>
      </c>
      <c r="J89" s="271" t="s">
        <v>685</v>
      </c>
      <c r="K89" s="1">
        <v>3</v>
      </c>
      <c r="L89" s="1">
        <v>24</v>
      </c>
      <c r="M89" s="1">
        <v>8</v>
      </c>
      <c r="N89" s="207">
        <v>44531</v>
      </c>
      <c r="O89" s="207">
        <v>44533</v>
      </c>
    </row>
    <row r="90" spans="1:15" ht="15" x14ac:dyDescent="0.25">
      <c r="B90">
        <v>50610413</v>
      </c>
      <c r="C90" t="s">
        <v>683</v>
      </c>
      <c r="D90" s="263" t="s">
        <v>533</v>
      </c>
      <c r="E90" s="262" t="s">
        <v>11</v>
      </c>
      <c r="F90" s="74" t="s">
        <v>663</v>
      </c>
      <c r="G90" t="s">
        <v>68</v>
      </c>
      <c r="H90" s="264" t="s">
        <v>35</v>
      </c>
      <c r="I90" s="270">
        <v>395269</v>
      </c>
      <c r="J90" s="271" t="s">
        <v>685</v>
      </c>
      <c r="K90" s="1">
        <v>3</v>
      </c>
      <c r="L90" s="1">
        <v>24</v>
      </c>
      <c r="M90" s="1">
        <v>7</v>
      </c>
      <c r="N90" s="207">
        <v>44545</v>
      </c>
      <c r="O90" s="207">
        <v>44547</v>
      </c>
    </row>
    <row r="91" spans="1:15" ht="15" x14ac:dyDescent="0.25">
      <c r="B91">
        <v>50610887</v>
      </c>
      <c r="C91" t="s">
        <v>276</v>
      </c>
      <c r="D91" s="263" t="s">
        <v>533</v>
      </c>
      <c r="E91" s="262" t="s">
        <v>11</v>
      </c>
      <c r="F91" s="74" t="s">
        <v>624</v>
      </c>
      <c r="G91" t="s">
        <v>127</v>
      </c>
      <c r="H91" s="264" t="s">
        <v>35</v>
      </c>
      <c r="I91" s="270">
        <v>375253</v>
      </c>
      <c r="J91" s="271" t="s">
        <v>686</v>
      </c>
      <c r="K91" s="1">
        <v>2</v>
      </c>
      <c r="L91" s="1">
        <v>16</v>
      </c>
      <c r="M91" s="1">
        <v>12</v>
      </c>
      <c r="N91" s="207">
        <v>44490</v>
      </c>
      <c r="O91" s="207">
        <v>44491</v>
      </c>
    </row>
    <row r="92" spans="1:15" ht="15" x14ac:dyDescent="0.25">
      <c r="B92">
        <v>50611170</v>
      </c>
      <c r="C92" t="s">
        <v>460</v>
      </c>
      <c r="D92" s="263" t="s">
        <v>533</v>
      </c>
      <c r="E92" s="262" t="s">
        <v>11</v>
      </c>
      <c r="F92" t="s">
        <v>687</v>
      </c>
      <c r="G92" t="s">
        <v>89</v>
      </c>
      <c r="H92" s="264" t="s">
        <v>35</v>
      </c>
      <c r="I92" s="270">
        <v>331066</v>
      </c>
      <c r="J92" s="271" t="s">
        <v>688</v>
      </c>
      <c r="K92" s="1">
        <v>2</v>
      </c>
      <c r="L92" s="1">
        <v>16</v>
      </c>
      <c r="M92" s="1">
        <v>5</v>
      </c>
      <c r="N92" s="207">
        <v>44510</v>
      </c>
      <c r="O92" s="207">
        <v>44511</v>
      </c>
    </row>
    <row r="93" spans="1:15" ht="15" x14ac:dyDescent="0.25">
      <c r="B93">
        <v>50611301</v>
      </c>
      <c r="C93" t="s">
        <v>460</v>
      </c>
      <c r="D93" s="263" t="s">
        <v>533</v>
      </c>
      <c r="E93" s="262" t="s">
        <v>11</v>
      </c>
      <c r="F93" t="s">
        <v>687</v>
      </c>
      <c r="G93" t="s">
        <v>89</v>
      </c>
      <c r="H93" s="264" t="s">
        <v>35</v>
      </c>
      <c r="I93" s="270">
        <v>331066</v>
      </c>
      <c r="J93" s="271" t="s">
        <v>688</v>
      </c>
      <c r="K93" s="1">
        <v>2</v>
      </c>
      <c r="L93" s="1">
        <v>16</v>
      </c>
      <c r="M93" s="1">
        <v>7</v>
      </c>
      <c r="N93" s="207">
        <v>44517</v>
      </c>
      <c r="O93" s="207">
        <v>44518</v>
      </c>
    </row>
    <row r="94" spans="1:15" ht="15" x14ac:dyDescent="0.25">
      <c r="B94">
        <v>50611564</v>
      </c>
      <c r="C94" t="s">
        <v>460</v>
      </c>
      <c r="D94" s="263" t="s">
        <v>533</v>
      </c>
      <c r="E94" s="262" t="s">
        <v>11</v>
      </c>
      <c r="F94" t="s">
        <v>687</v>
      </c>
      <c r="G94" t="s">
        <v>89</v>
      </c>
      <c r="H94" s="264" t="s">
        <v>35</v>
      </c>
      <c r="I94" s="270">
        <v>331066</v>
      </c>
      <c r="J94" s="271" t="s">
        <v>688</v>
      </c>
      <c r="K94" s="1">
        <v>2</v>
      </c>
      <c r="L94" s="1">
        <v>16</v>
      </c>
      <c r="M94" s="1">
        <v>6</v>
      </c>
      <c r="N94" s="207">
        <v>44531</v>
      </c>
      <c r="O94" s="207">
        <v>44532</v>
      </c>
    </row>
    <row r="95" spans="1:15" ht="15" x14ac:dyDescent="0.25">
      <c r="B95">
        <v>50611577</v>
      </c>
      <c r="C95" t="s">
        <v>460</v>
      </c>
      <c r="D95" s="263" t="s">
        <v>533</v>
      </c>
      <c r="E95" s="262" t="s">
        <v>11</v>
      </c>
      <c r="F95" t="s">
        <v>687</v>
      </c>
      <c r="G95" t="s">
        <v>689</v>
      </c>
      <c r="H95" s="264" t="s">
        <v>35</v>
      </c>
      <c r="I95" s="270">
        <v>675132</v>
      </c>
      <c r="J95" s="271" t="s">
        <v>690</v>
      </c>
      <c r="K95" s="1">
        <v>1</v>
      </c>
      <c r="L95" s="1">
        <v>8</v>
      </c>
      <c r="M95" s="1">
        <v>11</v>
      </c>
      <c r="N95" s="207">
        <v>44523</v>
      </c>
      <c r="O95" s="207">
        <v>44523</v>
      </c>
    </row>
    <row r="96" spans="1:15" ht="15" x14ac:dyDescent="0.25">
      <c r="B96">
        <v>50611609</v>
      </c>
      <c r="C96" t="s">
        <v>276</v>
      </c>
      <c r="D96" s="263" t="s">
        <v>533</v>
      </c>
      <c r="E96" s="262" t="s">
        <v>11</v>
      </c>
      <c r="F96" s="74" t="s">
        <v>624</v>
      </c>
      <c r="G96" t="s">
        <v>89</v>
      </c>
      <c r="H96" s="264" t="s">
        <v>35</v>
      </c>
      <c r="I96" s="270">
        <v>375253</v>
      </c>
      <c r="J96" s="271" t="s">
        <v>686</v>
      </c>
      <c r="K96" s="1">
        <v>2</v>
      </c>
      <c r="L96" s="1">
        <v>16</v>
      </c>
      <c r="M96" s="1">
        <v>8</v>
      </c>
      <c r="N96" s="207">
        <v>44537</v>
      </c>
      <c r="O96" s="207">
        <v>44538</v>
      </c>
    </row>
    <row r="97" spans="2:15" ht="15" x14ac:dyDescent="0.25">
      <c r="B97">
        <v>50611686</v>
      </c>
      <c r="C97" t="s">
        <v>460</v>
      </c>
      <c r="D97" s="263" t="s">
        <v>533</v>
      </c>
      <c r="E97" s="262" t="s">
        <v>11</v>
      </c>
      <c r="F97" t="s">
        <v>687</v>
      </c>
      <c r="G97" t="s">
        <v>689</v>
      </c>
      <c r="H97" s="264" t="s">
        <v>35</v>
      </c>
      <c r="I97" s="270">
        <v>675132</v>
      </c>
      <c r="J97" s="271" t="s">
        <v>690</v>
      </c>
      <c r="K97" s="1">
        <v>1</v>
      </c>
      <c r="L97" s="1">
        <v>8</v>
      </c>
      <c r="M97" s="1">
        <v>11</v>
      </c>
      <c r="N97" s="207">
        <v>44524</v>
      </c>
      <c r="O97" s="207">
        <v>44524</v>
      </c>
    </row>
    <row r="98" spans="2:15" ht="15" x14ac:dyDescent="0.25">
      <c r="B98">
        <v>50611688</v>
      </c>
      <c r="C98" t="s">
        <v>460</v>
      </c>
      <c r="D98" s="263" t="s">
        <v>533</v>
      </c>
      <c r="E98" s="262" t="s">
        <v>11</v>
      </c>
      <c r="F98" t="s">
        <v>687</v>
      </c>
      <c r="G98" t="s">
        <v>689</v>
      </c>
      <c r="H98" s="264" t="s">
        <v>35</v>
      </c>
      <c r="I98" s="270">
        <v>675132</v>
      </c>
      <c r="J98" s="271" t="s">
        <v>690</v>
      </c>
      <c r="K98" s="1">
        <v>1</v>
      </c>
      <c r="L98" s="1">
        <v>8</v>
      </c>
      <c r="M98" s="1">
        <v>13</v>
      </c>
      <c r="N98" s="207">
        <v>44522</v>
      </c>
      <c r="O98" s="207">
        <v>44522</v>
      </c>
    </row>
    <row r="99" spans="2:15" ht="15" x14ac:dyDescent="0.25">
      <c r="B99">
        <v>50611689</v>
      </c>
      <c r="C99" t="s">
        <v>460</v>
      </c>
      <c r="D99" s="263" t="s">
        <v>533</v>
      </c>
      <c r="E99" s="262" t="s">
        <v>11</v>
      </c>
      <c r="F99" t="s">
        <v>687</v>
      </c>
      <c r="G99" t="s">
        <v>689</v>
      </c>
      <c r="H99" s="264" t="s">
        <v>35</v>
      </c>
      <c r="I99" s="270">
        <v>675132</v>
      </c>
      <c r="J99" s="271" t="s">
        <v>690</v>
      </c>
      <c r="K99" s="1">
        <v>1</v>
      </c>
      <c r="L99" s="1">
        <v>8</v>
      </c>
      <c r="M99" s="1">
        <v>11</v>
      </c>
      <c r="N99" s="207">
        <v>44525</v>
      </c>
      <c r="O99" s="207">
        <v>44525</v>
      </c>
    </row>
    <row r="100" spans="2:15" ht="15" x14ac:dyDescent="0.25">
      <c r="B100">
        <v>50611867</v>
      </c>
      <c r="C100" t="s">
        <v>276</v>
      </c>
      <c r="D100" s="263" t="s">
        <v>533</v>
      </c>
      <c r="E100" s="262" t="s">
        <v>11</v>
      </c>
      <c r="F100" s="74" t="s">
        <v>624</v>
      </c>
      <c r="G100" t="s">
        <v>89</v>
      </c>
      <c r="H100" s="264" t="s">
        <v>35</v>
      </c>
      <c r="I100" s="270">
        <v>375253</v>
      </c>
      <c r="J100" s="271" t="s">
        <v>686</v>
      </c>
      <c r="K100" s="1">
        <v>2</v>
      </c>
      <c r="L100" s="1">
        <v>16</v>
      </c>
      <c r="M100" s="1">
        <v>10</v>
      </c>
      <c r="N100" s="207">
        <v>44525</v>
      </c>
      <c r="O100" s="207">
        <v>44526</v>
      </c>
    </row>
    <row r="101" spans="2:15" ht="15" x14ac:dyDescent="0.25">
      <c r="B101">
        <v>50611903</v>
      </c>
      <c r="C101" t="s">
        <v>276</v>
      </c>
      <c r="D101" s="263" t="s">
        <v>533</v>
      </c>
      <c r="E101" s="262" t="s">
        <v>11</v>
      </c>
      <c r="F101" s="74" t="s">
        <v>624</v>
      </c>
      <c r="G101" t="s">
        <v>89</v>
      </c>
      <c r="H101" s="264" t="s">
        <v>35</v>
      </c>
      <c r="I101" s="270">
        <v>536181</v>
      </c>
      <c r="J101" s="271" t="s">
        <v>691</v>
      </c>
      <c r="K101" s="1">
        <v>2</v>
      </c>
      <c r="L101" s="1">
        <v>16</v>
      </c>
      <c r="M101" s="1">
        <v>10</v>
      </c>
      <c r="N101" s="207">
        <v>44494</v>
      </c>
      <c r="O101" s="207">
        <v>44495</v>
      </c>
    </row>
    <row r="102" spans="2:15" ht="15" x14ac:dyDescent="0.25">
      <c r="B102">
        <v>50611932</v>
      </c>
      <c r="C102" t="s">
        <v>276</v>
      </c>
      <c r="D102" s="263" t="s">
        <v>533</v>
      </c>
      <c r="E102" s="262" t="s">
        <v>11</v>
      </c>
      <c r="F102" s="74" t="s">
        <v>624</v>
      </c>
      <c r="G102" t="s">
        <v>89</v>
      </c>
      <c r="H102" s="264" t="s">
        <v>35</v>
      </c>
      <c r="I102" s="270">
        <v>536181</v>
      </c>
      <c r="J102" s="271" t="s">
        <v>691</v>
      </c>
      <c r="K102" s="1">
        <v>2</v>
      </c>
      <c r="L102" s="1">
        <v>16</v>
      </c>
      <c r="M102" s="1">
        <v>10</v>
      </c>
      <c r="N102" s="207">
        <v>44482</v>
      </c>
      <c r="O102" s="207">
        <v>44483</v>
      </c>
    </row>
    <row r="103" spans="2:15" ht="15" x14ac:dyDescent="0.25">
      <c r="B103">
        <v>50623420</v>
      </c>
      <c r="C103" t="s">
        <v>268</v>
      </c>
      <c r="D103" s="263" t="s">
        <v>533</v>
      </c>
      <c r="E103" s="208" t="s">
        <v>12</v>
      </c>
      <c r="F103" s="74" t="s">
        <v>614</v>
      </c>
      <c r="G103" t="s">
        <v>626</v>
      </c>
      <c r="H103" s="264" t="s">
        <v>35</v>
      </c>
      <c r="I103" s="270">
        <v>514091</v>
      </c>
      <c r="J103" s="271" t="s">
        <v>692</v>
      </c>
      <c r="K103" s="1">
        <v>2</v>
      </c>
      <c r="L103" s="1">
        <v>14</v>
      </c>
      <c r="M103" s="1">
        <v>9</v>
      </c>
      <c r="N103" s="207">
        <v>44536</v>
      </c>
      <c r="O103" s="207">
        <v>44537</v>
      </c>
    </row>
    <row r="104" spans="2:15" ht="15" x14ac:dyDescent="0.25">
      <c r="B104">
        <v>50625343</v>
      </c>
      <c r="C104" t="s">
        <v>276</v>
      </c>
      <c r="D104" s="263" t="s">
        <v>533</v>
      </c>
      <c r="E104" s="262" t="s">
        <v>11</v>
      </c>
      <c r="F104" t="s">
        <v>693</v>
      </c>
      <c r="G104" t="s">
        <v>694</v>
      </c>
      <c r="H104" s="264" t="s">
        <v>35</v>
      </c>
      <c r="I104" s="270">
        <v>510960</v>
      </c>
      <c r="J104" s="271" t="s">
        <v>695</v>
      </c>
      <c r="K104" s="1">
        <v>3</v>
      </c>
      <c r="L104" s="1">
        <v>24</v>
      </c>
      <c r="M104" s="1">
        <v>11</v>
      </c>
      <c r="N104" s="207">
        <v>44531</v>
      </c>
      <c r="O104" s="207">
        <v>44533</v>
      </c>
    </row>
    <row r="105" spans="2:15" ht="15" x14ac:dyDescent="0.25">
      <c r="B105">
        <v>50625345</v>
      </c>
      <c r="C105" t="s">
        <v>276</v>
      </c>
      <c r="D105" s="263" t="s">
        <v>533</v>
      </c>
      <c r="E105" s="262" t="s">
        <v>11</v>
      </c>
      <c r="F105" t="s">
        <v>693</v>
      </c>
      <c r="G105" t="s">
        <v>696</v>
      </c>
      <c r="H105" s="264" t="s">
        <v>35</v>
      </c>
      <c r="I105" s="270">
        <v>510960</v>
      </c>
      <c r="J105" s="271" t="s">
        <v>695</v>
      </c>
      <c r="K105" s="1">
        <v>1</v>
      </c>
      <c r="L105" s="1">
        <v>8</v>
      </c>
      <c r="M105" s="1">
        <v>10</v>
      </c>
      <c r="N105" s="207">
        <v>44536</v>
      </c>
      <c r="O105" s="207">
        <v>44536</v>
      </c>
    </row>
    <row r="106" spans="2:15" ht="15" x14ac:dyDescent="0.25">
      <c r="B106">
        <v>50609987</v>
      </c>
      <c r="C106" t="s">
        <v>683</v>
      </c>
      <c r="D106" s="263" t="s">
        <v>533</v>
      </c>
      <c r="E106" s="262" t="s">
        <v>11</v>
      </c>
      <c r="F106" s="74" t="s">
        <v>663</v>
      </c>
      <c r="G106" t="s">
        <v>697</v>
      </c>
      <c r="H106" s="264" t="s">
        <v>35</v>
      </c>
      <c r="I106" s="270">
        <v>395269</v>
      </c>
      <c r="J106" s="271" t="s">
        <v>685</v>
      </c>
      <c r="K106">
        <v>2</v>
      </c>
      <c r="L106">
        <v>16</v>
      </c>
      <c r="M106">
        <v>8</v>
      </c>
      <c r="N106" s="207">
        <v>44529</v>
      </c>
      <c r="O106" s="207">
        <v>44530</v>
      </c>
    </row>
    <row r="107" spans="2:15" ht="15" x14ac:dyDescent="0.25">
      <c r="B107">
        <v>50610141</v>
      </c>
      <c r="C107" t="s">
        <v>319</v>
      </c>
      <c r="D107" s="263" t="s">
        <v>533</v>
      </c>
      <c r="E107" s="262" t="s">
        <v>11</v>
      </c>
      <c r="F107" s="74" t="s">
        <v>663</v>
      </c>
      <c r="G107" t="s">
        <v>68</v>
      </c>
      <c r="H107" s="264" t="s">
        <v>35</v>
      </c>
      <c r="I107" s="270">
        <v>395269</v>
      </c>
      <c r="J107" s="271" t="s">
        <v>685</v>
      </c>
      <c r="K107">
        <v>3</v>
      </c>
      <c r="L107">
        <v>24</v>
      </c>
      <c r="M107">
        <v>8</v>
      </c>
      <c r="N107" s="207">
        <v>44524</v>
      </c>
      <c r="O107" s="207">
        <v>44526</v>
      </c>
    </row>
    <row r="108" spans="2:15" ht="15" x14ac:dyDescent="0.25">
      <c r="B108">
        <v>50610194</v>
      </c>
      <c r="C108" t="s">
        <v>319</v>
      </c>
      <c r="D108" s="263" t="s">
        <v>533</v>
      </c>
      <c r="E108" s="262" t="s">
        <v>11</v>
      </c>
      <c r="F108" s="74" t="s">
        <v>663</v>
      </c>
      <c r="G108" t="s">
        <v>697</v>
      </c>
      <c r="H108" s="264" t="s">
        <v>35</v>
      </c>
      <c r="I108" s="270">
        <v>395269</v>
      </c>
      <c r="J108" s="271" t="s">
        <v>685</v>
      </c>
      <c r="K108">
        <v>2</v>
      </c>
      <c r="L108">
        <v>16</v>
      </c>
      <c r="M108">
        <v>8</v>
      </c>
      <c r="N108" s="207">
        <v>44536</v>
      </c>
      <c r="O108" s="207">
        <v>44537</v>
      </c>
    </row>
    <row r="109" spans="2:15" ht="15" x14ac:dyDescent="0.25">
      <c r="B109">
        <v>50610282</v>
      </c>
      <c r="C109" t="s">
        <v>683</v>
      </c>
      <c r="D109" s="263" t="s">
        <v>533</v>
      </c>
      <c r="E109" s="262" t="s">
        <v>11</v>
      </c>
      <c r="F109" s="74" t="s">
        <v>663</v>
      </c>
      <c r="G109" t="s">
        <v>68</v>
      </c>
      <c r="H109" s="264" t="s">
        <v>35</v>
      </c>
      <c r="I109" s="270">
        <v>395269</v>
      </c>
      <c r="J109" s="271" t="s">
        <v>685</v>
      </c>
      <c r="K109">
        <v>3</v>
      </c>
      <c r="L109">
        <v>24</v>
      </c>
      <c r="M109">
        <v>8</v>
      </c>
      <c r="N109" s="207">
        <v>44538</v>
      </c>
      <c r="O109" s="207">
        <v>44540</v>
      </c>
    </row>
  </sheetData>
  <autoFilter ref="A8:P109" xr:uid="{00000000-0001-0000-0400-000000000000}"/>
  <conditionalFormatting sqref="B89:B105">
    <cfRule type="duplicateValues" dxfId="5" priority="5"/>
    <cfRule type="duplicateValues" dxfId="4" priority="6"/>
    <cfRule type="duplicateValues" dxfId="3" priority="7"/>
    <cfRule type="duplicateValues" priority="8"/>
  </conditionalFormatting>
  <conditionalFormatting sqref="B106:B109">
    <cfRule type="duplicateValues" dxfId="2" priority="1"/>
    <cfRule type="duplicateValues" dxfId="1" priority="2"/>
    <cfRule type="duplicateValues" dxfId="0" priority="3"/>
    <cfRule type="duplicateValues" priority="4"/>
  </conditionalFormatting>
  <dataValidations count="1">
    <dataValidation allowBlank="1" showInputMessage="1" showErrorMessage="1" sqref="G46 E46 G18:G19 E9:E10" xr:uid="{04507FF0-ED19-4274-BC73-3008D4CFFCAC}"/>
  </dataValidations>
  <pageMargins left="0.7" right="0.7" top="0.75" bottom="0.75" header="0.3" footer="0.3"/>
  <pageSetup paperSize="9" orientation="portrait" horizontalDpi="4294967294" verticalDpi="4294967294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Catalogo!$D$5:$D$15</xm:f>
          </x14:formula1>
          <xm:sqref>E30:E44 G17 E27:E28 E57:E58 E47:E49 E11:E15</xm:sqref>
        </x14:dataValidation>
        <x14:dataValidation type="list" allowBlank="1" showInputMessage="1" showErrorMessage="1" xr:uid="{00000000-0002-0000-0400-000001000000}">
          <x14:formula1>
            <xm:f>Catalogo!$F$5:$F$33</xm:f>
          </x14:formula1>
          <xm:sqref>G9:G15 G47:G49 G57 G17 G20:G22 G27:G45</xm:sqref>
        </x14:dataValidation>
        <x14:dataValidation type="list" allowBlank="1" showInputMessage="1" showErrorMessage="1" xr:uid="{00000000-0002-0000-0400-000002000000}">
          <x14:formula1>
            <xm:f>Catalogo!$B$9:$B$10</xm:f>
          </x14:formula1>
          <xm:sqref>H9:H49 H64:H68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O676"/>
  <sheetViews>
    <sheetView workbookViewId="0">
      <selection activeCell="D535" sqref="D535:D669"/>
    </sheetView>
  </sheetViews>
  <sheetFormatPr baseColWidth="10" defaultColWidth="11.42578125" defaultRowHeight="15" x14ac:dyDescent="0.25"/>
  <cols>
    <col min="1" max="1" width="3.28515625" customWidth="1"/>
    <col min="6" max="6" width="62.85546875" bestFit="1" customWidth="1"/>
    <col min="7" max="7" width="14.28515625" customWidth="1"/>
  </cols>
  <sheetData>
    <row r="4" spans="1:15" s="3" customFormat="1" ht="31.5" x14ac:dyDescent="0.25">
      <c r="A4" s="4" t="s">
        <v>20</v>
      </c>
      <c r="B4" s="4" t="s">
        <v>2</v>
      </c>
      <c r="C4" s="4" t="s">
        <v>22</v>
      </c>
      <c r="D4" s="4" t="s">
        <v>23</v>
      </c>
      <c r="E4" s="4" t="s">
        <v>24</v>
      </c>
      <c r="F4" s="4" t="s">
        <v>25</v>
      </c>
      <c r="G4" s="5" t="s">
        <v>26</v>
      </c>
      <c r="H4" s="4" t="s">
        <v>27</v>
      </c>
      <c r="I4" s="4" t="s">
        <v>28</v>
      </c>
      <c r="J4" s="5" t="s">
        <v>29</v>
      </c>
      <c r="K4" s="4" t="s">
        <v>30</v>
      </c>
      <c r="L4" s="5" t="s">
        <v>31</v>
      </c>
      <c r="M4" s="5" t="s">
        <v>0</v>
      </c>
      <c r="N4" s="21" t="s">
        <v>19</v>
      </c>
      <c r="O4" s="4" t="s">
        <v>17</v>
      </c>
    </row>
    <row r="5" spans="1:15" x14ac:dyDescent="0.25">
      <c r="B5" s="7" t="s">
        <v>497</v>
      </c>
      <c r="C5" s="17">
        <v>30518</v>
      </c>
      <c r="D5" s="7" t="s">
        <v>10</v>
      </c>
      <c r="E5" s="7" t="s">
        <v>511</v>
      </c>
      <c r="F5" s="7" t="s">
        <v>65</v>
      </c>
      <c r="G5" s="7" t="s">
        <v>35</v>
      </c>
      <c r="H5" s="8">
        <v>245435</v>
      </c>
      <c r="I5" s="7" t="s">
        <v>485</v>
      </c>
      <c r="J5" s="20">
        <v>24</v>
      </c>
      <c r="K5" s="20">
        <v>3</v>
      </c>
      <c r="L5" s="111">
        <v>7</v>
      </c>
      <c r="M5" s="18" t="s">
        <v>59</v>
      </c>
      <c r="N5" s="18">
        <v>44303</v>
      </c>
      <c r="O5" s="8" t="s">
        <v>60</v>
      </c>
    </row>
    <row r="6" spans="1:15" x14ac:dyDescent="0.25">
      <c r="B6" s="7" t="s">
        <v>497</v>
      </c>
      <c r="C6" s="17">
        <v>24884</v>
      </c>
      <c r="D6" s="7" t="s">
        <v>7</v>
      </c>
      <c r="E6" s="7" t="s">
        <v>78</v>
      </c>
      <c r="F6" s="7" t="s">
        <v>34</v>
      </c>
      <c r="G6" s="7" t="s">
        <v>35</v>
      </c>
      <c r="H6" s="8">
        <v>245434</v>
      </c>
      <c r="I6" s="7" t="s">
        <v>500</v>
      </c>
      <c r="J6" s="20">
        <v>8</v>
      </c>
      <c r="K6" s="20">
        <v>1</v>
      </c>
      <c r="L6" s="111">
        <v>8</v>
      </c>
      <c r="M6" s="18">
        <v>44344</v>
      </c>
      <c r="N6" s="18">
        <v>44344</v>
      </c>
      <c r="O6" s="8" t="s">
        <v>77</v>
      </c>
    </row>
    <row r="7" spans="1:15" x14ac:dyDescent="0.25">
      <c r="B7" s="7" t="s">
        <v>497</v>
      </c>
      <c r="C7" s="17">
        <v>24886</v>
      </c>
      <c r="D7" s="7" t="s">
        <v>7</v>
      </c>
      <c r="E7" s="7" t="s">
        <v>78</v>
      </c>
      <c r="F7" s="7" t="s">
        <v>34</v>
      </c>
      <c r="G7" s="7" t="s">
        <v>35</v>
      </c>
      <c r="H7" s="8">
        <v>245434</v>
      </c>
      <c r="I7" s="7" t="s">
        <v>500</v>
      </c>
      <c r="J7" s="20">
        <v>8</v>
      </c>
      <c r="K7" s="20">
        <v>1</v>
      </c>
      <c r="L7" s="111">
        <v>8</v>
      </c>
      <c r="M7" s="18">
        <v>44347</v>
      </c>
      <c r="N7" s="18">
        <v>44347</v>
      </c>
      <c r="O7" s="8" t="s">
        <v>77</v>
      </c>
    </row>
    <row r="8" spans="1:15" x14ac:dyDescent="0.25">
      <c r="B8" s="7" t="s">
        <v>497</v>
      </c>
      <c r="C8" s="17">
        <v>31049</v>
      </c>
      <c r="D8" s="7" t="s">
        <v>10</v>
      </c>
      <c r="E8" s="7" t="s">
        <v>498</v>
      </c>
      <c r="F8" s="7" t="s">
        <v>346</v>
      </c>
      <c r="G8" s="7" t="s">
        <v>35</v>
      </c>
      <c r="H8" s="8">
        <v>370733</v>
      </c>
      <c r="I8" s="7" t="s">
        <v>499</v>
      </c>
      <c r="J8" s="20">
        <v>16</v>
      </c>
      <c r="K8" s="20">
        <v>2</v>
      </c>
      <c r="L8" s="111">
        <v>10</v>
      </c>
      <c r="M8" s="18" t="s">
        <v>284</v>
      </c>
      <c r="N8" s="18">
        <v>44337</v>
      </c>
      <c r="O8" s="8" t="s">
        <v>77</v>
      </c>
    </row>
    <row r="9" spans="1:15" x14ac:dyDescent="0.25">
      <c r="B9" s="7" t="s">
        <v>497</v>
      </c>
      <c r="C9" s="17">
        <v>31205</v>
      </c>
      <c r="D9" s="7" t="s">
        <v>10</v>
      </c>
      <c r="E9" s="7" t="s">
        <v>498</v>
      </c>
      <c r="F9" s="7" t="s">
        <v>65</v>
      </c>
      <c r="G9" s="7" t="s">
        <v>35</v>
      </c>
      <c r="H9" s="8">
        <v>245435</v>
      </c>
      <c r="I9" s="7" t="s">
        <v>485</v>
      </c>
      <c r="J9" s="20">
        <v>24</v>
      </c>
      <c r="K9" s="20">
        <v>3</v>
      </c>
      <c r="L9" s="111">
        <v>10</v>
      </c>
      <c r="M9" s="18" t="s">
        <v>90</v>
      </c>
      <c r="N9" s="18">
        <v>44339</v>
      </c>
      <c r="O9" s="8" t="s">
        <v>77</v>
      </c>
    </row>
    <row r="10" spans="1:15" x14ac:dyDescent="0.25">
      <c r="B10" s="7" t="s">
        <v>497</v>
      </c>
      <c r="C10" s="17">
        <v>24874</v>
      </c>
      <c r="D10" s="7" t="s">
        <v>7</v>
      </c>
      <c r="E10" s="7" t="s">
        <v>78</v>
      </c>
      <c r="F10" s="7" t="s">
        <v>148</v>
      </c>
      <c r="G10" s="7" t="s">
        <v>35</v>
      </c>
      <c r="H10" s="8">
        <v>245435</v>
      </c>
      <c r="I10" s="7" t="s">
        <v>485</v>
      </c>
      <c r="J10" s="20">
        <v>8</v>
      </c>
      <c r="K10" s="20">
        <v>1</v>
      </c>
      <c r="L10" s="111">
        <v>8</v>
      </c>
      <c r="M10" s="18">
        <v>44343</v>
      </c>
      <c r="N10" s="18">
        <v>44343</v>
      </c>
      <c r="O10" s="8" t="s">
        <v>77</v>
      </c>
    </row>
    <row r="11" spans="1:15" x14ac:dyDescent="0.25">
      <c r="B11" s="7" t="s">
        <v>497</v>
      </c>
      <c r="C11" s="17">
        <v>24514</v>
      </c>
      <c r="D11" s="7" t="s">
        <v>7</v>
      </c>
      <c r="E11" s="7" t="s">
        <v>78</v>
      </c>
      <c r="F11" s="7" t="s">
        <v>89</v>
      </c>
      <c r="G11" s="7" t="s">
        <v>35</v>
      </c>
      <c r="H11" s="8">
        <v>322115</v>
      </c>
      <c r="I11" s="7" t="s">
        <v>501</v>
      </c>
      <c r="J11" s="20">
        <v>16</v>
      </c>
      <c r="K11" s="20">
        <v>2</v>
      </c>
      <c r="L11" s="111">
        <v>13</v>
      </c>
      <c r="M11" s="18" t="s">
        <v>91</v>
      </c>
      <c r="N11" s="18" t="s">
        <v>426</v>
      </c>
      <c r="O11" s="8" t="s">
        <v>77</v>
      </c>
    </row>
    <row r="12" spans="1:15" x14ac:dyDescent="0.25">
      <c r="B12" s="7" t="s">
        <v>497</v>
      </c>
      <c r="C12" s="17">
        <v>24811</v>
      </c>
      <c r="D12" s="7" t="s">
        <v>7</v>
      </c>
      <c r="E12" s="7" t="s">
        <v>78</v>
      </c>
      <c r="F12" s="7" t="s">
        <v>294</v>
      </c>
      <c r="G12" s="7" t="s">
        <v>35</v>
      </c>
      <c r="H12" s="8">
        <v>971841</v>
      </c>
      <c r="I12" s="7" t="s">
        <v>457</v>
      </c>
      <c r="J12" s="20">
        <v>8</v>
      </c>
      <c r="K12" s="20">
        <v>1</v>
      </c>
      <c r="L12" s="111">
        <v>10</v>
      </c>
      <c r="M12" s="18" t="s">
        <v>426</v>
      </c>
      <c r="N12" s="18" t="s">
        <v>426</v>
      </c>
      <c r="O12" s="8" t="s">
        <v>77</v>
      </c>
    </row>
    <row r="13" spans="1:15" x14ac:dyDescent="0.25">
      <c r="B13" s="7" t="s">
        <v>497</v>
      </c>
      <c r="C13" s="17">
        <v>24735</v>
      </c>
      <c r="D13" s="7" t="s">
        <v>7</v>
      </c>
      <c r="E13" s="7" t="s">
        <v>78</v>
      </c>
      <c r="F13" s="7" t="s">
        <v>40</v>
      </c>
      <c r="G13" s="7" t="s">
        <v>35</v>
      </c>
      <c r="H13" s="8">
        <v>971841</v>
      </c>
      <c r="I13" s="7" t="s">
        <v>457</v>
      </c>
      <c r="J13" s="20">
        <v>24</v>
      </c>
      <c r="K13" s="20">
        <v>3</v>
      </c>
      <c r="L13" s="111">
        <v>9</v>
      </c>
      <c r="M13" s="18" t="s">
        <v>93</v>
      </c>
      <c r="N13" s="18" t="s">
        <v>428</v>
      </c>
      <c r="O13" s="8" t="s">
        <v>77</v>
      </c>
    </row>
    <row r="14" spans="1:15" x14ac:dyDescent="0.25">
      <c r="B14" s="7" t="s">
        <v>497</v>
      </c>
      <c r="C14" s="17">
        <v>25318</v>
      </c>
      <c r="D14" s="7" t="s">
        <v>7</v>
      </c>
      <c r="E14" s="7" t="s">
        <v>78</v>
      </c>
      <c r="F14" s="7" t="s">
        <v>199</v>
      </c>
      <c r="G14" s="7" t="s">
        <v>35</v>
      </c>
      <c r="H14" s="8">
        <v>245434</v>
      </c>
      <c r="I14" s="7" t="s">
        <v>500</v>
      </c>
      <c r="J14" s="20">
        <v>8</v>
      </c>
      <c r="K14" s="20">
        <v>1</v>
      </c>
      <c r="L14" s="111">
        <v>10</v>
      </c>
      <c r="M14" s="18">
        <v>44347</v>
      </c>
      <c r="N14" s="18">
        <v>44347</v>
      </c>
      <c r="O14" s="8" t="s">
        <v>77</v>
      </c>
    </row>
    <row r="15" spans="1:15" x14ac:dyDescent="0.25">
      <c r="B15" s="7" t="s">
        <v>497</v>
      </c>
      <c r="C15" s="17">
        <v>24635</v>
      </c>
      <c r="D15" s="7" t="s">
        <v>7</v>
      </c>
      <c r="E15" s="7" t="s">
        <v>78</v>
      </c>
      <c r="F15" s="7" t="s">
        <v>68</v>
      </c>
      <c r="G15" s="7" t="s">
        <v>35</v>
      </c>
      <c r="H15" s="8">
        <v>322115</v>
      </c>
      <c r="I15" s="7" t="s">
        <v>501</v>
      </c>
      <c r="J15" s="20">
        <v>24</v>
      </c>
      <c r="K15" s="20">
        <v>3</v>
      </c>
      <c r="L15" s="111">
        <v>8</v>
      </c>
      <c r="M15" s="18">
        <v>44347</v>
      </c>
      <c r="N15" s="18">
        <v>44349</v>
      </c>
      <c r="O15" s="8" t="s">
        <v>77</v>
      </c>
    </row>
    <row r="16" spans="1:15" x14ac:dyDescent="0.25">
      <c r="B16" s="7" t="s">
        <v>497</v>
      </c>
      <c r="C16" s="17">
        <v>24882</v>
      </c>
      <c r="D16" s="7" t="s">
        <v>7</v>
      </c>
      <c r="E16" s="7" t="s">
        <v>78</v>
      </c>
      <c r="F16" s="7" t="s">
        <v>34</v>
      </c>
      <c r="G16" s="7" t="s">
        <v>35</v>
      </c>
      <c r="H16" s="8">
        <v>245434</v>
      </c>
      <c r="I16" s="7" t="s">
        <v>500</v>
      </c>
      <c r="J16" s="20">
        <v>8</v>
      </c>
      <c r="K16" s="20">
        <v>1</v>
      </c>
      <c r="L16" s="111">
        <v>10</v>
      </c>
      <c r="M16" s="18" t="s">
        <v>289</v>
      </c>
      <c r="N16" s="18" t="s">
        <v>289</v>
      </c>
      <c r="O16" s="8" t="s">
        <v>100</v>
      </c>
    </row>
    <row r="17" spans="2:15" x14ac:dyDescent="0.25">
      <c r="B17" s="7" t="s">
        <v>497</v>
      </c>
      <c r="C17" s="17">
        <v>24516</v>
      </c>
      <c r="D17" s="7" t="s">
        <v>7</v>
      </c>
      <c r="E17" s="7" t="s">
        <v>78</v>
      </c>
      <c r="F17" s="7" t="s">
        <v>89</v>
      </c>
      <c r="G17" s="7" t="s">
        <v>35</v>
      </c>
      <c r="H17" s="8">
        <v>245435</v>
      </c>
      <c r="I17" s="7" t="s">
        <v>485</v>
      </c>
      <c r="J17" s="20">
        <v>16</v>
      </c>
      <c r="K17" s="20">
        <v>2</v>
      </c>
      <c r="L17" s="111">
        <v>8</v>
      </c>
      <c r="M17" s="18" t="s">
        <v>104</v>
      </c>
      <c r="N17" s="18" t="s">
        <v>298</v>
      </c>
      <c r="O17" s="8" t="s">
        <v>100</v>
      </c>
    </row>
    <row r="18" spans="2:15" x14ac:dyDescent="0.25">
      <c r="B18" s="7" t="s">
        <v>497</v>
      </c>
      <c r="C18" s="17">
        <v>29376</v>
      </c>
      <c r="D18" s="7" t="s">
        <v>10</v>
      </c>
      <c r="E18" s="7" t="s">
        <v>74</v>
      </c>
      <c r="F18" s="7" t="s">
        <v>65</v>
      </c>
      <c r="G18" s="7" t="s">
        <v>35</v>
      </c>
      <c r="H18" s="8">
        <v>322115</v>
      </c>
      <c r="I18" s="7" t="s">
        <v>501</v>
      </c>
      <c r="J18" s="20">
        <v>24</v>
      </c>
      <c r="K18" s="20">
        <v>3</v>
      </c>
      <c r="L18" s="111">
        <v>13</v>
      </c>
      <c r="M18" s="18" t="s">
        <v>103</v>
      </c>
      <c r="N18" s="18" t="s">
        <v>298</v>
      </c>
      <c r="O18" s="8" t="s">
        <v>100</v>
      </c>
    </row>
    <row r="19" spans="2:15" x14ac:dyDescent="0.25">
      <c r="B19" s="7" t="s">
        <v>497</v>
      </c>
      <c r="C19" s="17">
        <v>25320</v>
      </c>
      <c r="D19" s="7" t="s">
        <v>7</v>
      </c>
      <c r="E19" s="7" t="s">
        <v>78</v>
      </c>
      <c r="F19" s="7" t="s">
        <v>199</v>
      </c>
      <c r="G19" s="7" t="s">
        <v>35</v>
      </c>
      <c r="H19" s="8">
        <v>245434</v>
      </c>
      <c r="I19" s="7" t="s">
        <v>500</v>
      </c>
      <c r="J19" s="20">
        <v>8</v>
      </c>
      <c r="K19" s="20">
        <v>1</v>
      </c>
      <c r="L19" s="111">
        <v>9</v>
      </c>
      <c r="M19" s="18" t="s">
        <v>300</v>
      </c>
      <c r="N19" s="18" t="s">
        <v>300</v>
      </c>
      <c r="O19" s="8" t="s">
        <v>100</v>
      </c>
    </row>
    <row r="20" spans="2:15" x14ac:dyDescent="0.25">
      <c r="B20" s="7" t="s">
        <v>497</v>
      </c>
      <c r="C20" s="17">
        <v>24517</v>
      </c>
      <c r="D20" s="7" t="s">
        <v>7</v>
      </c>
      <c r="E20" s="7" t="s">
        <v>78</v>
      </c>
      <c r="F20" s="7" t="s">
        <v>89</v>
      </c>
      <c r="G20" s="7" t="s">
        <v>35</v>
      </c>
      <c r="H20" s="8">
        <v>245435</v>
      </c>
      <c r="I20" s="7" t="s">
        <v>485</v>
      </c>
      <c r="J20" s="20">
        <v>16</v>
      </c>
      <c r="K20" s="20">
        <v>2</v>
      </c>
      <c r="L20" s="111">
        <v>8</v>
      </c>
      <c r="M20" s="18" t="s">
        <v>299</v>
      </c>
      <c r="N20" s="18" t="s">
        <v>300</v>
      </c>
      <c r="O20" s="8" t="s">
        <v>100</v>
      </c>
    </row>
    <row r="21" spans="2:15" x14ac:dyDescent="0.25">
      <c r="B21" s="7" t="s">
        <v>497</v>
      </c>
      <c r="C21" s="17">
        <v>31048</v>
      </c>
      <c r="D21" s="7" t="s">
        <v>10</v>
      </c>
      <c r="E21" s="7" t="s">
        <v>498</v>
      </c>
      <c r="F21" s="7" t="s">
        <v>346</v>
      </c>
      <c r="G21" s="7" t="s">
        <v>35</v>
      </c>
      <c r="H21" s="8">
        <v>370733</v>
      </c>
      <c r="I21" s="7" t="s">
        <v>499</v>
      </c>
      <c r="J21" s="20">
        <v>16</v>
      </c>
      <c r="K21" s="20">
        <v>2</v>
      </c>
      <c r="L21" s="111">
        <v>10</v>
      </c>
      <c r="M21" s="18" t="s">
        <v>299</v>
      </c>
      <c r="N21" s="18" t="s">
        <v>300</v>
      </c>
      <c r="O21" s="8" t="s">
        <v>100</v>
      </c>
    </row>
    <row r="22" spans="2:15" x14ac:dyDescent="0.25">
      <c r="B22" s="7" t="s">
        <v>497</v>
      </c>
      <c r="C22" s="17">
        <v>24861</v>
      </c>
      <c r="D22" s="7" t="s">
        <v>7</v>
      </c>
      <c r="E22" s="7" t="s">
        <v>78</v>
      </c>
      <c r="F22" s="7" t="s">
        <v>362</v>
      </c>
      <c r="G22" s="7" t="s">
        <v>35</v>
      </c>
      <c r="H22" s="8">
        <v>445938</v>
      </c>
      <c r="I22" s="7" t="s">
        <v>507</v>
      </c>
      <c r="J22" s="20">
        <v>24</v>
      </c>
      <c r="K22" s="20">
        <v>3</v>
      </c>
      <c r="L22" s="111">
        <v>9</v>
      </c>
      <c r="M22" s="18" t="s">
        <v>592</v>
      </c>
      <c r="N22" s="18" t="s">
        <v>698</v>
      </c>
      <c r="O22" s="8" t="s">
        <v>100</v>
      </c>
    </row>
    <row r="23" spans="2:15" x14ac:dyDescent="0.25">
      <c r="B23" s="7" t="s">
        <v>497</v>
      </c>
      <c r="C23" s="17">
        <v>24739</v>
      </c>
      <c r="D23" s="7" t="s">
        <v>7</v>
      </c>
      <c r="E23" s="7" t="s">
        <v>78</v>
      </c>
      <c r="F23" s="7" t="s">
        <v>40</v>
      </c>
      <c r="G23" s="7" t="s">
        <v>35</v>
      </c>
      <c r="H23" s="8">
        <v>971841</v>
      </c>
      <c r="I23" s="7" t="s">
        <v>457</v>
      </c>
      <c r="J23" s="20">
        <v>24</v>
      </c>
      <c r="K23" s="20">
        <v>3</v>
      </c>
      <c r="L23" s="111">
        <v>8</v>
      </c>
      <c r="M23" s="18" t="s">
        <v>592</v>
      </c>
      <c r="N23" s="18">
        <v>44728</v>
      </c>
      <c r="O23" s="8" t="s">
        <v>100</v>
      </c>
    </row>
    <row r="24" spans="2:15" x14ac:dyDescent="0.25">
      <c r="B24" s="7" t="s">
        <v>497</v>
      </c>
      <c r="C24" s="17">
        <v>24608</v>
      </c>
      <c r="D24" s="7" t="s">
        <v>7</v>
      </c>
      <c r="E24" s="7" t="s">
        <v>78</v>
      </c>
      <c r="F24" s="7" t="s">
        <v>317</v>
      </c>
      <c r="G24" s="7" t="s">
        <v>35</v>
      </c>
      <c r="H24" s="8">
        <v>373645</v>
      </c>
      <c r="I24" s="7" t="s">
        <v>503</v>
      </c>
      <c r="J24" s="20">
        <v>16</v>
      </c>
      <c r="K24" s="20">
        <v>2</v>
      </c>
      <c r="L24" s="111">
        <v>12</v>
      </c>
      <c r="M24" s="18" t="s">
        <v>110</v>
      </c>
      <c r="N24" s="18" t="s">
        <v>113</v>
      </c>
      <c r="O24" s="8" t="s">
        <v>100</v>
      </c>
    </row>
    <row r="25" spans="2:15" x14ac:dyDescent="0.25">
      <c r="B25" s="7" t="s">
        <v>497</v>
      </c>
      <c r="C25" s="17">
        <v>24740</v>
      </c>
      <c r="D25" s="7" t="s">
        <v>7</v>
      </c>
      <c r="E25" s="7" t="s">
        <v>78</v>
      </c>
      <c r="F25" s="7" t="s">
        <v>40</v>
      </c>
      <c r="G25" s="7" t="s">
        <v>35</v>
      </c>
      <c r="H25" s="8">
        <v>971841</v>
      </c>
      <c r="I25" s="7" t="s">
        <v>457</v>
      </c>
      <c r="J25" s="20">
        <v>24</v>
      </c>
      <c r="K25" s="20">
        <v>3</v>
      </c>
      <c r="L25" s="111">
        <v>8</v>
      </c>
      <c r="M25" s="18" t="s">
        <v>306</v>
      </c>
      <c r="N25" s="18" t="s">
        <v>116</v>
      </c>
      <c r="O25" s="8" t="s">
        <v>100</v>
      </c>
    </row>
    <row r="26" spans="2:15" x14ac:dyDescent="0.25">
      <c r="B26" s="7" t="s">
        <v>497</v>
      </c>
      <c r="C26" s="17">
        <v>24639</v>
      </c>
      <c r="D26" s="7" t="s">
        <v>7</v>
      </c>
      <c r="E26" s="7" t="s">
        <v>78</v>
      </c>
      <c r="F26" s="7" t="s">
        <v>68</v>
      </c>
      <c r="G26" s="7" t="s">
        <v>35</v>
      </c>
      <c r="H26" s="8">
        <v>245435</v>
      </c>
      <c r="I26" s="7" t="s">
        <v>485</v>
      </c>
      <c r="J26" s="20">
        <v>24</v>
      </c>
      <c r="K26" s="20">
        <v>3</v>
      </c>
      <c r="L26" s="111">
        <v>9</v>
      </c>
      <c r="M26" s="18" t="s">
        <v>116</v>
      </c>
      <c r="N26" s="18" t="s">
        <v>117</v>
      </c>
      <c r="O26" s="8" t="s">
        <v>100</v>
      </c>
    </row>
    <row r="27" spans="2:15" x14ac:dyDescent="0.25">
      <c r="B27" s="7" t="s">
        <v>497</v>
      </c>
      <c r="C27" s="17">
        <v>24640</v>
      </c>
      <c r="D27" s="7" t="s">
        <v>7</v>
      </c>
      <c r="E27" s="7" t="s">
        <v>78</v>
      </c>
      <c r="F27" s="7" t="s">
        <v>68</v>
      </c>
      <c r="G27" s="7" t="s">
        <v>35</v>
      </c>
      <c r="H27" s="8">
        <v>322115</v>
      </c>
      <c r="I27" s="7" t="s">
        <v>501</v>
      </c>
      <c r="J27" s="20">
        <v>24</v>
      </c>
      <c r="K27" s="20">
        <v>3</v>
      </c>
      <c r="L27" s="111">
        <v>8</v>
      </c>
      <c r="M27" s="18" t="s">
        <v>311</v>
      </c>
      <c r="N27" s="18" t="s">
        <v>120</v>
      </c>
      <c r="O27" s="8" t="s">
        <v>119</v>
      </c>
    </row>
    <row r="28" spans="2:15" x14ac:dyDescent="0.25">
      <c r="B28" s="7" t="s">
        <v>497</v>
      </c>
      <c r="C28" s="17">
        <v>25324</v>
      </c>
      <c r="D28" s="7" t="s">
        <v>7</v>
      </c>
      <c r="E28" s="7" t="s">
        <v>78</v>
      </c>
      <c r="F28" s="7" t="s">
        <v>199</v>
      </c>
      <c r="G28" s="7" t="s">
        <v>35</v>
      </c>
      <c r="H28" s="8">
        <v>245434</v>
      </c>
      <c r="I28" s="7" t="s">
        <v>500</v>
      </c>
      <c r="J28" s="20">
        <v>8</v>
      </c>
      <c r="K28" s="20">
        <v>1</v>
      </c>
      <c r="L28" s="111">
        <v>11</v>
      </c>
      <c r="M28" s="18" t="s">
        <v>126</v>
      </c>
      <c r="N28" s="18" t="s">
        <v>126</v>
      </c>
      <c r="O28" s="8" t="s">
        <v>119</v>
      </c>
    </row>
    <row r="29" spans="2:15" x14ac:dyDescent="0.25">
      <c r="B29" s="7" t="s">
        <v>497</v>
      </c>
      <c r="C29" s="17">
        <v>24885</v>
      </c>
      <c r="D29" s="7" t="s">
        <v>7</v>
      </c>
      <c r="E29" s="7" t="s">
        <v>78</v>
      </c>
      <c r="F29" s="7" t="s">
        <v>34</v>
      </c>
      <c r="G29" s="7" t="s">
        <v>35</v>
      </c>
      <c r="H29" s="8">
        <v>245434</v>
      </c>
      <c r="I29" s="7" t="s">
        <v>500</v>
      </c>
      <c r="J29" s="20">
        <v>8</v>
      </c>
      <c r="K29" s="20">
        <v>1</v>
      </c>
      <c r="L29" s="111">
        <v>10</v>
      </c>
      <c r="M29" s="18" t="s">
        <v>128</v>
      </c>
      <c r="N29" s="18" t="s">
        <v>128</v>
      </c>
      <c r="O29" s="8" t="s">
        <v>119</v>
      </c>
    </row>
    <row r="30" spans="2:15" x14ac:dyDescent="0.25">
      <c r="B30" s="7" t="s">
        <v>497</v>
      </c>
      <c r="C30" s="17">
        <v>22165</v>
      </c>
      <c r="D30" s="7" t="s">
        <v>6</v>
      </c>
      <c r="E30" s="7" t="s">
        <v>33</v>
      </c>
      <c r="F30" s="7" t="s">
        <v>89</v>
      </c>
      <c r="G30" s="7" t="s">
        <v>35</v>
      </c>
      <c r="H30" s="8">
        <v>245435</v>
      </c>
      <c r="I30" s="7" t="s">
        <v>485</v>
      </c>
      <c r="J30" s="20">
        <v>16</v>
      </c>
      <c r="K30" s="20">
        <v>2</v>
      </c>
      <c r="L30" s="111">
        <v>14</v>
      </c>
      <c r="M30" s="18" t="s">
        <v>315</v>
      </c>
      <c r="N30" s="18" t="s">
        <v>128</v>
      </c>
      <c r="O30" s="8" t="s">
        <v>119</v>
      </c>
    </row>
    <row r="31" spans="2:15" x14ac:dyDescent="0.25">
      <c r="B31" s="7" t="s">
        <v>497</v>
      </c>
      <c r="C31" s="17">
        <v>29380</v>
      </c>
      <c r="D31" s="7" t="s">
        <v>10</v>
      </c>
      <c r="E31" s="7" t="s">
        <v>74</v>
      </c>
      <c r="F31" s="7" t="s">
        <v>65</v>
      </c>
      <c r="G31" s="7" t="s">
        <v>35</v>
      </c>
      <c r="H31" s="8">
        <v>971841</v>
      </c>
      <c r="I31" s="7" t="s">
        <v>457</v>
      </c>
      <c r="J31" s="20">
        <v>24</v>
      </c>
      <c r="K31" s="20">
        <v>3</v>
      </c>
      <c r="L31" s="111">
        <v>11</v>
      </c>
      <c r="M31" s="18" t="s">
        <v>318</v>
      </c>
      <c r="N31" s="18" t="s">
        <v>130</v>
      </c>
      <c r="O31" s="8" t="s">
        <v>119</v>
      </c>
    </row>
    <row r="32" spans="2:15" x14ac:dyDescent="0.25">
      <c r="B32" s="7" t="s">
        <v>497</v>
      </c>
      <c r="C32" s="17">
        <v>24522</v>
      </c>
      <c r="D32" s="7" t="s">
        <v>7</v>
      </c>
      <c r="E32" s="7" t="s">
        <v>78</v>
      </c>
      <c r="F32" s="7" t="s">
        <v>89</v>
      </c>
      <c r="G32" s="7" t="s">
        <v>35</v>
      </c>
      <c r="H32" s="8">
        <v>245435</v>
      </c>
      <c r="I32" s="7" t="s">
        <v>485</v>
      </c>
      <c r="J32" s="20">
        <v>16</v>
      </c>
      <c r="K32" s="20">
        <v>2</v>
      </c>
      <c r="L32" s="111">
        <v>12</v>
      </c>
      <c r="M32" s="18" t="s">
        <v>357</v>
      </c>
      <c r="N32" s="18" t="s">
        <v>504</v>
      </c>
      <c r="O32" s="8" t="s">
        <v>119</v>
      </c>
    </row>
    <row r="33" spans="2:15" x14ac:dyDescent="0.25">
      <c r="B33" s="7" t="s">
        <v>497</v>
      </c>
      <c r="C33" s="17">
        <v>24883</v>
      </c>
      <c r="D33" s="7" t="s">
        <v>7</v>
      </c>
      <c r="E33" s="7" t="s">
        <v>78</v>
      </c>
      <c r="F33" s="7" t="s">
        <v>34</v>
      </c>
      <c r="G33" s="7" t="s">
        <v>35</v>
      </c>
      <c r="H33" s="8">
        <v>245434</v>
      </c>
      <c r="I33" s="7" t="s">
        <v>500</v>
      </c>
      <c r="J33" s="20">
        <v>8</v>
      </c>
      <c r="K33" s="20">
        <v>1</v>
      </c>
      <c r="L33" s="111">
        <v>10</v>
      </c>
      <c r="M33" s="18" t="s">
        <v>131</v>
      </c>
      <c r="N33" s="18" t="s">
        <v>131</v>
      </c>
      <c r="O33" s="8" t="s">
        <v>119</v>
      </c>
    </row>
    <row r="34" spans="2:15" x14ac:dyDescent="0.25">
      <c r="B34" s="7" t="s">
        <v>497</v>
      </c>
      <c r="C34" s="17">
        <v>23278</v>
      </c>
      <c r="D34" s="7" t="s">
        <v>6</v>
      </c>
      <c r="E34" s="7" t="s">
        <v>33</v>
      </c>
      <c r="F34" s="7" t="s">
        <v>40</v>
      </c>
      <c r="G34" s="7" t="s">
        <v>35</v>
      </c>
      <c r="H34" s="8">
        <v>971841</v>
      </c>
      <c r="I34" s="7" t="s">
        <v>457</v>
      </c>
      <c r="J34" s="20">
        <v>24</v>
      </c>
      <c r="K34" s="20">
        <v>3</v>
      </c>
      <c r="L34" s="111">
        <v>8</v>
      </c>
      <c r="M34" s="18" t="s">
        <v>504</v>
      </c>
      <c r="N34" s="18" t="s">
        <v>132</v>
      </c>
      <c r="O34" s="8" t="s">
        <v>119</v>
      </c>
    </row>
    <row r="35" spans="2:15" x14ac:dyDescent="0.25">
      <c r="B35" s="7" t="s">
        <v>497</v>
      </c>
      <c r="C35" s="17">
        <v>23314</v>
      </c>
      <c r="D35" s="7" t="s">
        <v>6</v>
      </c>
      <c r="E35" s="7" t="s">
        <v>33</v>
      </c>
      <c r="F35" s="7" t="s">
        <v>34</v>
      </c>
      <c r="G35" s="7" t="s">
        <v>35</v>
      </c>
      <c r="H35" s="8">
        <v>971841</v>
      </c>
      <c r="I35" s="7" t="s">
        <v>457</v>
      </c>
      <c r="J35" s="20">
        <v>8</v>
      </c>
      <c r="K35" s="20">
        <v>1</v>
      </c>
      <c r="L35" s="111">
        <v>10</v>
      </c>
      <c r="M35" s="18" t="s">
        <v>444</v>
      </c>
      <c r="N35" s="18" t="s">
        <v>444</v>
      </c>
      <c r="O35" s="8" t="s">
        <v>119</v>
      </c>
    </row>
    <row r="36" spans="2:15" x14ac:dyDescent="0.25">
      <c r="B36" s="7" t="s">
        <v>497</v>
      </c>
      <c r="C36" s="17">
        <v>24613</v>
      </c>
      <c r="D36" s="7" t="s">
        <v>7</v>
      </c>
      <c r="E36" s="7" t="s">
        <v>78</v>
      </c>
      <c r="F36" s="7" t="s">
        <v>317</v>
      </c>
      <c r="G36" s="7" t="s">
        <v>35</v>
      </c>
      <c r="H36" s="8">
        <v>245434</v>
      </c>
      <c r="I36" s="7" t="s">
        <v>500</v>
      </c>
      <c r="J36" s="20">
        <v>16</v>
      </c>
      <c r="K36" s="20">
        <v>2</v>
      </c>
      <c r="L36" s="111">
        <v>12</v>
      </c>
      <c r="M36" s="18" t="s">
        <v>134</v>
      </c>
      <c r="N36" s="18" t="s">
        <v>135</v>
      </c>
      <c r="O36" s="8" t="s">
        <v>119</v>
      </c>
    </row>
    <row r="37" spans="2:15" x14ac:dyDescent="0.25">
      <c r="B37" s="7" t="s">
        <v>497</v>
      </c>
      <c r="C37" s="17">
        <v>23279</v>
      </c>
      <c r="D37" s="7" t="s">
        <v>6</v>
      </c>
      <c r="E37" s="7" t="s">
        <v>33</v>
      </c>
      <c r="F37" s="7" t="s">
        <v>40</v>
      </c>
      <c r="G37" s="7" t="s">
        <v>35</v>
      </c>
      <c r="H37" s="8">
        <v>971841</v>
      </c>
      <c r="I37" s="7" t="s">
        <v>457</v>
      </c>
      <c r="J37" s="20">
        <v>24</v>
      </c>
      <c r="K37" s="20">
        <v>3</v>
      </c>
      <c r="L37" s="111">
        <v>8</v>
      </c>
      <c r="M37" s="18" t="s">
        <v>135</v>
      </c>
      <c r="N37" s="18" t="s">
        <v>137</v>
      </c>
      <c r="O37" s="8" t="s">
        <v>119</v>
      </c>
    </row>
    <row r="38" spans="2:15" x14ac:dyDescent="0.25">
      <c r="B38" s="7" t="s">
        <v>497</v>
      </c>
      <c r="C38" s="17">
        <v>23315</v>
      </c>
      <c r="D38" s="7" t="s">
        <v>6</v>
      </c>
      <c r="E38" s="7" t="s">
        <v>33</v>
      </c>
      <c r="F38" s="7" t="s">
        <v>34</v>
      </c>
      <c r="G38" s="7" t="s">
        <v>35</v>
      </c>
      <c r="H38" s="8">
        <v>971841</v>
      </c>
      <c r="I38" s="7" t="s">
        <v>457</v>
      </c>
      <c r="J38" s="20">
        <v>8</v>
      </c>
      <c r="K38" s="20">
        <v>1</v>
      </c>
      <c r="L38" s="111">
        <v>9</v>
      </c>
      <c r="M38" s="18" t="s">
        <v>358</v>
      </c>
      <c r="N38" s="18" t="s">
        <v>358</v>
      </c>
      <c r="O38" s="8" t="s">
        <v>119</v>
      </c>
    </row>
    <row r="39" spans="2:15" x14ac:dyDescent="0.25">
      <c r="B39" s="7" t="s">
        <v>497</v>
      </c>
      <c r="C39" s="17">
        <v>23316</v>
      </c>
      <c r="D39" s="7" t="s">
        <v>6</v>
      </c>
      <c r="E39" s="7" t="s">
        <v>33</v>
      </c>
      <c r="F39" s="7" t="s">
        <v>34</v>
      </c>
      <c r="G39" s="7" t="s">
        <v>35</v>
      </c>
      <c r="H39" s="8">
        <v>971841</v>
      </c>
      <c r="I39" s="7" t="s">
        <v>457</v>
      </c>
      <c r="J39" s="20">
        <v>8</v>
      </c>
      <c r="K39" s="20">
        <v>1</v>
      </c>
      <c r="L39" s="111">
        <v>10</v>
      </c>
      <c r="M39" s="18" t="s">
        <v>140</v>
      </c>
      <c r="N39" s="18" t="s">
        <v>140</v>
      </c>
      <c r="O39" s="8" t="s">
        <v>141</v>
      </c>
    </row>
    <row r="40" spans="2:15" x14ac:dyDescent="0.25">
      <c r="B40" s="7" t="s">
        <v>497</v>
      </c>
      <c r="C40" s="17">
        <v>24841</v>
      </c>
      <c r="D40" s="7" t="s">
        <v>7</v>
      </c>
      <c r="E40" s="7" t="s">
        <v>78</v>
      </c>
      <c r="F40" s="7" t="s">
        <v>65</v>
      </c>
      <c r="G40" s="7" t="s">
        <v>35</v>
      </c>
      <c r="H40" s="8">
        <v>245435</v>
      </c>
      <c r="I40" s="7" t="s">
        <v>485</v>
      </c>
      <c r="J40" s="20">
        <v>24</v>
      </c>
      <c r="K40" s="20">
        <v>3</v>
      </c>
      <c r="L40" s="111">
        <v>8</v>
      </c>
      <c r="M40" s="18" t="s">
        <v>139</v>
      </c>
      <c r="N40" s="18" t="s">
        <v>143</v>
      </c>
      <c r="O40" s="8" t="s">
        <v>141</v>
      </c>
    </row>
    <row r="41" spans="2:15" x14ac:dyDescent="0.25">
      <c r="B41" s="7" t="s">
        <v>497</v>
      </c>
      <c r="C41" s="17">
        <v>23313</v>
      </c>
      <c r="D41" s="7" t="s">
        <v>6</v>
      </c>
      <c r="E41" s="7" t="s">
        <v>33</v>
      </c>
      <c r="F41" s="7" t="s">
        <v>34</v>
      </c>
      <c r="G41" s="7" t="s">
        <v>35</v>
      </c>
      <c r="H41" s="8">
        <v>971841</v>
      </c>
      <c r="I41" s="7" t="s">
        <v>457</v>
      </c>
      <c r="J41" s="20">
        <v>8</v>
      </c>
      <c r="K41" s="20">
        <v>1</v>
      </c>
      <c r="L41" s="111">
        <v>9</v>
      </c>
      <c r="M41" s="18" t="s">
        <v>143</v>
      </c>
      <c r="N41" s="18" t="s">
        <v>143</v>
      </c>
      <c r="O41" s="8" t="s">
        <v>141</v>
      </c>
    </row>
    <row r="42" spans="2:15" x14ac:dyDescent="0.25">
      <c r="B42" s="7" t="s">
        <v>497</v>
      </c>
      <c r="C42" s="17">
        <v>23317</v>
      </c>
      <c r="D42" s="7" t="s">
        <v>6</v>
      </c>
      <c r="E42" s="7" t="s">
        <v>33</v>
      </c>
      <c r="F42" s="7" t="s">
        <v>34</v>
      </c>
      <c r="G42" s="7" t="s">
        <v>35</v>
      </c>
      <c r="H42" s="8">
        <v>971841</v>
      </c>
      <c r="I42" s="7" t="s">
        <v>457</v>
      </c>
      <c r="J42" s="20">
        <v>8</v>
      </c>
      <c r="K42" s="20">
        <v>1</v>
      </c>
      <c r="L42" s="111">
        <v>9</v>
      </c>
      <c r="M42" s="18" t="s">
        <v>145</v>
      </c>
      <c r="N42" s="18" t="s">
        <v>145</v>
      </c>
      <c r="O42" s="8" t="s">
        <v>141</v>
      </c>
    </row>
    <row r="43" spans="2:15" x14ac:dyDescent="0.25">
      <c r="B43" s="7" t="s">
        <v>497</v>
      </c>
      <c r="C43" s="17">
        <v>22186</v>
      </c>
      <c r="D43" s="7" t="s">
        <v>6</v>
      </c>
      <c r="E43" s="7" t="s">
        <v>33</v>
      </c>
      <c r="F43" s="7" t="s">
        <v>148</v>
      </c>
      <c r="G43" s="7" t="s">
        <v>35</v>
      </c>
      <c r="H43" s="8">
        <v>245435</v>
      </c>
      <c r="I43" s="7" t="s">
        <v>485</v>
      </c>
      <c r="J43" s="20">
        <v>8</v>
      </c>
      <c r="K43" s="20">
        <v>1</v>
      </c>
      <c r="L43" s="111">
        <v>11</v>
      </c>
      <c r="M43" s="18" t="s">
        <v>146</v>
      </c>
      <c r="N43" s="18" t="s">
        <v>146</v>
      </c>
      <c r="O43" s="8" t="s">
        <v>141</v>
      </c>
    </row>
    <row r="44" spans="2:15" x14ac:dyDescent="0.25">
      <c r="B44" s="7" t="s">
        <v>497</v>
      </c>
      <c r="C44" s="17">
        <v>24524</v>
      </c>
      <c r="D44" s="7" t="s">
        <v>7</v>
      </c>
      <c r="E44" s="7" t="s">
        <v>78</v>
      </c>
      <c r="F44" s="7" t="s">
        <v>89</v>
      </c>
      <c r="G44" s="7" t="s">
        <v>35</v>
      </c>
      <c r="H44" s="8">
        <v>322115</v>
      </c>
      <c r="I44" s="7" t="s">
        <v>501</v>
      </c>
      <c r="J44" s="20">
        <v>16</v>
      </c>
      <c r="K44" s="20">
        <v>2</v>
      </c>
      <c r="L44" s="111">
        <v>12</v>
      </c>
      <c r="M44" s="18" t="s">
        <v>145</v>
      </c>
      <c r="N44" s="18" t="s">
        <v>146</v>
      </c>
      <c r="O44" s="8" t="s">
        <v>141</v>
      </c>
    </row>
    <row r="45" spans="2:15" x14ac:dyDescent="0.25">
      <c r="B45" s="7" t="s">
        <v>497</v>
      </c>
      <c r="C45" s="17">
        <v>31047</v>
      </c>
      <c r="D45" s="7" t="s">
        <v>10</v>
      </c>
      <c r="E45" s="7" t="s">
        <v>498</v>
      </c>
      <c r="F45" s="7" t="s">
        <v>346</v>
      </c>
      <c r="G45" s="7" t="s">
        <v>35</v>
      </c>
      <c r="H45" s="8">
        <v>370733</v>
      </c>
      <c r="I45" s="7" t="s">
        <v>499</v>
      </c>
      <c r="J45" s="20">
        <v>16</v>
      </c>
      <c r="K45" s="20">
        <v>2</v>
      </c>
      <c r="L45" s="111">
        <v>10</v>
      </c>
      <c r="M45" s="18" t="s">
        <v>145</v>
      </c>
      <c r="N45" s="18" t="s">
        <v>146</v>
      </c>
      <c r="O45" s="8" t="s">
        <v>141</v>
      </c>
    </row>
    <row r="46" spans="2:15" x14ac:dyDescent="0.25">
      <c r="B46" s="7" t="s">
        <v>497</v>
      </c>
      <c r="C46" s="17">
        <v>22187</v>
      </c>
      <c r="D46" s="7" t="s">
        <v>6</v>
      </c>
      <c r="E46" s="7" t="s">
        <v>33</v>
      </c>
      <c r="F46" s="7" t="s">
        <v>148</v>
      </c>
      <c r="G46" s="7" t="s">
        <v>35</v>
      </c>
      <c r="H46" s="8">
        <v>245435</v>
      </c>
      <c r="I46" s="7" t="s">
        <v>485</v>
      </c>
      <c r="J46" s="20">
        <v>8</v>
      </c>
      <c r="K46" s="20">
        <v>1</v>
      </c>
      <c r="L46" s="111">
        <v>12</v>
      </c>
      <c r="M46" s="18" t="s">
        <v>151</v>
      </c>
      <c r="N46" s="18" t="s">
        <v>151</v>
      </c>
      <c r="O46" s="8" t="s">
        <v>141</v>
      </c>
    </row>
    <row r="47" spans="2:15" x14ac:dyDescent="0.25">
      <c r="B47" s="7" t="s">
        <v>497</v>
      </c>
      <c r="C47" s="17">
        <v>25304</v>
      </c>
      <c r="D47" s="7" t="s">
        <v>7</v>
      </c>
      <c r="E47" s="7" t="s">
        <v>78</v>
      </c>
      <c r="F47" s="7" t="s">
        <v>199</v>
      </c>
      <c r="G47" s="7" t="s">
        <v>35</v>
      </c>
      <c r="H47" s="8">
        <v>322115</v>
      </c>
      <c r="I47" s="7" t="s">
        <v>501</v>
      </c>
      <c r="J47" s="20">
        <v>8</v>
      </c>
      <c r="K47" s="20">
        <v>1</v>
      </c>
      <c r="L47" s="111">
        <v>12</v>
      </c>
      <c r="M47" s="18" t="s">
        <v>153</v>
      </c>
      <c r="N47" s="18" t="s">
        <v>153</v>
      </c>
      <c r="O47" s="8" t="s">
        <v>141</v>
      </c>
    </row>
    <row r="48" spans="2:15" x14ac:dyDescent="0.25">
      <c r="B48" s="7" t="s">
        <v>497</v>
      </c>
      <c r="C48" s="17">
        <v>22188</v>
      </c>
      <c r="D48" s="7" t="s">
        <v>6</v>
      </c>
      <c r="E48" s="7" t="s">
        <v>33</v>
      </c>
      <c r="F48" s="7" t="s">
        <v>148</v>
      </c>
      <c r="G48" s="7" t="s">
        <v>35</v>
      </c>
      <c r="H48" s="8">
        <v>245435</v>
      </c>
      <c r="I48" s="7" t="s">
        <v>485</v>
      </c>
      <c r="J48" s="20">
        <v>8</v>
      </c>
      <c r="K48" s="20">
        <v>1</v>
      </c>
      <c r="L48" s="111">
        <v>12</v>
      </c>
      <c r="M48" s="18" t="s">
        <v>156</v>
      </c>
      <c r="N48" s="18" t="s">
        <v>156</v>
      </c>
      <c r="O48" s="8" t="s">
        <v>141</v>
      </c>
    </row>
    <row r="49" spans="2:15" x14ac:dyDescent="0.25">
      <c r="B49" s="7" t="s">
        <v>497</v>
      </c>
      <c r="C49" s="17">
        <v>24646</v>
      </c>
      <c r="D49" s="7" t="s">
        <v>7</v>
      </c>
      <c r="E49" s="7" t="s">
        <v>78</v>
      </c>
      <c r="F49" s="7" t="s">
        <v>68</v>
      </c>
      <c r="G49" s="7" t="s">
        <v>35</v>
      </c>
      <c r="H49" s="8">
        <v>322115</v>
      </c>
      <c r="I49" s="7" t="s">
        <v>501</v>
      </c>
      <c r="J49" s="20">
        <v>24</v>
      </c>
      <c r="K49" s="20">
        <v>3</v>
      </c>
      <c r="L49" s="111">
        <v>12</v>
      </c>
      <c r="M49" s="18">
        <v>44424</v>
      </c>
      <c r="N49" s="18" t="s">
        <v>156</v>
      </c>
      <c r="O49" s="8" t="s">
        <v>141</v>
      </c>
    </row>
    <row r="50" spans="2:15" x14ac:dyDescent="0.25">
      <c r="B50" s="7" t="s">
        <v>497</v>
      </c>
      <c r="C50" s="17">
        <v>24586</v>
      </c>
      <c r="D50" s="7" t="s">
        <v>7</v>
      </c>
      <c r="E50" s="7" t="s">
        <v>78</v>
      </c>
      <c r="F50" s="7" t="s">
        <v>346</v>
      </c>
      <c r="G50" s="7" t="s">
        <v>35</v>
      </c>
      <c r="H50" s="8">
        <v>370733</v>
      </c>
      <c r="I50" s="7" t="s">
        <v>499</v>
      </c>
      <c r="J50" s="20">
        <v>16</v>
      </c>
      <c r="K50" s="20">
        <v>2</v>
      </c>
      <c r="L50" s="111">
        <v>15</v>
      </c>
      <c r="M50" s="18" t="s">
        <v>155</v>
      </c>
      <c r="N50" s="18" t="s">
        <v>156</v>
      </c>
      <c r="O50" s="8" t="s">
        <v>141</v>
      </c>
    </row>
    <row r="51" spans="2:15" x14ac:dyDescent="0.25">
      <c r="B51" s="7" t="s">
        <v>497</v>
      </c>
      <c r="C51" s="17">
        <v>22189</v>
      </c>
      <c r="D51" s="7" t="s">
        <v>6</v>
      </c>
      <c r="E51" s="7" t="s">
        <v>33</v>
      </c>
      <c r="F51" s="7" t="s">
        <v>148</v>
      </c>
      <c r="G51" s="7" t="s">
        <v>35</v>
      </c>
      <c r="H51" s="8">
        <v>245435</v>
      </c>
      <c r="I51" s="7" t="s">
        <v>485</v>
      </c>
      <c r="J51" s="20">
        <v>8</v>
      </c>
      <c r="K51" s="20">
        <v>1</v>
      </c>
      <c r="L51" s="111">
        <v>13</v>
      </c>
      <c r="M51" s="18" t="s">
        <v>157</v>
      </c>
      <c r="N51" s="18" t="s">
        <v>157</v>
      </c>
      <c r="O51" s="8" t="s">
        <v>141</v>
      </c>
    </row>
    <row r="52" spans="2:15" x14ac:dyDescent="0.25">
      <c r="B52" s="7" t="s">
        <v>497</v>
      </c>
      <c r="C52" s="17">
        <v>22190</v>
      </c>
      <c r="D52" s="7" t="s">
        <v>6</v>
      </c>
      <c r="E52" s="7" t="s">
        <v>33</v>
      </c>
      <c r="F52" s="7" t="s">
        <v>148</v>
      </c>
      <c r="G52" s="7" t="s">
        <v>35</v>
      </c>
      <c r="H52" s="8">
        <v>245435</v>
      </c>
      <c r="I52" s="7" t="s">
        <v>485</v>
      </c>
      <c r="J52" s="20">
        <v>8</v>
      </c>
      <c r="K52" s="20">
        <v>1</v>
      </c>
      <c r="L52" s="111">
        <v>13</v>
      </c>
      <c r="M52" s="18" t="s">
        <v>158</v>
      </c>
      <c r="N52" s="18" t="s">
        <v>158</v>
      </c>
      <c r="O52" s="8" t="s">
        <v>141</v>
      </c>
    </row>
    <row r="53" spans="2:15" x14ac:dyDescent="0.25">
      <c r="B53" s="7" t="s">
        <v>497</v>
      </c>
      <c r="C53" s="17">
        <v>24730</v>
      </c>
      <c r="D53" s="7" t="s">
        <v>7</v>
      </c>
      <c r="E53" s="7" t="s">
        <v>78</v>
      </c>
      <c r="F53" s="7" t="s">
        <v>40</v>
      </c>
      <c r="G53" s="7" t="s">
        <v>35</v>
      </c>
      <c r="H53" s="8">
        <v>971841</v>
      </c>
      <c r="I53" s="7" t="s">
        <v>457</v>
      </c>
      <c r="J53" s="20">
        <v>24</v>
      </c>
      <c r="K53" s="20">
        <v>3</v>
      </c>
      <c r="L53" s="111">
        <v>9</v>
      </c>
      <c r="M53" s="18" t="s">
        <v>156</v>
      </c>
      <c r="N53" s="18" t="s">
        <v>158</v>
      </c>
      <c r="O53" s="8" t="s">
        <v>141</v>
      </c>
    </row>
    <row r="54" spans="2:15" x14ac:dyDescent="0.25">
      <c r="B54" s="7" t="s">
        <v>497</v>
      </c>
      <c r="C54" s="17">
        <v>29383</v>
      </c>
      <c r="D54" s="7" t="s">
        <v>10</v>
      </c>
      <c r="E54" s="7" t="s">
        <v>74</v>
      </c>
      <c r="F54" s="7" t="s">
        <v>65</v>
      </c>
      <c r="G54" s="7" t="s">
        <v>35</v>
      </c>
      <c r="H54" s="8">
        <v>370733</v>
      </c>
      <c r="I54" s="7" t="s">
        <v>499</v>
      </c>
      <c r="J54" s="20">
        <v>24</v>
      </c>
      <c r="K54" s="20">
        <v>3</v>
      </c>
      <c r="L54" s="111">
        <v>11</v>
      </c>
      <c r="M54" s="18" t="s">
        <v>164</v>
      </c>
      <c r="N54" s="18" t="s">
        <v>166</v>
      </c>
      <c r="O54" s="8" t="s">
        <v>141</v>
      </c>
    </row>
    <row r="55" spans="2:15" x14ac:dyDescent="0.25">
      <c r="B55" s="7" t="s">
        <v>497</v>
      </c>
      <c r="C55" s="17">
        <v>24731</v>
      </c>
      <c r="D55" s="7" t="s">
        <v>7</v>
      </c>
      <c r="E55" s="7" t="s">
        <v>78</v>
      </c>
      <c r="F55" s="7" t="s">
        <v>40</v>
      </c>
      <c r="G55" s="7" t="s">
        <v>35</v>
      </c>
      <c r="H55" s="8">
        <v>322115</v>
      </c>
      <c r="I55" s="7" t="s">
        <v>501</v>
      </c>
      <c r="J55" s="20">
        <v>24</v>
      </c>
      <c r="K55" s="20">
        <v>3</v>
      </c>
      <c r="L55" s="111">
        <v>9</v>
      </c>
      <c r="M55" s="18" t="s">
        <v>165</v>
      </c>
      <c r="N55" s="18" t="s">
        <v>167</v>
      </c>
      <c r="O55" s="8" t="s">
        <v>141</v>
      </c>
    </row>
    <row r="56" spans="2:15" x14ac:dyDescent="0.25">
      <c r="B56" s="7" t="s">
        <v>497</v>
      </c>
      <c r="C56" s="17">
        <v>25215</v>
      </c>
      <c r="D56" s="7" t="s">
        <v>7</v>
      </c>
      <c r="E56" s="7" t="s">
        <v>78</v>
      </c>
      <c r="F56" s="7" t="s">
        <v>71</v>
      </c>
      <c r="G56" s="7" t="s">
        <v>35</v>
      </c>
      <c r="H56" s="8">
        <v>445938</v>
      </c>
      <c r="I56" s="7" t="s">
        <v>507</v>
      </c>
      <c r="J56" s="20">
        <v>16</v>
      </c>
      <c r="K56" s="20">
        <v>2</v>
      </c>
      <c r="L56" s="111">
        <v>8</v>
      </c>
      <c r="M56" s="18" t="s">
        <v>167</v>
      </c>
      <c r="N56" s="18" t="s">
        <v>323</v>
      </c>
      <c r="O56" s="8" t="s">
        <v>141</v>
      </c>
    </row>
    <row r="57" spans="2:15" x14ac:dyDescent="0.25">
      <c r="B57" s="7" t="s">
        <v>497</v>
      </c>
      <c r="C57" s="17">
        <v>24618</v>
      </c>
      <c r="D57" s="7" t="s">
        <v>7</v>
      </c>
      <c r="E57" s="7" t="s">
        <v>78</v>
      </c>
      <c r="F57" s="7" t="s">
        <v>317</v>
      </c>
      <c r="G57" s="7" t="s">
        <v>35</v>
      </c>
      <c r="H57" s="8">
        <v>245434</v>
      </c>
      <c r="I57" s="7" t="s">
        <v>500</v>
      </c>
      <c r="J57" s="20">
        <v>16</v>
      </c>
      <c r="K57" s="20">
        <v>2</v>
      </c>
      <c r="L57" s="111">
        <v>12</v>
      </c>
      <c r="M57" s="18" t="s">
        <v>172</v>
      </c>
      <c r="N57" s="18" t="s">
        <v>174</v>
      </c>
      <c r="O57" s="8" t="s">
        <v>173</v>
      </c>
    </row>
    <row r="58" spans="2:15" x14ac:dyDescent="0.25">
      <c r="B58" s="7" t="s">
        <v>497</v>
      </c>
      <c r="C58" s="17">
        <v>24880</v>
      </c>
      <c r="D58" s="7" t="s">
        <v>7</v>
      </c>
      <c r="E58" s="7" t="s">
        <v>78</v>
      </c>
      <c r="F58" s="7" t="s">
        <v>34</v>
      </c>
      <c r="G58" s="7" t="s">
        <v>35</v>
      </c>
      <c r="H58" s="8">
        <v>245434</v>
      </c>
      <c r="I58" s="7" t="s">
        <v>500</v>
      </c>
      <c r="J58" s="20">
        <v>8</v>
      </c>
      <c r="K58" s="20">
        <v>1</v>
      </c>
      <c r="L58" s="111">
        <v>10</v>
      </c>
      <c r="M58" s="18" t="s">
        <v>180</v>
      </c>
      <c r="N58" s="18" t="s">
        <v>180</v>
      </c>
      <c r="O58" s="8" t="s">
        <v>173</v>
      </c>
    </row>
    <row r="59" spans="2:15" x14ac:dyDescent="0.25">
      <c r="B59" s="7" t="s">
        <v>497</v>
      </c>
      <c r="C59" s="17">
        <v>24493</v>
      </c>
      <c r="D59" s="7" t="s">
        <v>7</v>
      </c>
      <c r="E59" s="7" t="s">
        <v>78</v>
      </c>
      <c r="F59" s="7" t="s">
        <v>264</v>
      </c>
      <c r="G59" s="7" t="s">
        <v>35</v>
      </c>
      <c r="H59" s="8">
        <v>245435</v>
      </c>
      <c r="I59" s="7" t="s">
        <v>485</v>
      </c>
      <c r="J59" s="20">
        <v>8</v>
      </c>
      <c r="K59" s="20">
        <v>1</v>
      </c>
      <c r="L59" s="111">
        <v>12</v>
      </c>
      <c r="M59" s="18" t="s">
        <v>180</v>
      </c>
      <c r="N59" s="18" t="s">
        <v>180</v>
      </c>
      <c r="O59" s="8" t="s">
        <v>173</v>
      </c>
    </row>
    <row r="60" spans="2:15" x14ac:dyDescent="0.25">
      <c r="B60" s="7" t="s">
        <v>497</v>
      </c>
      <c r="C60" s="17">
        <v>24804</v>
      </c>
      <c r="D60" s="7" t="s">
        <v>7</v>
      </c>
      <c r="E60" s="7" t="s">
        <v>78</v>
      </c>
      <c r="F60" s="7" t="s">
        <v>159</v>
      </c>
      <c r="G60" s="7" t="s">
        <v>35</v>
      </c>
      <c r="H60" s="8">
        <v>373645</v>
      </c>
      <c r="I60" s="7" t="s">
        <v>503</v>
      </c>
      <c r="J60" s="20">
        <v>16</v>
      </c>
      <c r="K60" s="20">
        <v>2</v>
      </c>
      <c r="L60" s="111">
        <v>12</v>
      </c>
      <c r="M60" s="18" t="s">
        <v>179</v>
      </c>
      <c r="N60" s="18" t="s">
        <v>180</v>
      </c>
      <c r="O60" s="8" t="s">
        <v>173</v>
      </c>
    </row>
    <row r="61" spans="2:15" x14ac:dyDescent="0.25">
      <c r="B61" s="7" t="s">
        <v>497</v>
      </c>
      <c r="C61" s="17">
        <v>24529</v>
      </c>
      <c r="D61" s="7" t="s">
        <v>7</v>
      </c>
      <c r="E61" s="7" t="s">
        <v>78</v>
      </c>
      <c r="F61" s="7" t="s">
        <v>89</v>
      </c>
      <c r="G61" s="7" t="s">
        <v>35</v>
      </c>
      <c r="H61" s="8">
        <v>322115</v>
      </c>
      <c r="I61" s="7" t="s">
        <v>501</v>
      </c>
      <c r="J61" s="20">
        <v>16</v>
      </c>
      <c r="K61" s="20">
        <v>2</v>
      </c>
      <c r="L61" s="111">
        <v>12</v>
      </c>
      <c r="M61" s="18" t="s">
        <v>180</v>
      </c>
      <c r="N61" s="18" t="s">
        <v>182</v>
      </c>
      <c r="O61" s="8" t="s">
        <v>173</v>
      </c>
    </row>
    <row r="62" spans="2:15" x14ac:dyDescent="0.25">
      <c r="B62" s="7" t="s">
        <v>497</v>
      </c>
      <c r="C62" s="17">
        <v>24172</v>
      </c>
      <c r="D62" s="7" t="s">
        <v>12</v>
      </c>
      <c r="E62" s="7" t="s">
        <v>61</v>
      </c>
      <c r="F62" s="7" t="s">
        <v>401</v>
      </c>
      <c r="G62" s="7" t="s">
        <v>35</v>
      </c>
      <c r="H62" s="8">
        <v>322115</v>
      </c>
      <c r="I62" s="7" t="s">
        <v>501</v>
      </c>
      <c r="J62" s="20">
        <v>16</v>
      </c>
      <c r="K62" s="20">
        <v>2</v>
      </c>
      <c r="L62" s="111">
        <v>11</v>
      </c>
      <c r="M62" s="18" t="s">
        <v>188</v>
      </c>
      <c r="N62" s="18" t="s">
        <v>189</v>
      </c>
      <c r="O62" s="8" t="s">
        <v>173</v>
      </c>
    </row>
    <row r="63" spans="2:15" x14ac:dyDescent="0.25">
      <c r="B63" s="7" t="s">
        <v>497</v>
      </c>
      <c r="C63" s="17">
        <v>29386</v>
      </c>
      <c r="D63" s="7" t="s">
        <v>10</v>
      </c>
      <c r="E63" s="7" t="s">
        <v>74</v>
      </c>
      <c r="F63" s="7" t="s">
        <v>65</v>
      </c>
      <c r="G63" s="7" t="s">
        <v>35</v>
      </c>
      <c r="H63" s="8">
        <v>245435</v>
      </c>
      <c r="I63" s="7" t="s">
        <v>485</v>
      </c>
      <c r="J63" s="20">
        <v>24</v>
      </c>
      <c r="K63" s="20">
        <v>3</v>
      </c>
      <c r="L63" s="111">
        <v>14</v>
      </c>
      <c r="M63" s="18" t="s">
        <v>188</v>
      </c>
      <c r="N63" s="18" t="s">
        <v>325</v>
      </c>
      <c r="O63" s="8" t="s">
        <v>173</v>
      </c>
    </row>
    <row r="64" spans="2:15" x14ac:dyDescent="0.25">
      <c r="B64" s="7" t="s">
        <v>497</v>
      </c>
      <c r="C64" s="17">
        <v>31046</v>
      </c>
      <c r="D64" s="7" t="s">
        <v>10</v>
      </c>
      <c r="E64" s="7" t="s">
        <v>498</v>
      </c>
      <c r="F64" s="7" t="s">
        <v>346</v>
      </c>
      <c r="G64" s="7" t="s">
        <v>35</v>
      </c>
      <c r="H64" s="8">
        <v>370733</v>
      </c>
      <c r="I64" s="7" t="s">
        <v>499</v>
      </c>
      <c r="J64" s="20">
        <v>16</v>
      </c>
      <c r="K64" s="20">
        <v>2</v>
      </c>
      <c r="L64" s="111">
        <v>10</v>
      </c>
      <c r="M64" s="18" t="s">
        <v>361</v>
      </c>
      <c r="N64" s="18" t="s">
        <v>190</v>
      </c>
      <c r="O64" s="8" t="s">
        <v>173</v>
      </c>
    </row>
    <row r="65" spans="2:15" x14ac:dyDescent="0.25">
      <c r="B65" s="7" t="s">
        <v>497</v>
      </c>
      <c r="C65" s="17">
        <v>25309</v>
      </c>
      <c r="D65" s="7" t="s">
        <v>7</v>
      </c>
      <c r="E65" s="7" t="s">
        <v>78</v>
      </c>
      <c r="F65" s="7" t="s">
        <v>199</v>
      </c>
      <c r="G65" s="7" t="s">
        <v>35</v>
      </c>
      <c r="H65" s="8">
        <v>245434</v>
      </c>
      <c r="I65" s="7" t="s">
        <v>500</v>
      </c>
      <c r="J65" s="20">
        <v>8</v>
      </c>
      <c r="K65" s="20">
        <v>1</v>
      </c>
      <c r="L65" s="111">
        <v>15</v>
      </c>
      <c r="M65" s="18" t="s">
        <v>191</v>
      </c>
      <c r="N65" s="18" t="s">
        <v>191</v>
      </c>
      <c r="O65" s="8" t="s">
        <v>173</v>
      </c>
    </row>
    <row r="66" spans="2:15" x14ac:dyDescent="0.25">
      <c r="B66" s="7" t="s">
        <v>497</v>
      </c>
      <c r="C66" s="17">
        <v>24843</v>
      </c>
      <c r="D66" s="7" t="s">
        <v>7</v>
      </c>
      <c r="E66" s="7" t="s">
        <v>78</v>
      </c>
      <c r="F66" s="7" t="s">
        <v>65</v>
      </c>
      <c r="G66" s="7" t="s">
        <v>35</v>
      </c>
      <c r="H66" s="8">
        <v>245435</v>
      </c>
      <c r="I66" s="7" t="s">
        <v>485</v>
      </c>
      <c r="J66" s="20">
        <v>24</v>
      </c>
      <c r="K66" s="20">
        <v>3</v>
      </c>
      <c r="L66" s="111">
        <v>9</v>
      </c>
      <c r="M66" s="18" t="s">
        <v>361</v>
      </c>
      <c r="N66" s="18" t="s">
        <v>191</v>
      </c>
      <c r="O66" s="8" t="s">
        <v>173</v>
      </c>
    </row>
    <row r="67" spans="2:15" x14ac:dyDescent="0.25">
      <c r="B67" s="7" t="s">
        <v>497</v>
      </c>
      <c r="C67" s="17">
        <v>24650</v>
      </c>
      <c r="D67" s="7" t="s">
        <v>7</v>
      </c>
      <c r="E67" s="7" t="s">
        <v>78</v>
      </c>
      <c r="F67" s="7" t="s">
        <v>68</v>
      </c>
      <c r="G67" s="7" t="s">
        <v>35</v>
      </c>
      <c r="H67" s="8">
        <v>322115</v>
      </c>
      <c r="I67" s="7" t="s">
        <v>501</v>
      </c>
      <c r="J67" s="20">
        <v>24</v>
      </c>
      <c r="K67" s="20">
        <v>3</v>
      </c>
      <c r="L67" s="111">
        <v>12</v>
      </c>
      <c r="M67" s="18" t="s">
        <v>361</v>
      </c>
      <c r="N67" s="18" t="s">
        <v>191</v>
      </c>
      <c r="O67" s="8" t="s">
        <v>173</v>
      </c>
    </row>
    <row r="68" spans="2:15" x14ac:dyDescent="0.25">
      <c r="B68" s="7" t="s">
        <v>497</v>
      </c>
      <c r="C68" s="17">
        <v>24743</v>
      </c>
      <c r="D68" s="7" t="s">
        <v>7</v>
      </c>
      <c r="E68" s="7" t="s">
        <v>78</v>
      </c>
      <c r="F68" s="7" t="s">
        <v>40</v>
      </c>
      <c r="G68" s="7" t="s">
        <v>35</v>
      </c>
      <c r="H68" s="8">
        <v>971841</v>
      </c>
      <c r="I68" s="7" t="s">
        <v>457</v>
      </c>
      <c r="J68" s="20">
        <v>24</v>
      </c>
      <c r="K68" s="20">
        <v>3</v>
      </c>
      <c r="L68" s="111">
        <v>9</v>
      </c>
      <c r="M68" s="18" t="s">
        <v>197</v>
      </c>
      <c r="N68" s="18" t="s">
        <v>200</v>
      </c>
      <c r="O68" s="8" t="s">
        <v>173</v>
      </c>
    </row>
    <row r="69" spans="2:15" x14ac:dyDescent="0.25">
      <c r="B69" s="7" t="s">
        <v>497</v>
      </c>
      <c r="C69" s="17">
        <v>24533</v>
      </c>
      <c r="D69" s="7" t="s">
        <v>7</v>
      </c>
      <c r="E69" s="7" t="s">
        <v>78</v>
      </c>
      <c r="F69" s="7" t="s">
        <v>89</v>
      </c>
      <c r="G69" s="7" t="s">
        <v>35</v>
      </c>
      <c r="H69" s="8">
        <v>245435</v>
      </c>
      <c r="I69" s="7" t="s">
        <v>485</v>
      </c>
      <c r="J69" s="20">
        <v>16</v>
      </c>
      <c r="K69" s="20">
        <v>2</v>
      </c>
      <c r="L69" s="111">
        <v>9</v>
      </c>
      <c r="M69" s="18" t="s">
        <v>327</v>
      </c>
      <c r="N69" s="18" t="s">
        <v>203</v>
      </c>
      <c r="O69" s="8" t="s">
        <v>202</v>
      </c>
    </row>
    <row r="70" spans="2:15" x14ac:dyDescent="0.25">
      <c r="B70" s="7" t="s">
        <v>497</v>
      </c>
      <c r="C70" s="17">
        <v>24805</v>
      </c>
      <c r="D70" s="7" t="s">
        <v>7</v>
      </c>
      <c r="E70" s="7" t="s">
        <v>78</v>
      </c>
      <c r="F70" s="7" t="s">
        <v>159</v>
      </c>
      <c r="G70" s="7" t="s">
        <v>35</v>
      </c>
      <c r="H70" s="8">
        <v>373645</v>
      </c>
      <c r="I70" s="7" t="s">
        <v>503</v>
      </c>
      <c r="J70" s="20">
        <v>16</v>
      </c>
      <c r="K70" s="20">
        <v>2</v>
      </c>
      <c r="L70" s="111">
        <v>12</v>
      </c>
      <c r="M70" s="18" t="s">
        <v>203</v>
      </c>
      <c r="N70" s="18" t="s">
        <v>204</v>
      </c>
      <c r="O70" s="8" t="s">
        <v>202</v>
      </c>
    </row>
    <row r="71" spans="2:15" x14ac:dyDescent="0.25">
      <c r="B71" s="7" t="s">
        <v>497</v>
      </c>
      <c r="C71" s="17">
        <v>24652</v>
      </c>
      <c r="D71" s="7" t="s">
        <v>7</v>
      </c>
      <c r="E71" s="7" t="s">
        <v>78</v>
      </c>
      <c r="F71" s="7" t="s">
        <v>68</v>
      </c>
      <c r="G71" s="7" t="s">
        <v>35</v>
      </c>
      <c r="H71" s="8">
        <v>245435</v>
      </c>
      <c r="I71" s="7" t="s">
        <v>485</v>
      </c>
      <c r="J71" s="20">
        <v>24</v>
      </c>
      <c r="K71" s="20">
        <v>3</v>
      </c>
      <c r="L71" s="111">
        <v>12</v>
      </c>
      <c r="M71" s="18" t="s">
        <v>204</v>
      </c>
      <c r="N71" s="18" t="s">
        <v>206</v>
      </c>
      <c r="O71" s="8" t="s">
        <v>202</v>
      </c>
    </row>
    <row r="72" spans="2:15" x14ac:dyDescent="0.25">
      <c r="B72" s="7" t="s">
        <v>497</v>
      </c>
      <c r="C72" s="17">
        <v>24842</v>
      </c>
      <c r="D72" s="7" t="s">
        <v>7</v>
      </c>
      <c r="E72" s="7" t="s">
        <v>78</v>
      </c>
      <c r="F72" s="7" t="s">
        <v>65</v>
      </c>
      <c r="G72" s="7" t="s">
        <v>35</v>
      </c>
      <c r="H72" s="8">
        <v>245435</v>
      </c>
      <c r="I72" s="7" t="s">
        <v>485</v>
      </c>
      <c r="J72" s="20">
        <v>24</v>
      </c>
      <c r="K72" s="20">
        <v>3</v>
      </c>
      <c r="L72" s="111">
        <v>8</v>
      </c>
      <c r="M72" s="18" t="s">
        <v>208</v>
      </c>
      <c r="N72" s="18" t="s">
        <v>209</v>
      </c>
      <c r="O72" s="8" t="s">
        <v>202</v>
      </c>
    </row>
    <row r="73" spans="2:15" x14ac:dyDescent="0.25">
      <c r="B73" s="7" t="s">
        <v>497</v>
      </c>
      <c r="C73" s="17">
        <v>25313</v>
      </c>
      <c r="D73" s="7" t="s">
        <v>7</v>
      </c>
      <c r="E73" s="7" t="s">
        <v>78</v>
      </c>
      <c r="F73" s="7" t="s">
        <v>199</v>
      </c>
      <c r="G73" s="7" t="s">
        <v>35</v>
      </c>
      <c r="H73" s="8">
        <v>245434</v>
      </c>
      <c r="I73" s="7" t="s">
        <v>500</v>
      </c>
      <c r="J73" s="20">
        <v>8</v>
      </c>
      <c r="K73" s="20">
        <v>1</v>
      </c>
      <c r="L73" s="111">
        <v>12</v>
      </c>
      <c r="M73" s="18" t="s">
        <v>215</v>
      </c>
      <c r="N73" s="18" t="s">
        <v>215</v>
      </c>
      <c r="O73" s="8" t="s">
        <v>202</v>
      </c>
    </row>
    <row r="74" spans="2:15" x14ac:dyDescent="0.25">
      <c r="B74" s="7" t="s">
        <v>497</v>
      </c>
      <c r="C74" s="17">
        <v>24849</v>
      </c>
      <c r="D74" s="7" t="s">
        <v>7</v>
      </c>
      <c r="E74" s="7" t="s">
        <v>78</v>
      </c>
      <c r="F74" s="7" t="s">
        <v>84</v>
      </c>
      <c r="G74" s="7" t="s">
        <v>35</v>
      </c>
      <c r="H74" s="8">
        <v>322115</v>
      </c>
      <c r="I74" s="7" t="s">
        <v>501</v>
      </c>
      <c r="J74" s="20">
        <v>16</v>
      </c>
      <c r="K74" s="20">
        <v>2</v>
      </c>
      <c r="L74" s="111">
        <v>12</v>
      </c>
      <c r="M74" s="18" t="s">
        <v>215</v>
      </c>
      <c r="N74" s="18" t="s">
        <v>216</v>
      </c>
      <c r="O74" s="8" t="s">
        <v>202</v>
      </c>
    </row>
    <row r="75" spans="2:15" x14ac:dyDescent="0.25">
      <c r="B75" s="7" t="s">
        <v>497</v>
      </c>
      <c r="C75" s="17">
        <v>24625</v>
      </c>
      <c r="D75" s="7" t="s">
        <v>7</v>
      </c>
      <c r="E75" s="7" t="s">
        <v>78</v>
      </c>
      <c r="F75" s="7" t="s">
        <v>317</v>
      </c>
      <c r="G75" s="7" t="s">
        <v>35</v>
      </c>
      <c r="H75" s="8">
        <v>245434</v>
      </c>
      <c r="I75" s="7" t="s">
        <v>500</v>
      </c>
      <c r="J75" s="20">
        <v>16</v>
      </c>
      <c r="K75" s="20">
        <v>2</v>
      </c>
      <c r="L75" s="111">
        <v>9</v>
      </c>
      <c r="M75" s="18" t="s">
        <v>220</v>
      </c>
      <c r="N75" s="18" t="s">
        <v>221</v>
      </c>
      <c r="O75" s="8" t="s">
        <v>202</v>
      </c>
    </row>
    <row r="76" spans="2:15" x14ac:dyDescent="0.25">
      <c r="B76" s="7" t="s">
        <v>497</v>
      </c>
      <c r="C76" s="17">
        <v>25314</v>
      </c>
      <c r="D76" s="7" t="s">
        <v>7</v>
      </c>
      <c r="E76" s="7" t="s">
        <v>78</v>
      </c>
      <c r="F76" s="7" t="s">
        <v>199</v>
      </c>
      <c r="G76" s="7" t="s">
        <v>35</v>
      </c>
      <c r="H76" s="8">
        <v>245434</v>
      </c>
      <c r="I76" s="7" t="s">
        <v>500</v>
      </c>
      <c r="J76" s="20">
        <v>8</v>
      </c>
      <c r="K76" s="20">
        <v>1</v>
      </c>
      <c r="L76" s="111">
        <v>12</v>
      </c>
      <c r="M76" s="18" t="s">
        <v>225</v>
      </c>
      <c r="N76" s="18" t="s">
        <v>225</v>
      </c>
      <c r="O76" s="8" t="s">
        <v>202</v>
      </c>
    </row>
    <row r="77" spans="2:15" x14ac:dyDescent="0.25">
      <c r="B77" s="7" t="s">
        <v>497</v>
      </c>
      <c r="C77" s="17">
        <v>31045</v>
      </c>
      <c r="D77" s="7" t="s">
        <v>10</v>
      </c>
      <c r="E77" s="7" t="s">
        <v>498</v>
      </c>
      <c r="F77" s="7" t="s">
        <v>346</v>
      </c>
      <c r="G77" s="7" t="s">
        <v>35</v>
      </c>
      <c r="H77" s="8">
        <v>370733</v>
      </c>
      <c r="I77" s="7" t="s">
        <v>499</v>
      </c>
      <c r="J77" s="20">
        <v>16</v>
      </c>
      <c r="K77" s="20">
        <v>2</v>
      </c>
      <c r="L77" s="111">
        <v>10</v>
      </c>
      <c r="M77" s="18" t="s">
        <v>224</v>
      </c>
      <c r="N77" s="18" t="s">
        <v>225</v>
      </c>
      <c r="O77" s="8" t="s">
        <v>202</v>
      </c>
    </row>
    <row r="78" spans="2:15" x14ac:dyDescent="0.25">
      <c r="B78" s="7" t="s">
        <v>497</v>
      </c>
      <c r="C78" s="17">
        <v>24875</v>
      </c>
      <c r="D78" s="7" t="s">
        <v>7</v>
      </c>
      <c r="E78" s="7" t="s">
        <v>78</v>
      </c>
      <c r="F78" s="7" t="s">
        <v>148</v>
      </c>
      <c r="G78" s="7" t="s">
        <v>35</v>
      </c>
      <c r="H78" s="8">
        <v>245435</v>
      </c>
      <c r="I78" s="7" t="s">
        <v>485</v>
      </c>
      <c r="J78" s="20">
        <v>8</v>
      </c>
      <c r="K78" s="20">
        <v>1</v>
      </c>
      <c r="L78" s="111">
        <v>11</v>
      </c>
      <c r="M78" s="18" t="s">
        <v>226</v>
      </c>
      <c r="N78" s="18" t="s">
        <v>226</v>
      </c>
      <c r="O78" s="8" t="s">
        <v>227</v>
      </c>
    </row>
    <row r="79" spans="2:15" x14ac:dyDescent="0.25">
      <c r="B79" s="7" t="s">
        <v>497</v>
      </c>
      <c r="C79" s="17">
        <v>29391</v>
      </c>
      <c r="D79" s="7" t="s">
        <v>10</v>
      </c>
      <c r="E79" s="7" t="s">
        <v>74</v>
      </c>
      <c r="F79" s="7" t="s">
        <v>65</v>
      </c>
      <c r="G79" s="7" t="s">
        <v>35</v>
      </c>
      <c r="H79" s="8">
        <v>245435</v>
      </c>
      <c r="I79" s="7" t="s">
        <v>485</v>
      </c>
      <c r="J79" s="20">
        <v>24</v>
      </c>
      <c r="K79" s="20">
        <v>3</v>
      </c>
      <c r="L79" s="111">
        <v>14</v>
      </c>
      <c r="M79" s="18" t="s">
        <v>365</v>
      </c>
      <c r="N79" s="18" t="s">
        <v>513</v>
      </c>
      <c r="O79" s="8" t="s">
        <v>227</v>
      </c>
    </row>
    <row r="80" spans="2:15" x14ac:dyDescent="0.25">
      <c r="B80" s="7" t="s">
        <v>497</v>
      </c>
      <c r="C80" s="17">
        <v>25319</v>
      </c>
      <c r="D80" s="7" t="s">
        <v>7</v>
      </c>
      <c r="E80" s="7" t="s">
        <v>78</v>
      </c>
      <c r="F80" s="7" t="s">
        <v>199</v>
      </c>
      <c r="G80" s="7" t="s">
        <v>35</v>
      </c>
      <c r="H80" s="8">
        <v>245434</v>
      </c>
      <c r="I80" s="7" t="s">
        <v>500</v>
      </c>
      <c r="J80" s="20">
        <v>8</v>
      </c>
      <c r="K80" s="20">
        <v>1</v>
      </c>
      <c r="L80" s="111">
        <v>8</v>
      </c>
      <c r="M80" s="18" t="s">
        <v>230</v>
      </c>
      <c r="N80" s="18" t="s">
        <v>230</v>
      </c>
      <c r="O80" s="8" t="s">
        <v>227</v>
      </c>
    </row>
    <row r="81" spans="2:15" x14ac:dyDescent="0.25">
      <c r="B81" s="7" t="s">
        <v>497</v>
      </c>
      <c r="C81" s="17">
        <v>24881</v>
      </c>
      <c r="D81" s="7" t="s">
        <v>7</v>
      </c>
      <c r="E81" s="7" t="s">
        <v>78</v>
      </c>
      <c r="F81" s="7" t="s">
        <v>34</v>
      </c>
      <c r="G81" s="7" t="s">
        <v>35</v>
      </c>
      <c r="H81" s="8">
        <v>245434</v>
      </c>
      <c r="I81" s="7" t="s">
        <v>500</v>
      </c>
      <c r="J81" s="20">
        <v>8</v>
      </c>
      <c r="K81" s="20">
        <v>1</v>
      </c>
      <c r="L81" s="111">
        <v>10</v>
      </c>
      <c r="M81" s="18" t="s">
        <v>366</v>
      </c>
      <c r="N81" s="18" t="s">
        <v>366</v>
      </c>
      <c r="O81" s="8" t="s">
        <v>227</v>
      </c>
    </row>
    <row r="82" spans="2:15" x14ac:dyDescent="0.25">
      <c r="B82" s="7" t="s">
        <v>497</v>
      </c>
      <c r="C82" s="17">
        <v>24656</v>
      </c>
      <c r="D82" s="7" t="s">
        <v>7</v>
      </c>
      <c r="E82" s="7" t="s">
        <v>78</v>
      </c>
      <c r="F82" s="7" t="s">
        <v>68</v>
      </c>
      <c r="G82" s="7" t="s">
        <v>35</v>
      </c>
      <c r="H82" s="8">
        <v>245435</v>
      </c>
      <c r="I82" s="7" t="s">
        <v>485</v>
      </c>
      <c r="J82" s="20">
        <v>24</v>
      </c>
      <c r="K82" s="20">
        <v>3</v>
      </c>
      <c r="L82" s="111">
        <v>10</v>
      </c>
      <c r="M82" s="18" t="s">
        <v>230</v>
      </c>
      <c r="N82" s="18" t="s">
        <v>366</v>
      </c>
      <c r="O82" s="8" t="s">
        <v>227</v>
      </c>
    </row>
    <row r="83" spans="2:15" x14ac:dyDescent="0.25">
      <c r="B83" s="7" t="s">
        <v>497</v>
      </c>
      <c r="C83" s="17">
        <v>24628</v>
      </c>
      <c r="D83" s="7" t="s">
        <v>7</v>
      </c>
      <c r="E83" s="7" t="s">
        <v>78</v>
      </c>
      <c r="F83" s="7" t="s">
        <v>317</v>
      </c>
      <c r="G83" s="7" t="s">
        <v>35</v>
      </c>
      <c r="H83" s="8">
        <v>322115</v>
      </c>
      <c r="I83" s="7" t="s">
        <v>501</v>
      </c>
      <c r="J83" s="20">
        <v>16</v>
      </c>
      <c r="K83" s="20">
        <v>2</v>
      </c>
      <c r="L83" s="111">
        <v>12</v>
      </c>
      <c r="M83" s="18" t="s">
        <v>236</v>
      </c>
      <c r="N83" s="18" t="s">
        <v>237</v>
      </c>
      <c r="O83" s="8" t="s">
        <v>227</v>
      </c>
    </row>
    <row r="84" spans="2:15" x14ac:dyDescent="0.25">
      <c r="B84" s="7" t="s">
        <v>497</v>
      </c>
      <c r="C84" s="17">
        <v>24807</v>
      </c>
      <c r="D84" s="7" t="s">
        <v>7</v>
      </c>
      <c r="E84" s="7" t="s">
        <v>78</v>
      </c>
      <c r="F84" s="7" t="s">
        <v>105</v>
      </c>
      <c r="G84" s="7" t="s">
        <v>35</v>
      </c>
      <c r="H84" s="8">
        <v>445938</v>
      </c>
      <c r="I84" s="7" t="s">
        <v>507</v>
      </c>
      <c r="J84" s="20">
        <v>16</v>
      </c>
      <c r="K84" s="20">
        <v>2</v>
      </c>
      <c r="L84" s="111">
        <v>11</v>
      </c>
      <c r="M84" s="18" t="s">
        <v>237</v>
      </c>
      <c r="N84" s="18" t="s">
        <v>238</v>
      </c>
      <c r="O84" s="8" t="s">
        <v>227</v>
      </c>
    </row>
    <row r="85" spans="2:15" x14ac:dyDescent="0.25">
      <c r="B85" s="7" t="s">
        <v>497</v>
      </c>
      <c r="C85" s="17">
        <v>24806</v>
      </c>
      <c r="D85" s="7" t="s">
        <v>7</v>
      </c>
      <c r="E85" s="7" t="s">
        <v>78</v>
      </c>
      <c r="F85" s="7" t="s">
        <v>105</v>
      </c>
      <c r="G85" s="7" t="s">
        <v>35</v>
      </c>
      <c r="H85" s="8">
        <v>445938</v>
      </c>
      <c r="I85" s="7" t="s">
        <v>507</v>
      </c>
      <c r="J85" s="20">
        <v>16</v>
      </c>
      <c r="K85" s="20">
        <v>2</v>
      </c>
      <c r="L85" s="111">
        <v>10</v>
      </c>
      <c r="M85" s="18" t="s">
        <v>239</v>
      </c>
      <c r="N85" s="18" t="s">
        <v>240</v>
      </c>
      <c r="O85" s="8" t="s">
        <v>227</v>
      </c>
    </row>
    <row r="86" spans="2:15" x14ac:dyDescent="0.25">
      <c r="B86" s="7" t="s">
        <v>497</v>
      </c>
      <c r="C86" s="17">
        <v>29393</v>
      </c>
      <c r="D86" s="7" t="s">
        <v>10</v>
      </c>
      <c r="E86" s="7" t="s">
        <v>74</v>
      </c>
      <c r="F86" s="7" t="s">
        <v>65</v>
      </c>
      <c r="G86" s="7" t="s">
        <v>35</v>
      </c>
      <c r="H86" s="8">
        <v>245435</v>
      </c>
      <c r="I86" s="7" t="s">
        <v>485</v>
      </c>
      <c r="J86" s="20">
        <v>24</v>
      </c>
      <c r="K86" s="20">
        <v>3</v>
      </c>
      <c r="L86" s="111">
        <v>19</v>
      </c>
      <c r="M86" s="18" t="s">
        <v>335</v>
      </c>
      <c r="N86" s="18" t="s">
        <v>243</v>
      </c>
      <c r="O86" s="8" t="s">
        <v>227</v>
      </c>
    </row>
    <row r="87" spans="2:15" x14ac:dyDescent="0.25">
      <c r="B87" s="7" t="s">
        <v>497</v>
      </c>
      <c r="C87" s="17">
        <v>24749</v>
      </c>
      <c r="D87" s="7" t="s">
        <v>7</v>
      </c>
      <c r="E87" s="7" t="s">
        <v>78</v>
      </c>
      <c r="F87" s="7" t="s">
        <v>40</v>
      </c>
      <c r="G87" s="7" t="s">
        <v>35</v>
      </c>
      <c r="H87" s="8">
        <v>971841</v>
      </c>
      <c r="I87" s="7" t="s">
        <v>457</v>
      </c>
      <c r="J87" s="20">
        <v>24</v>
      </c>
      <c r="K87" s="20">
        <v>3</v>
      </c>
      <c r="L87" s="111">
        <v>10</v>
      </c>
      <c r="M87" s="18" t="s">
        <v>335</v>
      </c>
      <c r="N87" s="18" t="s">
        <v>243</v>
      </c>
      <c r="O87" s="8" t="s">
        <v>227</v>
      </c>
    </row>
    <row r="88" spans="2:15" x14ac:dyDescent="0.25">
      <c r="B88" s="7" t="s">
        <v>497</v>
      </c>
      <c r="C88" s="17">
        <v>24808</v>
      </c>
      <c r="D88" s="7" t="s">
        <v>7</v>
      </c>
      <c r="E88" s="7" t="s">
        <v>78</v>
      </c>
      <c r="F88" s="7" t="s">
        <v>105</v>
      </c>
      <c r="G88" s="7" t="s">
        <v>35</v>
      </c>
      <c r="H88" s="8">
        <v>445938</v>
      </c>
      <c r="I88" s="7" t="s">
        <v>507</v>
      </c>
      <c r="J88" s="20">
        <v>16</v>
      </c>
      <c r="K88" s="20">
        <v>2</v>
      </c>
      <c r="L88" s="111">
        <v>10</v>
      </c>
      <c r="M88" s="18" t="s">
        <v>242</v>
      </c>
      <c r="N88" s="18" t="s">
        <v>244</v>
      </c>
      <c r="O88" s="8" t="s">
        <v>227</v>
      </c>
    </row>
    <row r="89" spans="2:15" x14ac:dyDescent="0.25">
      <c r="B89" s="7" t="s">
        <v>497</v>
      </c>
      <c r="C89" s="17">
        <v>24840</v>
      </c>
      <c r="D89" s="7" t="s">
        <v>7</v>
      </c>
      <c r="E89" s="7" t="s">
        <v>78</v>
      </c>
      <c r="F89" s="7" t="s">
        <v>65</v>
      </c>
      <c r="G89" s="7" t="s">
        <v>35</v>
      </c>
      <c r="H89" s="8">
        <v>245435</v>
      </c>
      <c r="I89" s="7" t="s">
        <v>485</v>
      </c>
      <c r="J89" s="20">
        <v>24</v>
      </c>
      <c r="K89" s="20">
        <v>3</v>
      </c>
      <c r="L89" s="111">
        <v>8</v>
      </c>
      <c r="M89" s="18" t="s">
        <v>384</v>
      </c>
      <c r="N89" s="18" t="s">
        <v>247</v>
      </c>
      <c r="O89" s="8" t="s">
        <v>227</v>
      </c>
    </row>
    <row r="90" spans="2:15" x14ac:dyDescent="0.25">
      <c r="B90" s="7" t="s">
        <v>497</v>
      </c>
      <c r="C90" s="17">
        <v>24748</v>
      </c>
      <c r="D90" s="7" t="s">
        <v>7</v>
      </c>
      <c r="E90" s="7" t="s">
        <v>78</v>
      </c>
      <c r="F90" s="7" t="s">
        <v>40</v>
      </c>
      <c r="G90" s="7" t="s">
        <v>35</v>
      </c>
      <c r="H90" s="8">
        <v>971841</v>
      </c>
      <c r="I90" s="7" t="s">
        <v>457</v>
      </c>
      <c r="J90" s="20">
        <v>24</v>
      </c>
      <c r="K90" s="20">
        <v>3</v>
      </c>
      <c r="L90" s="111">
        <v>9</v>
      </c>
      <c r="M90" s="18" t="s">
        <v>247</v>
      </c>
      <c r="N90" s="18" t="s">
        <v>248</v>
      </c>
      <c r="O90" s="8" t="s">
        <v>249</v>
      </c>
    </row>
    <row r="91" spans="2:15" x14ac:dyDescent="0.25">
      <c r="B91" s="7" t="s">
        <v>497</v>
      </c>
      <c r="C91" s="17">
        <v>24631</v>
      </c>
      <c r="D91" s="7" t="s">
        <v>7</v>
      </c>
      <c r="E91" s="7" t="s">
        <v>78</v>
      </c>
      <c r="F91" s="7" t="s">
        <v>317</v>
      </c>
      <c r="G91" s="7" t="s">
        <v>35</v>
      </c>
      <c r="H91" s="8">
        <v>245434</v>
      </c>
      <c r="I91" s="7" t="s">
        <v>500</v>
      </c>
      <c r="J91" s="20">
        <v>16</v>
      </c>
      <c r="K91" s="20">
        <v>2</v>
      </c>
      <c r="L91" s="111">
        <v>8</v>
      </c>
      <c r="M91" s="18" t="s">
        <v>250</v>
      </c>
      <c r="N91" s="18" t="s">
        <v>251</v>
      </c>
      <c r="O91" s="8" t="s">
        <v>249</v>
      </c>
    </row>
    <row r="92" spans="2:15" x14ac:dyDescent="0.25">
      <c r="B92" s="7" t="s">
        <v>497</v>
      </c>
      <c r="C92" s="17">
        <v>29394</v>
      </c>
      <c r="D92" s="7" t="s">
        <v>10</v>
      </c>
      <c r="E92" s="7" t="s">
        <v>74</v>
      </c>
      <c r="F92" s="7" t="s">
        <v>65</v>
      </c>
      <c r="G92" s="7" t="s">
        <v>35</v>
      </c>
      <c r="H92" s="8">
        <v>245435</v>
      </c>
      <c r="I92" s="7" t="s">
        <v>485</v>
      </c>
      <c r="J92" s="20">
        <v>24</v>
      </c>
      <c r="K92" s="20">
        <v>3</v>
      </c>
      <c r="L92" s="111">
        <v>21</v>
      </c>
      <c r="M92" s="18" t="s">
        <v>514</v>
      </c>
      <c r="N92" s="18" t="s">
        <v>251</v>
      </c>
      <c r="O92" s="8" t="s">
        <v>249</v>
      </c>
    </row>
    <row r="93" spans="2:15" x14ac:dyDescent="0.25">
      <c r="B93" s="7" t="s">
        <v>39</v>
      </c>
      <c r="C93" s="17">
        <v>23311</v>
      </c>
      <c r="D93" s="7" t="s">
        <v>6</v>
      </c>
      <c r="E93" s="7" t="s">
        <v>33</v>
      </c>
      <c r="F93" s="7" t="s">
        <v>34</v>
      </c>
      <c r="G93" s="8" t="s">
        <v>35</v>
      </c>
      <c r="H93" s="8">
        <v>436665</v>
      </c>
      <c r="I93" s="7" t="s">
        <v>43</v>
      </c>
      <c r="J93" s="27">
        <v>8</v>
      </c>
      <c r="K93" s="27">
        <v>1</v>
      </c>
      <c r="L93" s="27">
        <v>10</v>
      </c>
      <c r="M93" s="18" t="s">
        <v>67</v>
      </c>
      <c r="N93" s="18">
        <v>44305</v>
      </c>
      <c r="O93" s="8" t="s">
        <v>60</v>
      </c>
    </row>
    <row r="94" spans="2:15" x14ac:dyDescent="0.25">
      <c r="B94" s="7" t="s">
        <v>39</v>
      </c>
      <c r="C94" s="17">
        <v>30246</v>
      </c>
      <c r="D94" s="7" t="s">
        <v>12</v>
      </c>
      <c r="E94" s="7" t="s">
        <v>61</v>
      </c>
      <c r="F94" s="7" t="s">
        <v>68</v>
      </c>
      <c r="G94" s="8" t="s">
        <v>35</v>
      </c>
      <c r="H94" s="8">
        <v>389970</v>
      </c>
      <c r="I94" s="7" t="s">
        <v>69</v>
      </c>
      <c r="J94" s="27">
        <v>24</v>
      </c>
      <c r="K94" s="27">
        <v>3</v>
      </c>
      <c r="L94" s="27">
        <v>11</v>
      </c>
      <c r="M94" s="18" t="s">
        <v>67</v>
      </c>
      <c r="N94" s="18">
        <v>44307</v>
      </c>
      <c r="O94" s="8" t="s">
        <v>60</v>
      </c>
    </row>
    <row r="95" spans="2:15" x14ac:dyDescent="0.25">
      <c r="B95" s="7" t="s">
        <v>39</v>
      </c>
      <c r="C95" s="17">
        <v>24589</v>
      </c>
      <c r="D95" s="7" t="s">
        <v>12</v>
      </c>
      <c r="E95" s="7" t="s">
        <v>61</v>
      </c>
      <c r="F95" s="7" t="s">
        <v>65</v>
      </c>
      <c r="G95" s="8" t="s">
        <v>35</v>
      </c>
      <c r="H95" s="8">
        <v>354951</v>
      </c>
      <c r="I95" s="7" t="s">
        <v>63</v>
      </c>
      <c r="J95" s="27">
        <v>24</v>
      </c>
      <c r="K95" s="27">
        <v>3</v>
      </c>
      <c r="L95" s="27">
        <v>12</v>
      </c>
      <c r="M95" s="18" t="s">
        <v>70</v>
      </c>
      <c r="N95" s="18">
        <v>44317</v>
      </c>
      <c r="O95" s="8" t="s">
        <v>60</v>
      </c>
    </row>
    <row r="96" spans="2:15" x14ac:dyDescent="0.25">
      <c r="B96" s="7" t="s">
        <v>39</v>
      </c>
      <c r="C96" s="17">
        <v>25029</v>
      </c>
      <c r="D96" s="7" t="s">
        <v>12</v>
      </c>
      <c r="E96" s="7" t="s">
        <v>61</v>
      </c>
      <c r="F96" s="7" t="s">
        <v>71</v>
      </c>
      <c r="G96" s="8" t="s">
        <v>72</v>
      </c>
      <c r="H96" s="8">
        <v>353019</v>
      </c>
      <c r="I96" s="7" t="s">
        <v>73</v>
      </c>
      <c r="J96" s="27">
        <v>16</v>
      </c>
      <c r="K96" s="27">
        <v>2</v>
      </c>
      <c r="L96" s="27">
        <v>13</v>
      </c>
      <c r="M96" s="18" t="s">
        <v>70</v>
      </c>
      <c r="N96" s="18">
        <v>44320</v>
      </c>
      <c r="O96" s="8" t="s">
        <v>60</v>
      </c>
    </row>
    <row r="97" spans="2:15" x14ac:dyDescent="0.25">
      <c r="B97" s="7" t="s">
        <v>39</v>
      </c>
      <c r="C97" s="17">
        <v>21480</v>
      </c>
      <c r="D97" s="7" t="s">
        <v>13</v>
      </c>
      <c r="E97" s="7" t="s">
        <v>74</v>
      </c>
      <c r="F97" s="7" t="s">
        <v>34</v>
      </c>
      <c r="G97" s="8" t="s">
        <v>72</v>
      </c>
      <c r="H97" s="8">
        <v>458886</v>
      </c>
      <c r="I97" s="7" t="s">
        <v>75</v>
      </c>
      <c r="J97" s="27">
        <v>8</v>
      </c>
      <c r="K97" s="27">
        <v>1</v>
      </c>
      <c r="L97" s="27">
        <v>16</v>
      </c>
      <c r="M97" s="18" t="s">
        <v>76</v>
      </c>
      <c r="N97" s="18">
        <v>44328</v>
      </c>
      <c r="O97" s="8" t="s">
        <v>77</v>
      </c>
    </row>
    <row r="98" spans="2:15" x14ac:dyDescent="0.25">
      <c r="B98" s="7" t="s">
        <v>39</v>
      </c>
      <c r="C98" s="17">
        <v>24913</v>
      </c>
      <c r="D98" s="7" t="s">
        <v>7</v>
      </c>
      <c r="E98" s="7" t="s">
        <v>78</v>
      </c>
      <c r="F98" s="7" t="s">
        <v>79</v>
      </c>
      <c r="G98" s="8" t="s">
        <v>35</v>
      </c>
      <c r="H98" s="8">
        <v>354951</v>
      </c>
      <c r="I98" s="7" t="s">
        <v>63</v>
      </c>
      <c r="J98" s="27">
        <v>16</v>
      </c>
      <c r="K98" s="27">
        <v>2</v>
      </c>
      <c r="L98" s="27">
        <v>1</v>
      </c>
      <c r="M98" s="18" t="s">
        <v>80</v>
      </c>
      <c r="N98" s="18">
        <v>44328</v>
      </c>
      <c r="O98" s="8" t="s">
        <v>77</v>
      </c>
    </row>
    <row r="99" spans="2:15" x14ac:dyDescent="0.25">
      <c r="B99" s="7" t="s">
        <v>39</v>
      </c>
      <c r="C99" s="17">
        <v>26163</v>
      </c>
      <c r="D99" s="7" t="s">
        <v>14</v>
      </c>
      <c r="E99" s="7" t="s">
        <v>81</v>
      </c>
      <c r="F99" s="7" t="s">
        <v>65</v>
      </c>
      <c r="G99" s="7" t="s">
        <v>35</v>
      </c>
      <c r="H99" s="7">
        <v>350060</v>
      </c>
      <c r="I99" s="7" t="s">
        <v>36</v>
      </c>
      <c r="J99" s="24">
        <v>24</v>
      </c>
      <c r="K99" s="24">
        <v>3</v>
      </c>
      <c r="L99" s="24">
        <v>12</v>
      </c>
      <c r="M99" s="18">
        <v>44329</v>
      </c>
      <c r="N99" s="18">
        <v>44331</v>
      </c>
      <c r="O99" s="8" t="s">
        <v>77</v>
      </c>
    </row>
    <row r="100" spans="2:15" x14ac:dyDescent="0.25">
      <c r="B100" s="7" t="s">
        <v>39</v>
      </c>
      <c r="C100" s="17">
        <v>27340</v>
      </c>
      <c r="D100" s="7" t="s">
        <v>14</v>
      </c>
      <c r="E100" s="7" t="s">
        <v>81</v>
      </c>
      <c r="F100" s="7" t="s">
        <v>40</v>
      </c>
      <c r="G100" s="7" t="s">
        <v>35</v>
      </c>
      <c r="H100" s="7">
        <v>419491</v>
      </c>
      <c r="I100" s="7" t="s">
        <v>82</v>
      </c>
      <c r="J100" s="24">
        <v>24</v>
      </c>
      <c r="K100" s="24">
        <v>3</v>
      </c>
      <c r="L100" s="24">
        <v>12</v>
      </c>
      <c r="M100" s="8" t="s">
        <v>83</v>
      </c>
      <c r="N100" s="18">
        <v>44331</v>
      </c>
      <c r="O100" s="8" t="s">
        <v>77</v>
      </c>
    </row>
    <row r="101" spans="2:15" x14ac:dyDescent="0.25">
      <c r="B101" s="7" t="s">
        <v>39</v>
      </c>
      <c r="C101" s="17">
        <v>29663</v>
      </c>
      <c r="D101" s="7" t="s">
        <v>12</v>
      </c>
      <c r="E101" s="7" t="s">
        <v>61</v>
      </c>
      <c r="F101" s="7" t="s">
        <v>84</v>
      </c>
      <c r="G101" s="8" t="s">
        <v>72</v>
      </c>
      <c r="H101" s="8">
        <v>206830</v>
      </c>
      <c r="I101" s="7" t="s">
        <v>85</v>
      </c>
      <c r="J101" s="27">
        <v>16</v>
      </c>
      <c r="K101" s="27">
        <v>2</v>
      </c>
      <c r="L101" s="27">
        <v>8</v>
      </c>
      <c r="M101" s="18" t="s">
        <v>83</v>
      </c>
      <c r="N101" s="18">
        <v>44334</v>
      </c>
      <c r="O101" s="8" t="s">
        <v>77</v>
      </c>
    </row>
    <row r="102" spans="2:15" x14ac:dyDescent="0.25">
      <c r="B102" s="7" t="s">
        <v>39</v>
      </c>
      <c r="C102" s="17">
        <v>24914</v>
      </c>
      <c r="D102" s="7" t="s">
        <v>7</v>
      </c>
      <c r="E102" s="7" t="s">
        <v>78</v>
      </c>
      <c r="F102" s="7" t="s">
        <v>79</v>
      </c>
      <c r="G102" s="8" t="s">
        <v>35</v>
      </c>
      <c r="H102" s="8">
        <v>354951</v>
      </c>
      <c r="I102" s="7" t="s">
        <v>63</v>
      </c>
      <c r="J102" s="27">
        <v>16</v>
      </c>
      <c r="K102" s="27">
        <v>2</v>
      </c>
      <c r="L102" s="27">
        <v>1</v>
      </c>
      <c r="M102" s="18" t="s">
        <v>86</v>
      </c>
      <c r="N102" s="18">
        <v>44335</v>
      </c>
      <c r="O102" s="8" t="s">
        <v>77</v>
      </c>
    </row>
    <row r="103" spans="2:15" x14ac:dyDescent="0.25">
      <c r="B103" s="7" t="s">
        <v>39</v>
      </c>
      <c r="C103" s="17">
        <v>27334</v>
      </c>
      <c r="D103" s="7" t="s">
        <v>14</v>
      </c>
      <c r="E103" s="7" t="s">
        <v>81</v>
      </c>
      <c r="F103" s="7" t="s">
        <v>40</v>
      </c>
      <c r="G103" s="7" t="s">
        <v>35</v>
      </c>
      <c r="H103" s="7">
        <v>419491</v>
      </c>
      <c r="I103" s="7" t="s">
        <v>82</v>
      </c>
      <c r="J103" s="24">
        <v>24</v>
      </c>
      <c r="K103" s="24">
        <v>3</v>
      </c>
      <c r="L103" s="24">
        <v>10</v>
      </c>
      <c r="M103" s="8" t="s">
        <v>87</v>
      </c>
      <c r="N103" s="18">
        <v>44337</v>
      </c>
      <c r="O103" s="8" t="s">
        <v>77</v>
      </c>
    </row>
    <row r="104" spans="2:15" x14ac:dyDescent="0.25">
      <c r="B104" s="7" t="s">
        <v>39</v>
      </c>
      <c r="C104" s="17">
        <v>27826</v>
      </c>
      <c r="D104" s="7" t="s">
        <v>14</v>
      </c>
      <c r="E104" s="7" t="s">
        <v>88</v>
      </c>
      <c r="F104" s="7" t="s">
        <v>89</v>
      </c>
      <c r="G104" s="7" t="s">
        <v>35</v>
      </c>
      <c r="H104" s="7">
        <v>350060</v>
      </c>
      <c r="I104" s="7" t="s">
        <v>36</v>
      </c>
      <c r="J104" s="24">
        <v>16</v>
      </c>
      <c r="K104" s="24">
        <v>2</v>
      </c>
      <c r="L104" s="24">
        <v>13</v>
      </c>
      <c r="M104" s="8" t="s">
        <v>90</v>
      </c>
      <c r="N104" s="18">
        <v>44338</v>
      </c>
      <c r="O104" s="8" t="s">
        <v>77</v>
      </c>
    </row>
    <row r="105" spans="2:15" x14ac:dyDescent="0.25">
      <c r="B105" s="7" t="s">
        <v>39</v>
      </c>
      <c r="C105" s="17">
        <v>21481</v>
      </c>
      <c r="D105" s="7" t="s">
        <v>13</v>
      </c>
      <c r="E105" s="7" t="s">
        <v>74</v>
      </c>
      <c r="F105" s="7" t="s">
        <v>34</v>
      </c>
      <c r="G105" s="8" t="s">
        <v>72</v>
      </c>
      <c r="H105" s="8">
        <v>458886</v>
      </c>
      <c r="I105" s="7" t="s">
        <v>75</v>
      </c>
      <c r="J105" s="27">
        <v>8</v>
      </c>
      <c r="K105" s="27">
        <v>1</v>
      </c>
      <c r="L105" s="27">
        <v>11</v>
      </c>
      <c r="M105" s="18" t="s">
        <v>91</v>
      </c>
      <c r="N105" s="18">
        <v>44340</v>
      </c>
      <c r="O105" s="8" t="s">
        <v>77</v>
      </c>
    </row>
    <row r="106" spans="2:15" x14ac:dyDescent="0.25">
      <c r="B106" s="7" t="s">
        <v>39</v>
      </c>
      <c r="C106" s="17">
        <v>27335</v>
      </c>
      <c r="D106" s="7" t="s">
        <v>14</v>
      </c>
      <c r="E106" s="7" t="s">
        <v>81</v>
      </c>
      <c r="F106" s="7" t="s">
        <v>40</v>
      </c>
      <c r="G106" s="7" t="s">
        <v>35</v>
      </c>
      <c r="H106" s="7">
        <v>419491</v>
      </c>
      <c r="I106" s="7" t="s">
        <v>82</v>
      </c>
      <c r="J106" s="24">
        <v>24</v>
      </c>
      <c r="K106" s="24">
        <v>3</v>
      </c>
      <c r="L106" s="24">
        <v>10</v>
      </c>
      <c r="M106" s="8" t="s">
        <v>92</v>
      </c>
      <c r="N106" s="18">
        <v>44340</v>
      </c>
      <c r="O106" s="8" t="s">
        <v>77</v>
      </c>
    </row>
    <row r="107" spans="2:15" x14ac:dyDescent="0.25">
      <c r="B107" s="7" t="s">
        <v>39</v>
      </c>
      <c r="C107" s="17">
        <v>24750</v>
      </c>
      <c r="D107" s="7" t="s">
        <v>7</v>
      </c>
      <c r="E107" s="7" t="s">
        <v>78</v>
      </c>
      <c r="F107" s="7" t="s">
        <v>40</v>
      </c>
      <c r="G107" s="8" t="s">
        <v>35</v>
      </c>
      <c r="H107" s="8">
        <v>354951</v>
      </c>
      <c r="I107" s="7" t="s">
        <v>63</v>
      </c>
      <c r="J107" s="27">
        <v>24</v>
      </c>
      <c r="K107" s="27">
        <v>3</v>
      </c>
      <c r="L107" s="27">
        <v>5</v>
      </c>
      <c r="M107" s="18" t="s">
        <v>93</v>
      </c>
      <c r="N107" s="18">
        <v>44344</v>
      </c>
      <c r="O107" s="8" t="s">
        <v>77</v>
      </c>
    </row>
    <row r="108" spans="2:15" x14ac:dyDescent="0.25">
      <c r="B108" s="7" t="s">
        <v>39</v>
      </c>
      <c r="C108" s="17">
        <v>28027</v>
      </c>
      <c r="D108" s="7" t="s">
        <v>14</v>
      </c>
      <c r="E108" s="7" t="s">
        <v>88</v>
      </c>
      <c r="F108" s="7" t="s">
        <v>94</v>
      </c>
      <c r="G108" s="7" t="s">
        <v>35</v>
      </c>
      <c r="H108" s="7" t="s">
        <v>95</v>
      </c>
      <c r="I108" s="7" t="s">
        <v>96</v>
      </c>
      <c r="J108" s="24">
        <v>16</v>
      </c>
      <c r="K108" s="24">
        <v>2</v>
      </c>
      <c r="L108" s="24">
        <v>8</v>
      </c>
      <c r="M108" s="8" t="s">
        <v>97</v>
      </c>
      <c r="N108" s="18">
        <v>44344</v>
      </c>
      <c r="O108" s="8" t="s">
        <v>77</v>
      </c>
    </row>
    <row r="109" spans="2:15" x14ac:dyDescent="0.25">
      <c r="B109" s="7" t="s">
        <v>39</v>
      </c>
      <c r="C109" s="17">
        <v>27352</v>
      </c>
      <c r="D109" s="7" t="s">
        <v>14</v>
      </c>
      <c r="E109" s="7" t="s">
        <v>81</v>
      </c>
      <c r="F109" s="7" t="s">
        <v>40</v>
      </c>
      <c r="G109" s="7" t="s">
        <v>35</v>
      </c>
      <c r="H109" s="7">
        <v>489671</v>
      </c>
      <c r="I109" s="7" t="s">
        <v>98</v>
      </c>
      <c r="J109" s="24">
        <v>24</v>
      </c>
      <c r="K109" s="24">
        <v>3</v>
      </c>
      <c r="L109" s="24">
        <v>12</v>
      </c>
      <c r="M109" s="8" t="s">
        <v>97</v>
      </c>
      <c r="N109" s="18">
        <v>44345</v>
      </c>
      <c r="O109" s="8" t="s">
        <v>77</v>
      </c>
    </row>
    <row r="110" spans="2:15" x14ac:dyDescent="0.25">
      <c r="B110" s="7" t="s">
        <v>39</v>
      </c>
      <c r="C110" s="17">
        <v>21482</v>
      </c>
      <c r="D110" s="7" t="s">
        <v>13</v>
      </c>
      <c r="E110" s="7" t="s">
        <v>74</v>
      </c>
      <c r="F110" s="7" t="s">
        <v>34</v>
      </c>
      <c r="G110" s="8" t="s">
        <v>72</v>
      </c>
      <c r="H110" s="8">
        <v>458886</v>
      </c>
      <c r="I110" s="7" t="s">
        <v>75</v>
      </c>
      <c r="J110" s="27">
        <v>8</v>
      </c>
      <c r="K110" s="27">
        <v>1</v>
      </c>
      <c r="L110" s="27">
        <v>20</v>
      </c>
      <c r="M110" s="18" t="s">
        <v>99</v>
      </c>
      <c r="N110" s="18">
        <v>44348</v>
      </c>
      <c r="O110" s="8" t="s">
        <v>100</v>
      </c>
    </row>
    <row r="111" spans="2:15" x14ac:dyDescent="0.25">
      <c r="B111" s="7" t="s">
        <v>39</v>
      </c>
      <c r="C111" s="17">
        <v>21446</v>
      </c>
      <c r="D111" s="7" t="s">
        <v>13</v>
      </c>
      <c r="E111" s="7" t="s">
        <v>74</v>
      </c>
      <c r="F111" s="7" t="s">
        <v>89</v>
      </c>
      <c r="G111" s="8" t="s">
        <v>35</v>
      </c>
      <c r="H111" s="8">
        <v>354951</v>
      </c>
      <c r="I111" s="7" t="s">
        <v>63</v>
      </c>
      <c r="J111" s="27">
        <v>16</v>
      </c>
      <c r="K111" s="27">
        <v>2</v>
      </c>
      <c r="L111" s="27">
        <v>10</v>
      </c>
      <c r="M111" s="18" t="s">
        <v>101</v>
      </c>
      <c r="N111" s="18">
        <v>44350</v>
      </c>
      <c r="O111" s="8" t="s">
        <v>100</v>
      </c>
    </row>
    <row r="112" spans="2:15" x14ac:dyDescent="0.25">
      <c r="B112" s="7" t="s">
        <v>39</v>
      </c>
      <c r="C112" s="17">
        <v>21447</v>
      </c>
      <c r="D112" s="7" t="s">
        <v>13</v>
      </c>
      <c r="E112" s="7" t="s">
        <v>74</v>
      </c>
      <c r="F112" s="7" t="s">
        <v>89</v>
      </c>
      <c r="G112" s="8" t="s">
        <v>72</v>
      </c>
      <c r="H112" s="8">
        <v>354951</v>
      </c>
      <c r="I112" s="7" t="s">
        <v>63</v>
      </c>
      <c r="J112" s="27">
        <v>16</v>
      </c>
      <c r="K112" s="27">
        <v>2</v>
      </c>
      <c r="L112" s="27">
        <v>22</v>
      </c>
      <c r="M112" s="18" t="s">
        <v>102</v>
      </c>
      <c r="N112" s="18">
        <v>44356</v>
      </c>
      <c r="O112" s="8" t="s">
        <v>100</v>
      </c>
    </row>
    <row r="113" spans="2:15" x14ac:dyDescent="0.25">
      <c r="B113" s="7" t="s">
        <v>39</v>
      </c>
      <c r="C113" s="17">
        <v>28026</v>
      </c>
      <c r="D113" s="7" t="s">
        <v>14</v>
      </c>
      <c r="E113" s="7" t="s">
        <v>88</v>
      </c>
      <c r="F113" s="7" t="s">
        <v>94</v>
      </c>
      <c r="G113" s="7" t="s">
        <v>35</v>
      </c>
      <c r="H113" s="7" t="s">
        <v>95</v>
      </c>
      <c r="I113" s="7" t="s">
        <v>96</v>
      </c>
      <c r="J113" s="24">
        <v>16</v>
      </c>
      <c r="K113" s="24">
        <v>2</v>
      </c>
      <c r="L113" s="24">
        <v>7</v>
      </c>
      <c r="M113" s="8" t="s">
        <v>102</v>
      </c>
      <c r="N113" s="18">
        <v>44356</v>
      </c>
      <c r="O113" s="8" t="s">
        <v>100</v>
      </c>
    </row>
    <row r="114" spans="2:15" x14ac:dyDescent="0.25">
      <c r="B114" s="7" t="s">
        <v>39</v>
      </c>
      <c r="C114" s="17">
        <v>22169</v>
      </c>
      <c r="D114" s="7" t="s">
        <v>12</v>
      </c>
      <c r="E114" s="7" t="s">
        <v>61</v>
      </c>
      <c r="F114" s="7" t="s">
        <v>62</v>
      </c>
      <c r="G114" s="8" t="s">
        <v>35</v>
      </c>
      <c r="H114" s="8">
        <v>389970</v>
      </c>
      <c r="I114" s="7" t="s">
        <v>69</v>
      </c>
      <c r="J114" s="27">
        <v>24</v>
      </c>
      <c r="K114" s="27">
        <v>3</v>
      </c>
      <c r="L114" s="27">
        <v>12</v>
      </c>
      <c r="M114" s="18" t="s">
        <v>103</v>
      </c>
      <c r="N114" s="18">
        <v>44358</v>
      </c>
      <c r="O114" s="8" t="s">
        <v>100</v>
      </c>
    </row>
    <row r="115" spans="2:15" x14ac:dyDescent="0.25">
      <c r="B115" s="7" t="s">
        <v>39</v>
      </c>
      <c r="C115" s="17">
        <v>24591</v>
      </c>
      <c r="D115" s="7" t="s">
        <v>12</v>
      </c>
      <c r="E115" s="7" t="s">
        <v>61</v>
      </c>
      <c r="F115" s="7" t="s">
        <v>65</v>
      </c>
      <c r="G115" s="8" t="s">
        <v>35</v>
      </c>
      <c r="H115" s="8">
        <v>354951</v>
      </c>
      <c r="I115" s="7" t="s">
        <v>63</v>
      </c>
      <c r="J115" s="27">
        <v>24</v>
      </c>
      <c r="K115" s="27">
        <v>3</v>
      </c>
      <c r="L115" s="27">
        <v>12</v>
      </c>
      <c r="M115" s="18" t="s">
        <v>104</v>
      </c>
      <c r="N115" s="18">
        <v>44359</v>
      </c>
      <c r="O115" s="8" t="s">
        <v>100</v>
      </c>
    </row>
    <row r="116" spans="2:15" x14ac:dyDescent="0.25">
      <c r="B116" s="7" t="s">
        <v>39</v>
      </c>
      <c r="C116" s="17">
        <v>29681</v>
      </c>
      <c r="D116" s="7" t="s">
        <v>12</v>
      </c>
      <c r="E116" s="7" t="s">
        <v>61</v>
      </c>
      <c r="F116" s="7" t="s">
        <v>105</v>
      </c>
      <c r="G116" s="8" t="s">
        <v>72</v>
      </c>
      <c r="H116" s="8">
        <v>350060</v>
      </c>
      <c r="I116" s="7" t="s">
        <v>36</v>
      </c>
      <c r="J116" s="27">
        <v>16</v>
      </c>
      <c r="K116" s="27">
        <v>2</v>
      </c>
      <c r="L116" s="27">
        <v>14</v>
      </c>
      <c r="M116" s="18" t="s">
        <v>104</v>
      </c>
      <c r="N116" s="18">
        <v>44363</v>
      </c>
      <c r="O116" s="8" t="s">
        <v>100</v>
      </c>
    </row>
    <row r="117" spans="2:15" x14ac:dyDescent="0.25">
      <c r="B117" s="7" t="s">
        <v>39</v>
      </c>
      <c r="C117" s="17">
        <v>24916</v>
      </c>
      <c r="D117" s="7" t="s">
        <v>7</v>
      </c>
      <c r="E117" s="7" t="s">
        <v>78</v>
      </c>
      <c r="F117" s="7" t="s">
        <v>79</v>
      </c>
      <c r="G117" s="8" t="s">
        <v>35</v>
      </c>
      <c r="H117" s="8">
        <v>354951</v>
      </c>
      <c r="I117" s="7" t="s">
        <v>63</v>
      </c>
      <c r="J117" s="27">
        <v>16</v>
      </c>
      <c r="K117" s="27">
        <v>2</v>
      </c>
      <c r="L117" s="27">
        <v>7</v>
      </c>
      <c r="M117" s="18" t="s">
        <v>106</v>
      </c>
      <c r="N117" s="18">
        <v>44365</v>
      </c>
      <c r="O117" s="8" t="s">
        <v>100</v>
      </c>
    </row>
    <row r="118" spans="2:15" x14ac:dyDescent="0.25">
      <c r="B118" s="7" t="s">
        <v>39</v>
      </c>
      <c r="C118" s="17">
        <v>27336</v>
      </c>
      <c r="D118" s="7" t="s">
        <v>14</v>
      </c>
      <c r="E118" s="7" t="s">
        <v>81</v>
      </c>
      <c r="F118" s="7" t="s">
        <v>40</v>
      </c>
      <c r="G118" s="7" t="s">
        <v>35</v>
      </c>
      <c r="H118" s="7">
        <v>419491</v>
      </c>
      <c r="I118" s="7" t="s">
        <v>82</v>
      </c>
      <c r="J118" s="24">
        <v>24</v>
      </c>
      <c r="K118" s="24">
        <v>3</v>
      </c>
      <c r="L118" s="24">
        <v>7</v>
      </c>
      <c r="M118" s="8" t="s">
        <v>107</v>
      </c>
      <c r="N118" s="18">
        <v>44365</v>
      </c>
      <c r="O118" s="8" t="s">
        <v>100</v>
      </c>
    </row>
    <row r="119" spans="2:15" x14ac:dyDescent="0.25">
      <c r="B119" s="7" t="s">
        <v>39</v>
      </c>
      <c r="C119" s="17">
        <v>21483</v>
      </c>
      <c r="D119" s="7" t="s">
        <v>13</v>
      </c>
      <c r="E119" s="7" t="s">
        <v>74</v>
      </c>
      <c r="F119" s="7" t="s">
        <v>34</v>
      </c>
      <c r="G119" s="8" t="s">
        <v>72</v>
      </c>
      <c r="H119" s="8">
        <v>458886</v>
      </c>
      <c r="I119" s="7" t="s">
        <v>75</v>
      </c>
      <c r="J119" s="27">
        <v>8</v>
      </c>
      <c r="K119" s="27">
        <v>1</v>
      </c>
      <c r="L119" s="27">
        <v>13</v>
      </c>
      <c r="M119" s="18" t="s">
        <v>108</v>
      </c>
      <c r="N119" s="18">
        <v>44368</v>
      </c>
      <c r="O119" s="8" t="s">
        <v>100</v>
      </c>
    </row>
    <row r="120" spans="2:15" x14ac:dyDescent="0.25">
      <c r="B120" s="7" t="s">
        <v>39</v>
      </c>
      <c r="C120" s="17">
        <v>27337</v>
      </c>
      <c r="D120" s="7" t="s">
        <v>14</v>
      </c>
      <c r="E120" s="7" t="s">
        <v>81</v>
      </c>
      <c r="F120" s="7" t="s">
        <v>40</v>
      </c>
      <c r="G120" s="7" t="s">
        <v>35</v>
      </c>
      <c r="H120" s="7">
        <v>419491</v>
      </c>
      <c r="I120" s="7" t="s">
        <v>82</v>
      </c>
      <c r="J120" s="24">
        <v>24</v>
      </c>
      <c r="K120" s="24">
        <v>3</v>
      </c>
      <c r="L120" s="24">
        <v>7</v>
      </c>
      <c r="M120" s="8" t="s">
        <v>109</v>
      </c>
      <c r="N120" s="8" t="s">
        <v>108</v>
      </c>
      <c r="O120" s="8" t="s">
        <v>100</v>
      </c>
    </row>
    <row r="121" spans="2:15" x14ac:dyDescent="0.25">
      <c r="B121" s="7" t="s">
        <v>39</v>
      </c>
      <c r="C121" s="17">
        <v>24592</v>
      </c>
      <c r="D121" s="7" t="s">
        <v>12</v>
      </c>
      <c r="E121" s="7" t="s">
        <v>61</v>
      </c>
      <c r="F121" s="7" t="s">
        <v>65</v>
      </c>
      <c r="G121" s="8" t="s">
        <v>35</v>
      </c>
      <c r="H121" s="8">
        <v>354951</v>
      </c>
      <c r="I121" s="7" t="s">
        <v>63</v>
      </c>
      <c r="J121" s="27">
        <v>24</v>
      </c>
      <c r="K121" s="27">
        <v>3</v>
      </c>
      <c r="L121" s="27">
        <v>12</v>
      </c>
      <c r="M121" s="18" t="s">
        <v>110</v>
      </c>
      <c r="N121" s="18" t="s">
        <v>111</v>
      </c>
      <c r="O121" s="8" t="s">
        <v>100</v>
      </c>
    </row>
    <row r="122" spans="2:15" x14ac:dyDescent="0.25">
      <c r="B122" s="7" t="s">
        <v>39</v>
      </c>
      <c r="C122" s="17">
        <v>25933</v>
      </c>
      <c r="D122" s="7" t="s">
        <v>14</v>
      </c>
      <c r="E122" s="7" t="s">
        <v>81</v>
      </c>
      <c r="F122" s="7" t="s">
        <v>68</v>
      </c>
      <c r="G122" s="7" t="s">
        <v>35</v>
      </c>
      <c r="H122" s="7">
        <v>489671</v>
      </c>
      <c r="I122" s="7" t="s">
        <v>98</v>
      </c>
      <c r="J122" s="24">
        <v>24</v>
      </c>
      <c r="K122" s="24">
        <v>3</v>
      </c>
      <c r="L122" s="24">
        <v>5</v>
      </c>
      <c r="M122" s="8" t="s">
        <v>110</v>
      </c>
      <c r="N122" s="8" t="s">
        <v>111</v>
      </c>
      <c r="O122" s="8" t="s">
        <v>100</v>
      </c>
    </row>
    <row r="123" spans="2:15" x14ac:dyDescent="0.25">
      <c r="B123" s="7" t="s">
        <v>39</v>
      </c>
      <c r="C123" s="17">
        <v>26157</v>
      </c>
      <c r="D123" s="7" t="s">
        <v>14</v>
      </c>
      <c r="E123" s="7" t="s">
        <v>81</v>
      </c>
      <c r="F123" s="7" t="s">
        <v>65</v>
      </c>
      <c r="G123" s="7" t="s">
        <v>35</v>
      </c>
      <c r="H123" s="7">
        <v>411339</v>
      </c>
      <c r="I123" s="7" t="s">
        <v>112</v>
      </c>
      <c r="J123" s="24">
        <v>24</v>
      </c>
      <c r="K123" s="24">
        <v>3</v>
      </c>
      <c r="L123" s="24">
        <v>12</v>
      </c>
      <c r="M123" s="8" t="s">
        <v>113</v>
      </c>
      <c r="N123" s="8" t="s">
        <v>114</v>
      </c>
      <c r="O123" s="8" t="s">
        <v>100</v>
      </c>
    </row>
    <row r="124" spans="2:15" x14ac:dyDescent="0.25">
      <c r="B124" s="7" t="s">
        <v>39</v>
      </c>
      <c r="C124" s="17">
        <v>21432</v>
      </c>
      <c r="D124" s="7" t="s">
        <v>13</v>
      </c>
      <c r="E124" s="7" t="s">
        <v>74</v>
      </c>
      <c r="F124" s="7" t="s">
        <v>79</v>
      </c>
      <c r="G124" s="8" t="s">
        <v>35</v>
      </c>
      <c r="H124" s="8">
        <v>389970</v>
      </c>
      <c r="I124" s="7" t="s">
        <v>69</v>
      </c>
      <c r="J124" s="27">
        <v>16</v>
      </c>
      <c r="K124" s="27">
        <v>2</v>
      </c>
      <c r="L124" s="27">
        <v>19</v>
      </c>
      <c r="M124" s="18" t="s">
        <v>115</v>
      </c>
      <c r="N124" s="18" t="s">
        <v>116</v>
      </c>
      <c r="O124" s="8" t="s">
        <v>100</v>
      </c>
    </row>
    <row r="125" spans="2:15" x14ac:dyDescent="0.25">
      <c r="B125" s="7" t="s">
        <v>39</v>
      </c>
      <c r="C125" s="17">
        <v>24918</v>
      </c>
      <c r="D125" s="7" t="s">
        <v>7</v>
      </c>
      <c r="E125" s="7" t="s">
        <v>78</v>
      </c>
      <c r="F125" s="7" t="s">
        <v>79</v>
      </c>
      <c r="G125" s="8" t="s">
        <v>35</v>
      </c>
      <c r="H125" s="8">
        <v>354951</v>
      </c>
      <c r="I125" s="7" t="s">
        <v>63</v>
      </c>
      <c r="J125" s="27">
        <v>16</v>
      </c>
      <c r="K125" s="27">
        <v>2</v>
      </c>
      <c r="L125" s="27">
        <v>5</v>
      </c>
      <c r="M125" s="18" t="s">
        <v>117</v>
      </c>
      <c r="N125" s="18" t="s">
        <v>118</v>
      </c>
      <c r="O125" s="8" t="s">
        <v>119</v>
      </c>
    </row>
    <row r="126" spans="2:15" x14ac:dyDescent="0.25">
      <c r="B126" s="7" t="s">
        <v>39</v>
      </c>
      <c r="C126" s="17">
        <v>24923</v>
      </c>
      <c r="D126" s="7" t="s">
        <v>7</v>
      </c>
      <c r="E126" s="7" t="s">
        <v>78</v>
      </c>
      <c r="F126" s="7" t="s">
        <v>79</v>
      </c>
      <c r="G126" s="8" t="s">
        <v>35</v>
      </c>
      <c r="H126" s="8">
        <v>354951</v>
      </c>
      <c r="I126" s="7" t="s">
        <v>63</v>
      </c>
      <c r="J126" s="27">
        <v>16</v>
      </c>
      <c r="K126" s="27">
        <v>2</v>
      </c>
      <c r="L126" s="27">
        <v>1</v>
      </c>
      <c r="M126" s="18" t="s">
        <v>120</v>
      </c>
      <c r="N126" s="18" t="s">
        <v>121</v>
      </c>
      <c r="O126" s="8" t="s">
        <v>119</v>
      </c>
    </row>
    <row r="127" spans="2:15" x14ac:dyDescent="0.25">
      <c r="B127" s="7" t="s">
        <v>39</v>
      </c>
      <c r="C127" s="17">
        <v>27342</v>
      </c>
      <c r="D127" s="7" t="s">
        <v>14</v>
      </c>
      <c r="E127" s="7" t="s">
        <v>81</v>
      </c>
      <c r="F127" s="7" t="s">
        <v>40</v>
      </c>
      <c r="G127" s="7" t="s">
        <v>35</v>
      </c>
      <c r="H127" s="7">
        <v>316048</v>
      </c>
      <c r="I127" s="7" t="s">
        <v>122</v>
      </c>
      <c r="J127" s="24">
        <v>24</v>
      </c>
      <c r="K127" s="24">
        <v>3</v>
      </c>
      <c r="L127" s="24">
        <v>12</v>
      </c>
      <c r="M127" s="8" t="s">
        <v>123</v>
      </c>
      <c r="N127" s="8" t="s">
        <v>121</v>
      </c>
      <c r="O127" s="8" t="s">
        <v>119</v>
      </c>
    </row>
    <row r="128" spans="2:15" x14ac:dyDescent="0.25">
      <c r="B128" s="7" t="s">
        <v>39</v>
      </c>
      <c r="C128" s="17">
        <v>24070</v>
      </c>
      <c r="D128" s="7" t="s">
        <v>6</v>
      </c>
      <c r="E128" s="7" t="s">
        <v>33</v>
      </c>
      <c r="F128" s="7" t="s">
        <v>65</v>
      </c>
      <c r="G128" s="8" t="s">
        <v>35</v>
      </c>
      <c r="H128" s="8">
        <v>350060</v>
      </c>
      <c r="I128" s="7" t="s">
        <v>36</v>
      </c>
      <c r="J128" s="27">
        <v>24</v>
      </c>
      <c r="K128" s="27">
        <v>3</v>
      </c>
      <c r="L128" s="27">
        <v>9</v>
      </c>
      <c r="M128" s="18" t="s">
        <v>120</v>
      </c>
      <c r="N128" s="18" t="s">
        <v>124</v>
      </c>
      <c r="O128" s="8" t="s">
        <v>119</v>
      </c>
    </row>
    <row r="129" spans="2:15" x14ac:dyDescent="0.25">
      <c r="B129" s="7" t="s">
        <v>39</v>
      </c>
      <c r="C129" s="17">
        <v>26158</v>
      </c>
      <c r="D129" s="7" t="s">
        <v>14</v>
      </c>
      <c r="E129" s="7" t="s">
        <v>81</v>
      </c>
      <c r="F129" s="7" t="s">
        <v>65</v>
      </c>
      <c r="G129" s="7" t="s">
        <v>35</v>
      </c>
      <c r="H129" s="7">
        <v>329117</v>
      </c>
      <c r="I129" s="7" t="s">
        <v>125</v>
      </c>
      <c r="J129" s="24">
        <v>24</v>
      </c>
      <c r="K129" s="24">
        <v>3</v>
      </c>
      <c r="L129" s="24">
        <v>12</v>
      </c>
      <c r="M129" s="8" t="s">
        <v>120</v>
      </c>
      <c r="N129" s="8" t="s">
        <v>124</v>
      </c>
      <c r="O129" s="8" t="s">
        <v>119</v>
      </c>
    </row>
    <row r="130" spans="2:15" x14ac:dyDescent="0.25">
      <c r="B130" s="7" t="s">
        <v>39</v>
      </c>
      <c r="C130" s="17">
        <v>21484</v>
      </c>
      <c r="D130" s="7" t="s">
        <v>13</v>
      </c>
      <c r="E130" s="7" t="s">
        <v>74</v>
      </c>
      <c r="F130" s="7" t="s">
        <v>34</v>
      </c>
      <c r="G130" s="8" t="s">
        <v>72</v>
      </c>
      <c r="H130" s="8">
        <v>458886</v>
      </c>
      <c r="I130" s="7" t="s">
        <v>75</v>
      </c>
      <c r="J130" s="27">
        <v>8</v>
      </c>
      <c r="K130" s="27">
        <v>1</v>
      </c>
      <c r="L130" s="27">
        <v>15</v>
      </c>
      <c r="M130" s="18" t="s">
        <v>126</v>
      </c>
      <c r="N130" s="18" t="s">
        <v>126</v>
      </c>
      <c r="O130" s="8" t="s">
        <v>119</v>
      </c>
    </row>
    <row r="131" spans="2:15" x14ac:dyDescent="0.25">
      <c r="B131" s="7" t="s">
        <v>39</v>
      </c>
      <c r="C131" s="17">
        <v>27343</v>
      </c>
      <c r="D131" s="7" t="s">
        <v>14</v>
      </c>
      <c r="E131" s="7" t="s">
        <v>81</v>
      </c>
      <c r="F131" s="7" t="s">
        <v>40</v>
      </c>
      <c r="G131" s="7" t="s">
        <v>35</v>
      </c>
      <c r="H131" s="7">
        <v>316048</v>
      </c>
      <c r="I131" s="7" t="s">
        <v>122</v>
      </c>
      <c r="J131" s="24">
        <v>24</v>
      </c>
      <c r="K131" s="24">
        <v>3</v>
      </c>
      <c r="L131" s="24">
        <v>12</v>
      </c>
      <c r="M131" s="8" t="s">
        <v>124</v>
      </c>
      <c r="N131" s="8" t="s">
        <v>126</v>
      </c>
      <c r="O131" s="8" t="s">
        <v>119</v>
      </c>
    </row>
    <row r="132" spans="2:15" x14ac:dyDescent="0.25">
      <c r="B132" s="7" t="s">
        <v>39</v>
      </c>
      <c r="C132" s="17">
        <v>30264</v>
      </c>
      <c r="D132" s="7" t="s">
        <v>12</v>
      </c>
      <c r="E132" s="7" t="s">
        <v>61</v>
      </c>
      <c r="F132" s="7" t="s">
        <v>127</v>
      </c>
      <c r="G132" s="8" t="s">
        <v>72</v>
      </c>
      <c r="H132" s="8">
        <v>458886</v>
      </c>
      <c r="I132" s="7" t="s">
        <v>75</v>
      </c>
      <c r="J132" s="27">
        <v>16</v>
      </c>
      <c r="K132" s="27">
        <v>2</v>
      </c>
      <c r="L132" s="27">
        <v>10</v>
      </c>
      <c r="M132" s="18" t="s">
        <v>120</v>
      </c>
      <c r="N132" s="18" t="s">
        <v>128</v>
      </c>
      <c r="O132" s="8" t="s">
        <v>119</v>
      </c>
    </row>
    <row r="133" spans="2:15" x14ac:dyDescent="0.25">
      <c r="B133" s="7" t="s">
        <v>39</v>
      </c>
      <c r="C133" s="17">
        <v>27344</v>
      </c>
      <c r="D133" s="7" t="s">
        <v>14</v>
      </c>
      <c r="E133" s="7" t="s">
        <v>81</v>
      </c>
      <c r="F133" s="7" t="s">
        <v>40</v>
      </c>
      <c r="G133" s="7" t="s">
        <v>35</v>
      </c>
      <c r="H133" s="7">
        <v>419491</v>
      </c>
      <c r="I133" s="7" t="s">
        <v>82</v>
      </c>
      <c r="J133" s="24">
        <v>24</v>
      </c>
      <c r="K133" s="24">
        <v>3</v>
      </c>
      <c r="L133" s="24">
        <v>12</v>
      </c>
      <c r="M133" s="8" t="s">
        <v>128</v>
      </c>
      <c r="N133" s="8" t="s">
        <v>129</v>
      </c>
      <c r="O133" s="8" t="s">
        <v>119</v>
      </c>
    </row>
    <row r="134" spans="2:15" x14ac:dyDescent="0.25">
      <c r="B134" s="7" t="s">
        <v>39</v>
      </c>
      <c r="C134" s="17">
        <v>24919</v>
      </c>
      <c r="D134" s="7" t="s">
        <v>7</v>
      </c>
      <c r="E134" s="7" t="s">
        <v>78</v>
      </c>
      <c r="F134" s="7" t="s">
        <v>79</v>
      </c>
      <c r="G134" s="8" t="s">
        <v>35</v>
      </c>
      <c r="H134" s="8">
        <v>354951</v>
      </c>
      <c r="I134" s="7" t="s">
        <v>63</v>
      </c>
      <c r="J134" s="27">
        <v>16</v>
      </c>
      <c r="K134" s="27">
        <v>2</v>
      </c>
      <c r="L134" s="27">
        <v>5</v>
      </c>
      <c r="M134" s="18" t="s">
        <v>129</v>
      </c>
      <c r="N134" s="18" t="s">
        <v>130</v>
      </c>
      <c r="O134" s="8" t="s">
        <v>119</v>
      </c>
    </row>
    <row r="135" spans="2:15" x14ac:dyDescent="0.25">
      <c r="B135" s="7" t="s">
        <v>39</v>
      </c>
      <c r="C135" s="17">
        <v>24922</v>
      </c>
      <c r="D135" s="7" t="s">
        <v>7</v>
      </c>
      <c r="E135" s="7" t="s">
        <v>78</v>
      </c>
      <c r="F135" s="7" t="s">
        <v>79</v>
      </c>
      <c r="G135" s="8" t="s">
        <v>35</v>
      </c>
      <c r="H135" s="8">
        <v>354951</v>
      </c>
      <c r="I135" s="7" t="s">
        <v>63</v>
      </c>
      <c r="J135" s="27">
        <v>16</v>
      </c>
      <c r="K135" s="27">
        <v>2</v>
      </c>
      <c r="L135" s="27">
        <v>11</v>
      </c>
      <c r="M135" s="18" t="s">
        <v>131</v>
      </c>
      <c r="N135" s="18" t="s">
        <v>132</v>
      </c>
      <c r="O135" s="8" t="s">
        <v>119</v>
      </c>
    </row>
    <row r="136" spans="2:15" x14ac:dyDescent="0.25">
      <c r="B136" s="7" t="s">
        <v>39</v>
      </c>
      <c r="C136" s="17">
        <v>27345</v>
      </c>
      <c r="D136" s="7" t="s">
        <v>14</v>
      </c>
      <c r="E136" s="7" t="s">
        <v>81</v>
      </c>
      <c r="F136" s="7" t="s">
        <v>40</v>
      </c>
      <c r="G136" s="7" t="s">
        <v>35</v>
      </c>
      <c r="H136" s="7">
        <v>489671</v>
      </c>
      <c r="I136" s="7" t="s">
        <v>98</v>
      </c>
      <c r="J136" s="24">
        <v>24</v>
      </c>
      <c r="K136" s="24">
        <v>3</v>
      </c>
      <c r="L136" s="24">
        <v>12</v>
      </c>
      <c r="M136" s="8" t="s">
        <v>133</v>
      </c>
      <c r="N136" s="8" t="s">
        <v>134</v>
      </c>
      <c r="O136" s="8" t="s">
        <v>119</v>
      </c>
    </row>
    <row r="137" spans="2:15" x14ac:dyDescent="0.25">
      <c r="B137" s="7" t="s">
        <v>39</v>
      </c>
      <c r="C137" s="17">
        <v>26159</v>
      </c>
      <c r="D137" s="7" t="s">
        <v>14</v>
      </c>
      <c r="E137" s="7" t="s">
        <v>81</v>
      </c>
      <c r="F137" s="7" t="s">
        <v>65</v>
      </c>
      <c r="G137" s="7" t="s">
        <v>35</v>
      </c>
      <c r="H137" s="7">
        <v>411339</v>
      </c>
      <c r="I137" s="7" t="s">
        <v>112</v>
      </c>
      <c r="J137" s="24">
        <v>24</v>
      </c>
      <c r="K137" s="24">
        <v>3</v>
      </c>
      <c r="L137" s="24">
        <v>12</v>
      </c>
      <c r="M137" s="8" t="s">
        <v>133</v>
      </c>
      <c r="N137" s="8" t="s">
        <v>134</v>
      </c>
      <c r="O137" s="8" t="s">
        <v>119</v>
      </c>
    </row>
    <row r="138" spans="2:15" x14ac:dyDescent="0.25">
      <c r="B138" s="7" t="s">
        <v>39</v>
      </c>
      <c r="C138" s="17">
        <v>28028</v>
      </c>
      <c r="D138" s="7" t="s">
        <v>14</v>
      </c>
      <c r="E138" s="7" t="s">
        <v>88</v>
      </c>
      <c r="F138" s="7" t="s">
        <v>94</v>
      </c>
      <c r="G138" s="7" t="s">
        <v>35</v>
      </c>
      <c r="H138" s="7">
        <v>354951</v>
      </c>
      <c r="I138" s="7" t="s">
        <v>63</v>
      </c>
      <c r="J138" s="24">
        <v>16</v>
      </c>
      <c r="K138" s="24">
        <v>2</v>
      </c>
      <c r="L138" s="24">
        <v>4</v>
      </c>
      <c r="M138" s="8" t="s">
        <v>135</v>
      </c>
      <c r="N138" s="8" t="s">
        <v>136</v>
      </c>
      <c r="O138" s="8" t="s">
        <v>119</v>
      </c>
    </row>
    <row r="139" spans="2:15" x14ac:dyDescent="0.25">
      <c r="B139" s="7" t="s">
        <v>39</v>
      </c>
      <c r="C139" s="17">
        <v>21434</v>
      </c>
      <c r="D139" s="7" t="s">
        <v>13</v>
      </c>
      <c r="E139" s="7" t="s">
        <v>74</v>
      </c>
      <c r="F139" s="7" t="s">
        <v>79</v>
      </c>
      <c r="G139" s="8" t="s">
        <v>35</v>
      </c>
      <c r="H139" s="8">
        <v>389970</v>
      </c>
      <c r="I139" s="7" t="s">
        <v>69</v>
      </c>
      <c r="J139" s="27">
        <v>16</v>
      </c>
      <c r="K139" s="27">
        <v>2</v>
      </c>
      <c r="L139" s="27">
        <v>12</v>
      </c>
      <c r="M139" s="18" t="s">
        <v>136</v>
      </c>
      <c r="N139" s="18" t="s">
        <v>137</v>
      </c>
      <c r="O139" s="8" t="s">
        <v>119</v>
      </c>
    </row>
    <row r="140" spans="2:15" x14ac:dyDescent="0.25">
      <c r="B140" s="7" t="s">
        <v>39</v>
      </c>
      <c r="C140" s="17">
        <v>26104</v>
      </c>
      <c r="D140" s="7" t="s">
        <v>13</v>
      </c>
      <c r="E140" s="7" t="s">
        <v>138</v>
      </c>
      <c r="F140" s="7" t="s">
        <v>79</v>
      </c>
      <c r="G140" s="8" t="s">
        <v>35</v>
      </c>
      <c r="H140" s="8">
        <v>389970</v>
      </c>
      <c r="I140" s="7" t="s">
        <v>69</v>
      </c>
      <c r="J140" s="27">
        <v>16</v>
      </c>
      <c r="K140" s="27">
        <v>2</v>
      </c>
      <c r="L140" s="27">
        <v>20</v>
      </c>
      <c r="M140" s="18" t="s">
        <v>139</v>
      </c>
      <c r="N140" s="18" t="s">
        <v>140</v>
      </c>
      <c r="O140" s="8" t="s">
        <v>141</v>
      </c>
    </row>
    <row r="141" spans="2:15" x14ac:dyDescent="0.25">
      <c r="B141" s="7" t="s">
        <v>39</v>
      </c>
      <c r="C141" s="17">
        <v>24789</v>
      </c>
      <c r="D141" s="7" t="s">
        <v>8</v>
      </c>
      <c r="E141" s="7" t="s">
        <v>142</v>
      </c>
      <c r="F141" s="7" t="s">
        <v>62</v>
      </c>
      <c r="G141" s="8" t="s">
        <v>35</v>
      </c>
      <c r="H141" s="8">
        <v>354951</v>
      </c>
      <c r="I141" s="7" t="s">
        <v>63</v>
      </c>
      <c r="J141" s="27">
        <v>24</v>
      </c>
      <c r="K141" s="27">
        <v>3</v>
      </c>
      <c r="L141" s="27">
        <v>1</v>
      </c>
      <c r="M141" s="18" t="s">
        <v>139</v>
      </c>
      <c r="N141" s="18" t="s">
        <v>143</v>
      </c>
      <c r="O141" s="8" t="s">
        <v>141</v>
      </c>
    </row>
    <row r="142" spans="2:15" x14ac:dyDescent="0.25">
      <c r="B142" s="7" t="s">
        <v>39</v>
      </c>
      <c r="C142" s="17">
        <v>23496</v>
      </c>
      <c r="D142" s="7" t="s">
        <v>6</v>
      </c>
      <c r="E142" s="7" t="s">
        <v>33</v>
      </c>
      <c r="F142" s="7" t="s">
        <v>68</v>
      </c>
      <c r="G142" s="8" t="s">
        <v>35</v>
      </c>
      <c r="H142" s="8">
        <v>350060</v>
      </c>
      <c r="I142" s="7" t="s">
        <v>36</v>
      </c>
      <c r="J142" s="27">
        <v>24</v>
      </c>
      <c r="K142" s="27">
        <v>3</v>
      </c>
      <c r="L142" s="27">
        <v>6</v>
      </c>
      <c r="M142" s="18" t="s">
        <v>139</v>
      </c>
      <c r="N142" s="18" t="s">
        <v>143</v>
      </c>
      <c r="O142" s="8" t="s">
        <v>141</v>
      </c>
    </row>
    <row r="143" spans="2:15" x14ac:dyDescent="0.25">
      <c r="B143" s="7" t="s">
        <v>39</v>
      </c>
      <c r="C143" s="17">
        <v>27338</v>
      </c>
      <c r="D143" s="7" t="s">
        <v>14</v>
      </c>
      <c r="E143" s="7" t="s">
        <v>81</v>
      </c>
      <c r="F143" s="7" t="s">
        <v>40</v>
      </c>
      <c r="G143" s="7" t="s">
        <v>35</v>
      </c>
      <c r="H143" s="7">
        <v>415202</v>
      </c>
      <c r="I143" s="7" t="s">
        <v>144</v>
      </c>
      <c r="J143" s="24">
        <v>24</v>
      </c>
      <c r="K143" s="24">
        <v>3</v>
      </c>
      <c r="L143" s="24">
        <v>10</v>
      </c>
      <c r="M143" s="8" t="s">
        <v>140</v>
      </c>
      <c r="N143" s="8" t="s">
        <v>145</v>
      </c>
      <c r="O143" s="8" t="s">
        <v>141</v>
      </c>
    </row>
    <row r="144" spans="2:15" x14ac:dyDescent="0.25">
      <c r="B144" s="7" t="s">
        <v>39</v>
      </c>
      <c r="C144" s="17">
        <v>26401</v>
      </c>
      <c r="D144" s="7" t="s">
        <v>13</v>
      </c>
      <c r="E144" s="7" t="s">
        <v>138</v>
      </c>
      <c r="F144" s="7" t="s">
        <v>34</v>
      </c>
      <c r="G144" s="8" t="s">
        <v>72</v>
      </c>
      <c r="H144" s="8">
        <v>510745</v>
      </c>
      <c r="I144" s="7" t="s">
        <v>66</v>
      </c>
      <c r="J144" s="27">
        <v>8</v>
      </c>
      <c r="K144" s="27">
        <v>1</v>
      </c>
      <c r="L144" s="27">
        <v>10</v>
      </c>
      <c r="M144" s="18" t="s">
        <v>146</v>
      </c>
      <c r="N144" s="18" t="s">
        <v>146</v>
      </c>
      <c r="O144" s="8" t="s">
        <v>141</v>
      </c>
    </row>
    <row r="145" spans="2:15" x14ac:dyDescent="0.25">
      <c r="B145" s="7" t="s">
        <v>39</v>
      </c>
      <c r="C145" s="17">
        <v>26161</v>
      </c>
      <c r="D145" s="7" t="s">
        <v>14</v>
      </c>
      <c r="E145" s="7" t="s">
        <v>81</v>
      </c>
      <c r="F145" s="7" t="s">
        <v>65</v>
      </c>
      <c r="G145" s="7" t="s">
        <v>35</v>
      </c>
      <c r="H145" s="7">
        <v>350060</v>
      </c>
      <c r="I145" s="7" t="s">
        <v>36</v>
      </c>
      <c r="J145" s="24">
        <v>24</v>
      </c>
      <c r="K145" s="24">
        <v>3</v>
      </c>
      <c r="L145" s="24">
        <v>12</v>
      </c>
      <c r="M145" s="8" t="s">
        <v>146</v>
      </c>
      <c r="N145" s="8" t="s">
        <v>147</v>
      </c>
      <c r="O145" s="8" t="s">
        <v>141</v>
      </c>
    </row>
    <row r="146" spans="2:15" x14ac:dyDescent="0.25">
      <c r="B146" s="7" t="s">
        <v>39</v>
      </c>
      <c r="C146" s="17">
        <v>27346</v>
      </c>
      <c r="D146" s="7" t="s">
        <v>14</v>
      </c>
      <c r="E146" s="7" t="s">
        <v>81</v>
      </c>
      <c r="F146" s="7" t="s">
        <v>40</v>
      </c>
      <c r="G146" s="7" t="s">
        <v>35</v>
      </c>
      <c r="H146" s="7">
        <v>415202</v>
      </c>
      <c r="I146" s="7" t="s">
        <v>144</v>
      </c>
      <c r="J146" s="24">
        <v>24</v>
      </c>
      <c r="K146" s="24">
        <v>3</v>
      </c>
      <c r="L146" s="24">
        <v>12</v>
      </c>
      <c r="M146" s="8" t="s">
        <v>146</v>
      </c>
      <c r="N146" s="8" t="s">
        <v>147</v>
      </c>
      <c r="O146" s="8" t="s">
        <v>141</v>
      </c>
    </row>
    <row r="147" spans="2:15" x14ac:dyDescent="0.25">
      <c r="B147" s="7" t="s">
        <v>39</v>
      </c>
      <c r="C147" s="17">
        <v>26416</v>
      </c>
      <c r="D147" s="7" t="s">
        <v>13</v>
      </c>
      <c r="E147" s="7" t="s">
        <v>138</v>
      </c>
      <c r="F147" s="7" t="s">
        <v>148</v>
      </c>
      <c r="G147" s="8" t="s">
        <v>35</v>
      </c>
      <c r="H147" s="8">
        <v>389970</v>
      </c>
      <c r="I147" s="7" t="s">
        <v>69</v>
      </c>
      <c r="J147" s="27">
        <v>8</v>
      </c>
      <c r="K147" s="27">
        <v>1</v>
      </c>
      <c r="L147" s="27">
        <v>20</v>
      </c>
      <c r="M147" s="18" t="s">
        <v>149</v>
      </c>
      <c r="N147" s="18" t="s">
        <v>149</v>
      </c>
      <c r="O147" s="8" t="s">
        <v>141</v>
      </c>
    </row>
    <row r="148" spans="2:15" x14ac:dyDescent="0.25">
      <c r="B148" s="7" t="s">
        <v>39</v>
      </c>
      <c r="C148" s="17">
        <v>21993</v>
      </c>
      <c r="D148" s="7" t="s">
        <v>8</v>
      </c>
      <c r="E148" s="7" t="s">
        <v>142</v>
      </c>
      <c r="F148" s="7" t="s">
        <v>89</v>
      </c>
      <c r="G148" s="8" t="s">
        <v>35</v>
      </c>
      <c r="H148" s="8">
        <v>197995</v>
      </c>
      <c r="I148" s="7" t="s">
        <v>150</v>
      </c>
      <c r="J148" s="27">
        <v>16</v>
      </c>
      <c r="K148" s="27">
        <v>2</v>
      </c>
      <c r="L148" s="27">
        <v>2</v>
      </c>
      <c r="M148" s="18" t="s">
        <v>149</v>
      </c>
      <c r="N148" s="18" t="s">
        <v>151</v>
      </c>
      <c r="O148" s="8" t="s">
        <v>141</v>
      </c>
    </row>
    <row r="149" spans="2:15" x14ac:dyDescent="0.25">
      <c r="B149" s="7" t="s">
        <v>39</v>
      </c>
      <c r="C149" s="17">
        <v>21435</v>
      </c>
      <c r="D149" s="7" t="s">
        <v>13</v>
      </c>
      <c r="E149" s="7" t="s">
        <v>74</v>
      </c>
      <c r="F149" s="7" t="s">
        <v>79</v>
      </c>
      <c r="G149" s="8" t="s">
        <v>72</v>
      </c>
      <c r="H149" s="8">
        <v>389970</v>
      </c>
      <c r="I149" s="7" t="s">
        <v>69</v>
      </c>
      <c r="J149" s="27">
        <v>16</v>
      </c>
      <c r="K149" s="27">
        <v>2</v>
      </c>
      <c r="L149" s="27">
        <v>12</v>
      </c>
      <c r="M149" s="18" t="s">
        <v>152</v>
      </c>
      <c r="N149" s="18" t="s">
        <v>153</v>
      </c>
      <c r="O149" s="8" t="s">
        <v>141</v>
      </c>
    </row>
    <row r="150" spans="2:15" x14ac:dyDescent="0.25">
      <c r="B150" s="7" t="s">
        <v>39</v>
      </c>
      <c r="C150" s="17">
        <v>26094</v>
      </c>
      <c r="D150" s="7" t="s">
        <v>13</v>
      </c>
      <c r="E150" s="7" t="s">
        <v>138</v>
      </c>
      <c r="F150" s="7" t="s">
        <v>79</v>
      </c>
      <c r="G150" s="8" t="s">
        <v>35</v>
      </c>
      <c r="H150" s="8">
        <v>389970</v>
      </c>
      <c r="I150" s="7" t="s">
        <v>69</v>
      </c>
      <c r="J150" s="27">
        <v>16</v>
      </c>
      <c r="K150" s="27">
        <v>2</v>
      </c>
      <c r="L150" s="27">
        <v>20</v>
      </c>
      <c r="M150" s="18" t="s">
        <v>154</v>
      </c>
      <c r="N150" s="18" t="s">
        <v>155</v>
      </c>
      <c r="O150" s="8" t="s">
        <v>141</v>
      </c>
    </row>
    <row r="151" spans="2:15" x14ac:dyDescent="0.25">
      <c r="B151" s="7" t="s">
        <v>39</v>
      </c>
      <c r="C151" s="17">
        <v>21448</v>
      </c>
      <c r="D151" s="7" t="s">
        <v>13</v>
      </c>
      <c r="E151" s="7" t="s">
        <v>74</v>
      </c>
      <c r="F151" s="7" t="s">
        <v>89</v>
      </c>
      <c r="G151" s="8" t="s">
        <v>35</v>
      </c>
      <c r="H151" s="8">
        <v>354951</v>
      </c>
      <c r="I151" s="7" t="s">
        <v>63</v>
      </c>
      <c r="J151" s="27">
        <v>16</v>
      </c>
      <c r="K151" s="27">
        <v>2</v>
      </c>
      <c r="L151" s="27">
        <v>11</v>
      </c>
      <c r="M151" s="18" t="s">
        <v>156</v>
      </c>
      <c r="N151" s="18" t="s">
        <v>157</v>
      </c>
      <c r="O151" s="8" t="s">
        <v>141</v>
      </c>
    </row>
    <row r="152" spans="2:15" x14ac:dyDescent="0.25">
      <c r="B152" s="7" t="s">
        <v>39</v>
      </c>
      <c r="C152" s="17">
        <v>28128</v>
      </c>
      <c r="D152" s="7" t="s">
        <v>13</v>
      </c>
      <c r="E152" s="7" t="s">
        <v>138</v>
      </c>
      <c r="F152" s="7" t="s">
        <v>40</v>
      </c>
      <c r="G152" s="8" t="s">
        <v>35</v>
      </c>
      <c r="H152" s="8">
        <v>374253</v>
      </c>
      <c r="I152" s="7" t="s">
        <v>41</v>
      </c>
      <c r="J152" s="27">
        <v>24</v>
      </c>
      <c r="K152" s="27">
        <v>3</v>
      </c>
      <c r="L152" s="27">
        <v>18</v>
      </c>
      <c r="M152" s="18" t="s">
        <v>156</v>
      </c>
      <c r="N152" s="18" t="s">
        <v>158</v>
      </c>
      <c r="O152" s="8" t="s">
        <v>141</v>
      </c>
    </row>
    <row r="153" spans="2:15" x14ac:dyDescent="0.25">
      <c r="B153" s="7" t="s">
        <v>39</v>
      </c>
      <c r="C153" s="17">
        <v>26049</v>
      </c>
      <c r="D153" s="7" t="s">
        <v>14</v>
      </c>
      <c r="E153" s="7" t="s">
        <v>81</v>
      </c>
      <c r="F153" s="7" t="s">
        <v>159</v>
      </c>
      <c r="G153" s="7" t="s">
        <v>35</v>
      </c>
      <c r="H153" s="7">
        <v>411339</v>
      </c>
      <c r="I153" s="7" t="s">
        <v>112</v>
      </c>
      <c r="J153" s="24">
        <v>16</v>
      </c>
      <c r="K153" s="24">
        <v>2</v>
      </c>
      <c r="L153" s="24">
        <v>11</v>
      </c>
      <c r="M153" s="8" t="s">
        <v>157</v>
      </c>
      <c r="N153" s="8" t="s">
        <v>158</v>
      </c>
      <c r="O153" s="8" t="s">
        <v>141</v>
      </c>
    </row>
    <row r="154" spans="2:15" x14ac:dyDescent="0.25">
      <c r="B154" s="7" t="s">
        <v>39</v>
      </c>
      <c r="C154" s="17">
        <v>27347</v>
      </c>
      <c r="D154" s="7" t="s">
        <v>14</v>
      </c>
      <c r="E154" s="7" t="s">
        <v>81</v>
      </c>
      <c r="F154" s="7" t="s">
        <v>40</v>
      </c>
      <c r="G154" s="7" t="s">
        <v>35</v>
      </c>
      <c r="H154" s="7">
        <v>489671</v>
      </c>
      <c r="I154" s="7" t="s">
        <v>98</v>
      </c>
      <c r="J154" s="24">
        <v>24</v>
      </c>
      <c r="K154" s="24">
        <v>3</v>
      </c>
      <c r="L154" s="24">
        <v>12</v>
      </c>
      <c r="M154" s="8" t="s">
        <v>158</v>
      </c>
      <c r="N154" s="8" t="s">
        <v>160</v>
      </c>
      <c r="O154" s="8" t="s">
        <v>141</v>
      </c>
    </row>
    <row r="155" spans="2:15" x14ac:dyDescent="0.25">
      <c r="B155" s="7" t="s">
        <v>39</v>
      </c>
      <c r="C155" s="17">
        <v>26414</v>
      </c>
      <c r="D155" s="7" t="s">
        <v>13</v>
      </c>
      <c r="E155" s="7" t="s">
        <v>138</v>
      </c>
      <c r="F155" s="7" t="s">
        <v>148</v>
      </c>
      <c r="G155" s="8" t="s">
        <v>35</v>
      </c>
      <c r="H155" s="8">
        <v>389970</v>
      </c>
      <c r="I155" s="7" t="s">
        <v>69</v>
      </c>
      <c r="J155" s="27">
        <v>8</v>
      </c>
      <c r="K155" s="27">
        <v>1</v>
      </c>
      <c r="L155" s="27">
        <v>20</v>
      </c>
      <c r="M155" s="18" t="s">
        <v>161</v>
      </c>
      <c r="N155" s="18" t="s">
        <v>161</v>
      </c>
      <c r="O155" s="8" t="s">
        <v>141</v>
      </c>
    </row>
    <row r="156" spans="2:15" x14ac:dyDescent="0.25">
      <c r="B156" s="7" t="s">
        <v>39</v>
      </c>
      <c r="C156" s="17">
        <v>27990</v>
      </c>
      <c r="D156" s="7" t="s">
        <v>8</v>
      </c>
      <c r="E156" s="7" t="s">
        <v>162</v>
      </c>
      <c r="F156" s="7" t="s">
        <v>89</v>
      </c>
      <c r="G156" s="8" t="s">
        <v>35</v>
      </c>
      <c r="H156" s="8">
        <v>441106</v>
      </c>
      <c r="I156" s="7" t="s">
        <v>163</v>
      </c>
      <c r="J156" s="27">
        <v>16</v>
      </c>
      <c r="K156" s="27">
        <v>4</v>
      </c>
      <c r="L156" s="27">
        <v>16</v>
      </c>
      <c r="M156" s="18" t="s">
        <v>161</v>
      </c>
      <c r="N156" s="18" t="s">
        <v>164</v>
      </c>
      <c r="O156" s="8" t="s">
        <v>141</v>
      </c>
    </row>
    <row r="157" spans="2:15" x14ac:dyDescent="0.25">
      <c r="B157" s="7" t="s">
        <v>39</v>
      </c>
      <c r="C157" s="17">
        <v>26096</v>
      </c>
      <c r="D157" s="7" t="s">
        <v>13</v>
      </c>
      <c r="E157" s="7" t="s">
        <v>138</v>
      </c>
      <c r="F157" s="7" t="s">
        <v>79</v>
      </c>
      <c r="G157" s="8" t="s">
        <v>35</v>
      </c>
      <c r="H157" s="8">
        <v>389970</v>
      </c>
      <c r="I157" s="7" t="s">
        <v>69</v>
      </c>
      <c r="J157" s="27">
        <v>16</v>
      </c>
      <c r="K157" s="27">
        <v>2</v>
      </c>
      <c r="L157" s="27">
        <v>20</v>
      </c>
      <c r="M157" s="18" t="s">
        <v>164</v>
      </c>
      <c r="N157" s="18" t="s">
        <v>165</v>
      </c>
      <c r="O157" s="8" t="s">
        <v>141</v>
      </c>
    </row>
    <row r="158" spans="2:15" x14ac:dyDescent="0.25">
      <c r="B158" s="7" t="s">
        <v>39</v>
      </c>
      <c r="C158" s="17">
        <v>26050</v>
      </c>
      <c r="D158" s="7" t="s">
        <v>14</v>
      </c>
      <c r="E158" s="7" t="s">
        <v>81</v>
      </c>
      <c r="F158" s="7" t="s">
        <v>159</v>
      </c>
      <c r="G158" s="7" t="s">
        <v>35</v>
      </c>
      <c r="H158" s="7">
        <v>411339</v>
      </c>
      <c r="I158" s="7" t="s">
        <v>112</v>
      </c>
      <c r="J158" s="24">
        <v>16</v>
      </c>
      <c r="K158" s="24">
        <v>2</v>
      </c>
      <c r="L158" s="24">
        <v>12</v>
      </c>
      <c r="M158" s="8" t="s">
        <v>164</v>
      </c>
      <c r="N158" s="8" t="s">
        <v>165</v>
      </c>
      <c r="O158" s="8" t="s">
        <v>141</v>
      </c>
    </row>
    <row r="159" spans="2:15" x14ac:dyDescent="0.25">
      <c r="B159" s="7" t="s">
        <v>39</v>
      </c>
      <c r="C159" s="17">
        <v>24915</v>
      </c>
      <c r="D159" s="7" t="s">
        <v>7</v>
      </c>
      <c r="E159" s="7" t="s">
        <v>78</v>
      </c>
      <c r="F159" s="7" t="s">
        <v>79</v>
      </c>
      <c r="G159" s="8" t="s">
        <v>35</v>
      </c>
      <c r="H159" s="8">
        <v>354951</v>
      </c>
      <c r="I159" s="7" t="s">
        <v>63</v>
      </c>
      <c r="J159" s="27">
        <v>16</v>
      </c>
      <c r="K159" s="27">
        <v>2</v>
      </c>
      <c r="L159" s="27">
        <v>7</v>
      </c>
      <c r="M159" s="18" t="s">
        <v>165</v>
      </c>
      <c r="N159" s="18" t="s">
        <v>166</v>
      </c>
      <c r="O159" s="8" t="s">
        <v>141</v>
      </c>
    </row>
    <row r="160" spans="2:15" x14ac:dyDescent="0.25">
      <c r="B160" s="7" t="s">
        <v>39</v>
      </c>
      <c r="C160" s="17">
        <v>24069</v>
      </c>
      <c r="D160" s="7" t="s">
        <v>6</v>
      </c>
      <c r="E160" s="7" t="s">
        <v>33</v>
      </c>
      <c r="F160" s="7" t="s">
        <v>65</v>
      </c>
      <c r="G160" s="8" t="s">
        <v>35</v>
      </c>
      <c r="H160" s="8">
        <v>350060</v>
      </c>
      <c r="I160" s="7" t="s">
        <v>36</v>
      </c>
      <c r="J160" s="27">
        <v>24</v>
      </c>
      <c r="K160" s="27">
        <v>3</v>
      </c>
      <c r="L160" s="27">
        <v>10</v>
      </c>
      <c r="M160" s="18" t="s">
        <v>164</v>
      </c>
      <c r="N160" s="18" t="s">
        <v>166</v>
      </c>
      <c r="O160" s="8" t="s">
        <v>141</v>
      </c>
    </row>
    <row r="161" spans="2:15" x14ac:dyDescent="0.25">
      <c r="B161" s="7" t="s">
        <v>39</v>
      </c>
      <c r="C161" s="17">
        <v>26389</v>
      </c>
      <c r="D161" s="7" t="s">
        <v>13</v>
      </c>
      <c r="E161" s="7" t="s">
        <v>138</v>
      </c>
      <c r="F161" s="7" t="s">
        <v>34</v>
      </c>
      <c r="G161" s="8" t="s">
        <v>72</v>
      </c>
      <c r="H161" s="8">
        <v>510745</v>
      </c>
      <c r="I161" s="7" t="s">
        <v>66</v>
      </c>
      <c r="J161" s="27">
        <v>8</v>
      </c>
      <c r="K161" s="27">
        <v>1</v>
      </c>
      <c r="L161" s="27">
        <v>20</v>
      </c>
      <c r="M161" s="18" t="s">
        <v>167</v>
      </c>
      <c r="N161" s="18" t="s">
        <v>167</v>
      </c>
      <c r="O161" s="8" t="s">
        <v>141</v>
      </c>
    </row>
    <row r="162" spans="2:15" x14ac:dyDescent="0.25">
      <c r="B162" s="7" t="s">
        <v>39</v>
      </c>
      <c r="C162" s="17">
        <v>26388</v>
      </c>
      <c r="D162" s="7" t="s">
        <v>13</v>
      </c>
      <c r="E162" s="7" t="s">
        <v>138</v>
      </c>
      <c r="F162" s="7" t="s">
        <v>34</v>
      </c>
      <c r="G162" s="8" t="s">
        <v>35</v>
      </c>
      <c r="H162" s="8">
        <v>374253</v>
      </c>
      <c r="I162" s="7" t="s">
        <v>41</v>
      </c>
      <c r="J162" s="27">
        <v>8</v>
      </c>
      <c r="K162" s="27">
        <v>1</v>
      </c>
      <c r="L162" s="27">
        <v>20</v>
      </c>
      <c r="M162" s="18" t="s">
        <v>168</v>
      </c>
      <c r="N162" s="18" t="s">
        <v>168</v>
      </c>
      <c r="O162" s="8" t="s">
        <v>141</v>
      </c>
    </row>
    <row r="163" spans="2:15" x14ac:dyDescent="0.25">
      <c r="B163" s="7" t="s">
        <v>39</v>
      </c>
      <c r="C163" s="17">
        <v>21436</v>
      </c>
      <c r="D163" s="7" t="s">
        <v>13</v>
      </c>
      <c r="E163" s="7" t="s">
        <v>74</v>
      </c>
      <c r="F163" s="7" t="s">
        <v>79</v>
      </c>
      <c r="G163" s="8" t="s">
        <v>35</v>
      </c>
      <c r="H163" s="8">
        <v>389970</v>
      </c>
      <c r="I163" s="7" t="s">
        <v>69</v>
      </c>
      <c r="J163" s="27">
        <v>16</v>
      </c>
      <c r="K163" s="27">
        <v>2</v>
      </c>
      <c r="L163" s="27">
        <v>12</v>
      </c>
      <c r="M163" s="18" t="s">
        <v>169</v>
      </c>
      <c r="N163" s="18" t="s">
        <v>170</v>
      </c>
      <c r="O163" s="8" t="s">
        <v>141</v>
      </c>
    </row>
    <row r="164" spans="2:15" x14ac:dyDescent="0.25">
      <c r="B164" s="7" t="s">
        <v>39</v>
      </c>
      <c r="C164" s="17">
        <v>24984</v>
      </c>
      <c r="D164" s="7" t="s">
        <v>8</v>
      </c>
      <c r="E164" s="7" t="s">
        <v>142</v>
      </c>
      <c r="F164" s="7" t="s">
        <v>171</v>
      </c>
      <c r="G164" s="8" t="s">
        <v>35</v>
      </c>
      <c r="H164" s="8">
        <v>458886</v>
      </c>
      <c r="I164" s="7" t="s">
        <v>75</v>
      </c>
      <c r="J164" s="27">
        <v>8</v>
      </c>
      <c r="K164" s="27">
        <v>1</v>
      </c>
      <c r="L164" s="27">
        <v>4</v>
      </c>
      <c r="M164" s="18" t="s">
        <v>172</v>
      </c>
      <c r="N164" s="18" t="s">
        <v>172</v>
      </c>
      <c r="O164" s="8" t="s">
        <v>173</v>
      </c>
    </row>
    <row r="165" spans="2:15" x14ac:dyDescent="0.25">
      <c r="B165" s="7" t="s">
        <v>39</v>
      </c>
      <c r="C165" s="17">
        <v>27989</v>
      </c>
      <c r="D165" s="7" t="s">
        <v>8</v>
      </c>
      <c r="E165" s="7" t="s">
        <v>162</v>
      </c>
      <c r="F165" s="7" t="s">
        <v>89</v>
      </c>
      <c r="G165" s="8" t="s">
        <v>35</v>
      </c>
      <c r="H165" s="8">
        <v>441106</v>
      </c>
      <c r="I165" s="7" t="s">
        <v>163</v>
      </c>
      <c r="J165" s="27">
        <v>16</v>
      </c>
      <c r="K165" s="27">
        <v>4</v>
      </c>
      <c r="L165" s="27">
        <v>17</v>
      </c>
      <c r="M165" s="18" t="s">
        <v>168</v>
      </c>
      <c r="N165" s="18" t="s">
        <v>172</v>
      </c>
      <c r="O165" s="8" t="s">
        <v>141</v>
      </c>
    </row>
    <row r="166" spans="2:15" x14ac:dyDescent="0.25">
      <c r="B166" s="7" t="s">
        <v>39</v>
      </c>
      <c r="C166" s="17">
        <v>27339</v>
      </c>
      <c r="D166" s="7" t="s">
        <v>14</v>
      </c>
      <c r="E166" s="7" t="s">
        <v>81</v>
      </c>
      <c r="F166" s="7" t="s">
        <v>40</v>
      </c>
      <c r="G166" s="7" t="s">
        <v>35</v>
      </c>
      <c r="H166" s="7">
        <v>415202</v>
      </c>
      <c r="I166" s="7" t="s">
        <v>144</v>
      </c>
      <c r="J166" s="24">
        <v>24</v>
      </c>
      <c r="K166" s="24">
        <v>3</v>
      </c>
      <c r="L166" s="24">
        <v>10</v>
      </c>
      <c r="M166" s="8" t="s">
        <v>169</v>
      </c>
      <c r="N166" s="8" t="s">
        <v>172</v>
      </c>
      <c r="O166" s="8" t="s">
        <v>141</v>
      </c>
    </row>
    <row r="167" spans="2:15" x14ac:dyDescent="0.25">
      <c r="B167" s="7" t="s">
        <v>39</v>
      </c>
      <c r="C167" s="17">
        <v>24717</v>
      </c>
      <c r="D167" s="7" t="s">
        <v>8</v>
      </c>
      <c r="E167" s="7" t="s">
        <v>142</v>
      </c>
      <c r="F167" s="7" t="s">
        <v>68</v>
      </c>
      <c r="G167" s="8" t="s">
        <v>35</v>
      </c>
      <c r="H167" s="8">
        <v>419491</v>
      </c>
      <c r="I167" s="7" t="s">
        <v>82</v>
      </c>
      <c r="J167" s="27">
        <v>24</v>
      </c>
      <c r="K167" s="27">
        <v>3</v>
      </c>
      <c r="L167" s="27">
        <v>2</v>
      </c>
      <c r="M167" s="18" t="s">
        <v>170</v>
      </c>
      <c r="N167" s="18" t="s">
        <v>174</v>
      </c>
      <c r="O167" s="8" t="s">
        <v>173</v>
      </c>
    </row>
    <row r="168" spans="2:15" x14ac:dyDescent="0.25">
      <c r="B168" s="7" t="s">
        <v>39</v>
      </c>
      <c r="C168" s="17">
        <v>27348</v>
      </c>
      <c r="D168" s="7" t="s">
        <v>14</v>
      </c>
      <c r="E168" s="7" t="s">
        <v>81</v>
      </c>
      <c r="F168" s="7" t="s">
        <v>40</v>
      </c>
      <c r="G168" s="7" t="s">
        <v>35</v>
      </c>
      <c r="H168" s="7">
        <v>316048</v>
      </c>
      <c r="I168" s="7" t="s">
        <v>122</v>
      </c>
      <c r="J168" s="24">
        <v>24</v>
      </c>
      <c r="K168" s="24">
        <v>3</v>
      </c>
      <c r="L168" s="24">
        <v>12</v>
      </c>
      <c r="M168" s="8" t="s">
        <v>172</v>
      </c>
      <c r="N168" s="8" t="s">
        <v>175</v>
      </c>
      <c r="O168" s="8" t="s">
        <v>173</v>
      </c>
    </row>
    <row r="169" spans="2:15" x14ac:dyDescent="0.25">
      <c r="B169" s="7" t="s">
        <v>39</v>
      </c>
      <c r="C169" s="17">
        <v>27349</v>
      </c>
      <c r="D169" s="7" t="s">
        <v>14</v>
      </c>
      <c r="E169" s="7" t="s">
        <v>81</v>
      </c>
      <c r="F169" s="7" t="s">
        <v>40</v>
      </c>
      <c r="G169" s="7" t="s">
        <v>35</v>
      </c>
      <c r="H169" s="7">
        <v>415202</v>
      </c>
      <c r="I169" s="7" t="s">
        <v>144</v>
      </c>
      <c r="J169" s="24">
        <v>24</v>
      </c>
      <c r="K169" s="24">
        <v>3</v>
      </c>
      <c r="L169" s="24">
        <v>12</v>
      </c>
      <c r="M169" s="8" t="s">
        <v>174</v>
      </c>
      <c r="N169" s="8" t="s">
        <v>176</v>
      </c>
      <c r="O169" s="8" t="s">
        <v>173</v>
      </c>
    </row>
    <row r="170" spans="2:15" x14ac:dyDescent="0.25">
      <c r="B170" s="7" t="s">
        <v>39</v>
      </c>
      <c r="C170" s="17">
        <v>26415</v>
      </c>
      <c r="D170" s="7" t="s">
        <v>13</v>
      </c>
      <c r="E170" s="7" t="s">
        <v>138</v>
      </c>
      <c r="F170" s="7" t="s">
        <v>148</v>
      </c>
      <c r="G170" s="8" t="s">
        <v>35</v>
      </c>
      <c r="H170" s="8">
        <v>389970</v>
      </c>
      <c r="I170" s="7" t="s">
        <v>69</v>
      </c>
      <c r="J170" s="27">
        <v>8</v>
      </c>
      <c r="K170" s="27">
        <v>1</v>
      </c>
      <c r="L170" s="27">
        <v>20</v>
      </c>
      <c r="M170" s="18" t="s">
        <v>177</v>
      </c>
      <c r="N170" s="18" t="s">
        <v>177</v>
      </c>
      <c r="O170" s="8" t="s">
        <v>173</v>
      </c>
    </row>
    <row r="171" spans="2:15" x14ac:dyDescent="0.25">
      <c r="B171" s="7" t="s">
        <v>39</v>
      </c>
      <c r="C171" s="17">
        <v>26162</v>
      </c>
      <c r="D171" s="7" t="s">
        <v>14</v>
      </c>
      <c r="E171" s="7" t="s">
        <v>81</v>
      </c>
      <c r="F171" s="7" t="s">
        <v>65</v>
      </c>
      <c r="G171" s="7" t="s">
        <v>35</v>
      </c>
      <c r="H171" s="7">
        <v>350060</v>
      </c>
      <c r="I171" s="7" t="s">
        <v>36</v>
      </c>
      <c r="J171" s="24">
        <v>24</v>
      </c>
      <c r="K171" s="24">
        <v>3</v>
      </c>
      <c r="L171" s="24">
        <v>12</v>
      </c>
      <c r="M171" s="8" t="s">
        <v>175</v>
      </c>
      <c r="N171" s="8" t="s">
        <v>177</v>
      </c>
      <c r="O171" s="8" t="s">
        <v>173</v>
      </c>
    </row>
    <row r="172" spans="2:15" x14ac:dyDescent="0.25">
      <c r="B172" s="7" t="s">
        <v>39</v>
      </c>
      <c r="C172" s="17">
        <v>21983</v>
      </c>
      <c r="D172" s="7" t="s">
        <v>8</v>
      </c>
      <c r="E172" s="7" t="s">
        <v>142</v>
      </c>
      <c r="F172" s="7" t="s">
        <v>40</v>
      </c>
      <c r="G172" s="8" t="s">
        <v>35</v>
      </c>
      <c r="H172" s="8">
        <v>626472</v>
      </c>
      <c r="I172" s="7" t="s">
        <v>178</v>
      </c>
      <c r="J172" s="27">
        <v>24</v>
      </c>
      <c r="K172" s="27">
        <v>3</v>
      </c>
      <c r="L172" s="27">
        <v>2</v>
      </c>
      <c r="M172" s="18" t="s">
        <v>177</v>
      </c>
      <c r="N172" s="18" t="s">
        <v>179</v>
      </c>
      <c r="O172" s="8" t="s">
        <v>173</v>
      </c>
    </row>
    <row r="173" spans="2:15" x14ac:dyDescent="0.25">
      <c r="B173" s="7" t="s">
        <v>39</v>
      </c>
      <c r="C173" s="17">
        <v>26408</v>
      </c>
      <c r="D173" s="7" t="s">
        <v>13</v>
      </c>
      <c r="E173" s="7" t="s">
        <v>138</v>
      </c>
      <c r="F173" s="7" t="s">
        <v>34</v>
      </c>
      <c r="G173" s="8" t="s">
        <v>72</v>
      </c>
      <c r="H173" s="8">
        <v>510745</v>
      </c>
      <c r="I173" s="7" t="s">
        <v>66</v>
      </c>
      <c r="J173" s="27">
        <v>8</v>
      </c>
      <c r="K173" s="27">
        <v>1</v>
      </c>
      <c r="L173" s="27">
        <v>11</v>
      </c>
      <c r="M173" s="18" t="s">
        <v>179</v>
      </c>
      <c r="N173" s="18" t="s">
        <v>180</v>
      </c>
      <c r="O173" s="8" t="s">
        <v>173</v>
      </c>
    </row>
    <row r="174" spans="2:15" x14ac:dyDescent="0.25">
      <c r="B174" s="7" t="s">
        <v>39</v>
      </c>
      <c r="C174" s="17">
        <v>27350</v>
      </c>
      <c r="D174" s="7" t="s">
        <v>14</v>
      </c>
      <c r="E174" s="7" t="s">
        <v>81</v>
      </c>
      <c r="F174" s="7" t="s">
        <v>40</v>
      </c>
      <c r="G174" s="7" t="s">
        <v>35</v>
      </c>
      <c r="H174" s="7">
        <v>419491</v>
      </c>
      <c r="I174" s="7" t="s">
        <v>82</v>
      </c>
      <c r="J174" s="24">
        <v>24</v>
      </c>
      <c r="K174" s="24">
        <v>3</v>
      </c>
      <c r="L174" s="24">
        <v>9</v>
      </c>
      <c r="M174" s="8" t="s">
        <v>181</v>
      </c>
      <c r="N174" s="8" t="s">
        <v>180</v>
      </c>
      <c r="O174" s="8" t="s">
        <v>173</v>
      </c>
    </row>
    <row r="175" spans="2:15" x14ac:dyDescent="0.25">
      <c r="B175" s="7" t="s">
        <v>39</v>
      </c>
      <c r="C175" s="17">
        <v>26413</v>
      </c>
      <c r="D175" s="7" t="s">
        <v>13</v>
      </c>
      <c r="E175" s="7" t="s">
        <v>138</v>
      </c>
      <c r="F175" s="7" t="s">
        <v>148</v>
      </c>
      <c r="G175" s="8" t="s">
        <v>35</v>
      </c>
      <c r="H175" s="8">
        <v>389970</v>
      </c>
      <c r="I175" s="7" t="s">
        <v>69</v>
      </c>
      <c r="J175" s="27">
        <v>8</v>
      </c>
      <c r="K175" s="27">
        <v>1</v>
      </c>
      <c r="L175" s="27">
        <v>20</v>
      </c>
      <c r="M175" s="18" t="s">
        <v>182</v>
      </c>
      <c r="N175" s="18" t="s">
        <v>182</v>
      </c>
      <c r="O175" s="8" t="s">
        <v>173</v>
      </c>
    </row>
    <row r="176" spans="2:15" x14ac:dyDescent="0.25">
      <c r="B176" s="7" t="s">
        <v>39</v>
      </c>
      <c r="C176" s="17">
        <v>24917</v>
      </c>
      <c r="D176" s="7" t="s">
        <v>7</v>
      </c>
      <c r="E176" s="7" t="s">
        <v>78</v>
      </c>
      <c r="F176" s="7" t="s">
        <v>79</v>
      </c>
      <c r="G176" s="8" t="s">
        <v>35</v>
      </c>
      <c r="H176" s="8">
        <v>354951</v>
      </c>
      <c r="I176" s="7" t="s">
        <v>63</v>
      </c>
      <c r="J176" s="27">
        <v>16</v>
      </c>
      <c r="K176" s="27">
        <v>2</v>
      </c>
      <c r="L176" s="27">
        <v>1</v>
      </c>
      <c r="M176" s="18" t="s">
        <v>180</v>
      </c>
      <c r="N176" s="18" t="s">
        <v>182</v>
      </c>
      <c r="O176" s="8" t="s">
        <v>173</v>
      </c>
    </row>
    <row r="177" spans="2:15" x14ac:dyDescent="0.25">
      <c r="B177" s="7" t="s">
        <v>39</v>
      </c>
      <c r="C177" s="17">
        <v>26396</v>
      </c>
      <c r="D177" s="7" t="s">
        <v>13</v>
      </c>
      <c r="E177" s="7" t="s">
        <v>138</v>
      </c>
      <c r="F177" s="7" t="s">
        <v>34</v>
      </c>
      <c r="G177" s="8" t="s">
        <v>72</v>
      </c>
      <c r="H177" s="8">
        <v>510745</v>
      </c>
      <c r="I177" s="7" t="s">
        <v>66</v>
      </c>
      <c r="J177" s="27">
        <v>8</v>
      </c>
      <c r="K177" s="27">
        <v>1</v>
      </c>
      <c r="L177" s="27">
        <v>10</v>
      </c>
      <c r="M177" s="18" t="s">
        <v>182</v>
      </c>
      <c r="N177" s="18" t="s">
        <v>183</v>
      </c>
      <c r="O177" s="8" t="s">
        <v>173</v>
      </c>
    </row>
    <row r="178" spans="2:15" x14ac:dyDescent="0.25">
      <c r="B178" s="7" t="s">
        <v>39</v>
      </c>
      <c r="C178" s="17">
        <v>26390</v>
      </c>
      <c r="D178" s="7" t="s">
        <v>13</v>
      </c>
      <c r="E178" s="7" t="s">
        <v>138</v>
      </c>
      <c r="F178" s="7" t="s">
        <v>34</v>
      </c>
      <c r="G178" s="8" t="s">
        <v>35</v>
      </c>
      <c r="H178" s="8">
        <v>374253</v>
      </c>
      <c r="I178" s="7" t="s">
        <v>41</v>
      </c>
      <c r="J178" s="27">
        <v>8</v>
      </c>
      <c r="K178" s="27">
        <v>1</v>
      </c>
      <c r="L178" s="27">
        <v>20</v>
      </c>
      <c r="M178" s="18" t="s">
        <v>184</v>
      </c>
      <c r="N178" s="18" t="s">
        <v>184</v>
      </c>
      <c r="O178" s="8" t="s">
        <v>173</v>
      </c>
    </row>
    <row r="179" spans="2:15" x14ac:dyDescent="0.25">
      <c r="B179" s="7" t="s">
        <v>39</v>
      </c>
      <c r="C179" s="17">
        <v>27351</v>
      </c>
      <c r="D179" s="7" t="s">
        <v>14</v>
      </c>
      <c r="E179" s="7" t="s">
        <v>81</v>
      </c>
      <c r="F179" s="7" t="s">
        <v>40</v>
      </c>
      <c r="G179" s="7" t="s">
        <v>35</v>
      </c>
      <c r="H179" s="7">
        <v>419491</v>
      </c>
      <c r="I179" s="7" t="s">
        <v>82</v>
      </c>
      <c r="J179" s="24">
        <v>24</v>
      </c>
      <c r="K179" s="24">
        <v>3</v>
      </c>
      <c r="L179" s="24">
        <v>11</v>
      </c>
      <c r="M179" s="8" t="s">
        <v>183</v>
      </c>
      <c r="N179" s="8" t="s">
        <v>184</v>
      </c>
      <c r="O179" s="8" t="s">
        <v>173</v>
      </c>
    </row>
    <row r="180" spans="2:15" x14ac:dyDescent="0.25">
      <c r="B180" s="7" t="s">
        <v>39</v>
      </c>
      <c r="C180" s="17">
        <v>26376</v>
      </c>
      <c r="D180" s="7" t="s">
        <v>13</v>
      </c>
      <c r="E180" s="7" t="s">
        <v>138</v>
      </c>
      <c r="F180" s="7" t="s">
        <v>34</v>
      </c>
      <c r="G180" s="8" t="s">
        <v>35</v>
      </c>
      <c r="H180" s="8">
        <v>374253</v>
      </c>
      <c r="I180" s="7" t="s">
        <v>41</v>
      </c>
      <c r="J180" s="27">
        <v>8</v>
      </c>
      <c r="K180" s="27">
        <v>1</v>
      </c>
      <c r="L180" s="27">
        <v>20</v>
      </c>
      <c r="M180" s="18" t="s">
        <v>185</v>
      </c>
      <c r="N180" s="18" t="s">
        <v>185</v>
      </c>
      <c r="O180" s="8" t="s">
        <v>173</v>
      </c>
    </row>
    <row r="181" spans="2:15" x14ac:dyDescent="0.25">
      <c r="B181" s="7" t="s">
        <v>39</v>
      </c>
      <c r="C181" s="17">
        <v>22121</v>
      </c>
      <c r="D181" s="7" t="s">
        <v>13</v>
      </c>
      <c r="E181" s="7" t="s">
        <v>186</v>
      </c>
      <c r="F181" s="7" t="s">
        <v>79</v>
      </c>
      <c r="G181" s="8" t="s">
        <v>72</v>
      </c>
      <c r="H181" s="8">
        <v>354951</v>
      </c>
      <c r="I181" s="7" t="s">
        <v>63</v>
      </c>
      <c r="J181" s="27">
        <v>16</v>
      </c>
      <c r="K181" s="27">
        <v>2</v>
      </c>
      <c r="L181" s="27">
        <v>11</v>
      </c>
      <c r="M181" s="18" t="s">
        <v>185</v>
      </c>
      <c r="N181" s="18" t="s">
        <v>187</v>
      </c>
      <c r="O181" s="8" t="s">
        <v>173</v>
      </c>
    </row>
    <row r="182" spans="2:15" x14ac:dyDescent="0.25">
      <c r="B182" s="7" t="s">
        <v>39</v>
      </c>
      <c r="C182" s="17">
        <v>21437</v>
      </c>
      <c r="D182" s="7" t="s">
        <v>13</v>
      </c>
      <c r="E182" s="7" t="s">
        <v>74</v>
      </c>
      <c r="F182" s="7" t="s">
        <v>79</v>
      </c>
      <c r="G182" s="8" t="s">
        <v>35</v>
      </c>
      <c r="H182" s="8">
        <v>389970</v>
      </c>
      <c r="I182" s="7" t="s">
        <v>69</v>
      </c>
      <c r="J182" s="27">
        <v>16</v>
      </c>
      <c r="K182" s="27">
        <v>2</v>
      </c>
      <c r="L182" s="27">
        <v>18</v>
      </c>
      <c r="M182" s="18" t="s">
        <v>185</v>
      </c>
      <c r="N182" s="18" t="s">
        <v>187</v>
      </c>
      <c r="O182" s="8" t="s">
        <v>173</v>
      </c>
    </row>
    <row r="183" spans="2:15" x14ac:dyDescent="0.25">
      <c r="B183" s="7" t="s">
        <v>39</v>
      </c>
      <c r="C183" s="17">
        <v>26051</v>
      </c>
      <c r="D183" s="7" t="s">
        <v>14</v>
      </c>
      <c r="E183" s="7" t="s">
        <v>81</v>
      </c>
      <c r="F183" s="7" t="s">
        <v>159</v>
      </c>
      <c r="G183" s="7" t="s">
        <v>35</v>
      </c>
      <c r="H183" s="7">
        <v>411339</v>
      </c>
      <c r="I183" s="7" t="s">
        <v>112</v>
      </c>
      <c r="J183" s="24">
        <v>16</v>
      </c>
      <c r="K183" s="24">
        <v>2</v>
      </c>
      <c r="L183" s="24">
        <v>9</v>
      </c>
      <c r="M183" s="8" t="s">
        <v>188</v>
      </c>
      <c r="N183" s="8" t="s">
        <v>189</v>
      </c>
      <c r="O183" s="8" t="s">
        <v>173</v>
      </c>
    </row>
    <row r="184" spans="2:15" x14ac:dyDescent="0.25">
      <c r="B184" s="7" t="s">
        <v>39</v>
      </c>
      <c r="C184" s="17">
        <v>29696</v>
      </c>
      <c r="D184" s="7" t="s">
        <v>12</v>
      </c>
      <c r="E184" s="7" t="s">
        <v>61</v>
      </c>
      <c r="F184" s="7" t="s">
        <v>34</v>
      </c>
      <c r="G184" s="8" t="s">
        <v>72</v>
      </c>
      <c r="H184" s="8">
        <v>374253</v>
      </c>
      <c r="I184" s="7" t="s">
        <v>41</v>
      </c>
      <c r="J184" s="27">
        <v>8</v>
      </c>
      <c r="K184" s="27">
        <v>2</v>
      </c>
      <c r="L184" s="27">
        <v>4</v>
      </c>
      <c r="M184" s="18" t="s">
        <v>190</v>
      </c>
      <c r="N184" s="18" t="s">
        <v>191</v>
      </c>
      <c r="O184" s="8" t="s">
        <v>173</v>
      </c>
    </row>
    <row r="185" spans="2:15" x14ac:dyDescent="0.25">
      <c r="B185" s="7" t="s">
        <v>39</v>
      </c>
      <c r="C185" s="17">
        <v>26052</v>
      </c>
      <c r="D185" s="7" t="s">
        <v>14</v>
      </c>
      <c r="E185" s="7" t="s">
        <v>81</v>
      </c>
      <c r="F185" s="7" t="s">
        <v>159</v>
      </c>
      <c r="G185" s="7" t="s">
        <v>35</v>
      </c>
      <c r="H185" s="7">
        <v>411339</v>
      </c>
      <c r="I185" s="7" t="s">
        <v>112</v>
      </c>
      <c r="J185" s="24">
        <v>16</v>
      </c>
      <c r="K185" s="24">
        <v>2</v>
      </c>
      <c r="L185" s="24">
        <v>12</v>
      </c>
      <c r="M185" s="8" t="s">
        <v>190</v>
      </c>
      <c r="N185" s="8" t="s">
        <v>191</v>
      </c>
      <c r="O185" s="8" t="s">
        <v>173</v>
      </c>
    </row>
    <row r="186" spans="2:15" x14ac:dyDescent="0.25">
      <c r="B186" s="7" t="s">
        <v>39</v>
      </c>
      <c r="C186" s="17">
        <v>26091</v>
      </c>
      <c r="D186" s="7" t="s">
        <v>13</v>
      </c>
      <c r="E186" s="7" t="s">
        <v>138</v>
      </c>
      <c r="F186" s="7" t="s">
        <v>79</v>
      </c>
      <c r="G186" s="8" t="s">
        <v>35</v>
      </c>
      <c r="H186" s="8">
        <v>389970</v>
      </c>
      <c r="I186" s="7" t="s">
        <v>69</v>
      </c>
      <c r="J186" s="27">
        <v>16</v>
      </c>
      <c r="K186" s="27">
        <v>2</v>
      </c>
      <c r="L186" s="27">
        <v>20</v>
      </c>
      <c r="M186" s="18" t="s">
        <v>191</v>
      </c>
      <c r="N186" s="18" t="s">
        <v>192</v>
      </c>
      <c r="O186" s="8" t="s">
        <v>173</v>
      </c>
    </row>
    <row r="187" spans="2:15" x14ac:dyDescent="0.25">
      <c r="B187" s="7" t="s">
        <v>39</v>
      </c>
      <c r="C187" s="17">
        <v>27353</v>
      </c>
      <c r="D187" s="7" t="s">
        <v>14</v>
      </c>
      <c r="E187" s="7" t="s">
        <v>81</v>
      </c>
      <c r="F187" s="7" t="s">
        <v>40</v>
      </c>
      <c r="G187" s="7" t="s">
        <v>35</v>
      </c>
      <c r="H187" s="7">
        <v>489671</v>
      </c>
      <c r="I187" s="7" t="s">
        <v>98</v>
      </c>
      <c r="J187" s="24">
        <v>24</v>
      </c>
      <c r="K187" s="24">
        <v>3</v>
      </c>
      <c r="L187" s="24">
        <v>11</v>
      </c>
      <c r="M187" s="8" t="s">
        <v>190</v>
      </c>
      <c r="N187" s="8" t="s">
        <v>192</v>
      </c>
      <c r="O187" s="8" t="s">
        <v>173</v>
      </c>
    </row>
    <row r="188" spans="2:15" x14ac:dyDescent="0.25">
      <c r="B188" s="7" t="s">
        <v>39</v>
      </c>
      <c r="C188" s="17">
        <v>24751</v>
      </c>
      <c r="D188" s="7" t="s">
        <v>7</v>
      </c>
      <c r="E188" s="7" t="s">
        <v>78</v>
      </c>
      <c r="F188" s="7" t="s">
        <v>40</v>
      </c>
      <c r="G188" s="8" t="s">
        <v>35</v>
      </c>
      <c r="H188" s="8">
        <v>354951</v>
      </c>
      <c r="I188" s="7" t="s">
        <v>63</v>
      </c>
      <c r="J188" s="27">
        <v>24</v>
      </c>
      <c r="K188" s="27">
        <v>3</v>
      </c>
      <c r="L188" s="27">
        <v>2</v>
      </c>
      <c r="M188" s="18" t="s">
        <v>191</v>
      </c>
      <c r="N188" s="18" t="s">
        <v>193</v>
      </c>
      <c r="O188" s="8" t="s">
        <v>173</v>
      </c>
    </row>
    <row r="189" spans="2:15" x14ac:dyDescent="0.25">
      <c r="B189" s="7" t="s">
        <v>39</v>
      </c>
      <c r="C189" s="17">
        <v>26409</v>
      </c>
      <c r="D189" s="7" t="s">
        <v>13</v>
      </c>
      <c r="E189" s="7" t="s">
        <v>138</v>
      </c>
      <c r="F189" s="7" t="s">
        <v>34</v>
      </c>
      <c r="G189" s="8" t="s">
        <v>72</v>
      </c>
      <c r="H189" s="8">
        <v>510745</v>
      </c>
      <c r="I189" s="7" t="s">
        <v>66</v>
      </c>
      <c r="J189" s="27">
        <v>8</v>
      </c>
      <c r="K189" s="27">
        <v>1</v>
      </c>
      <c r="L189" s="27">
        <v>11</v>
      </c>
      <c r="M189" s="18" t="s">
        <v>193</v>
      </c>
      <c r="N189" s="18" t="s">
        <v>194</v>
      </c>
      <c r="O189" s="8" t="s">
        <v>173</v>
      </c>
    </row>
    <row r="190" spans="2:15" x14ac:dyDescent="0.25">
      <c r="B190" s="7" t="s">
        <v>39</v>
      </c>
      <c r="C190" s="17">
        <v>28025</v>
      </c>
      <c r="D190" s="7" t="s">
        <v>14</v>
      </c>
      <c r="E190" s="7" t="s">
        <v>88</v>
      </c>
      <c r="F190" s="7" t="s">
        <v>94</v>
      </c>
      <c r="G190" s="7" t="s">
        <v>35</v>
      </c>
      <c r="H190" s="7" t="s">
        <v>95</v>
      </c>
      <c r="I190" s="7" t="s">
        <v>96</v>
      </c>
      <c r="J190" s="24">
        <v>16</v>
      </c>
      <c r="K190" s="24">
        <v>2</v>
      </c>
      <c r="L190" s="24">
        <v>13</v>
      </c>
      <c r="M190" s="8" t="s">
        <v>193</v>
      </c>
      <c r="N190" s="8" t="s">
        <v>194</v>
      </c>
      <c r="O190" s="8" t="s">
        <v>173</v>
      </c>
    </row>
    <row r="191" spans="2:15" x14ac:dyDescent="0.25">
      <c r="B191" s="7" t="s">
        <v>39</v>
      </c>
      <c r="C191" s="17">
        <v>27354</v>
      </c>
      <c r="D191" s="7" t="s">
        <v>14</v>
      </c>
      <c r="E191" s="7" t="s">
        <v>81</v>
      </c>
      <c r="F191" s="7" t="s">
        <v>40</v>
      </c>
      <c r="G191" s="7" t="s">
        <v>35</v>
      </c>
      <c r="H191" s="7">
        <v>489671</v>
      </c>
      <c r="I191" s="7" t="s">
        <v>98</v>
      </c>
      <c r="J191" s="24">
        <v>24</v>
      </c>
      <c r="K191" s="24">
        <v>3</v>
      </c>
      <c r="L191" s="24">
        <v>9</v>
      </c>
      <c r="M191" s="8" t="s">
        <v>194</v>
      </c>
      <c r="N191" s="8" t="s">
        <v>195</v>
      </c>
      <c r="O191" s="8" t="s">
        <v>173</v>
      </c>
    </row>
    <row r="192" spans="2:15" x14ac:dyDescent="0.25">
      <c r="B192" s="7" t="s">
        <v>39</v>
      </c>
      <c r="C192" s="17">
        <v>26095</v>
      </c>
      <c r="D192" s="7" t="s">
        <v>13</v>
      </c>
      <c r="E192" s="7" t="s">
        <v>138</v>
      </c>
      <c r="F192" s="7" t="s">
        <v>79</v>
      </c>
      <c r="G192" s="8" t="s">
        <v>35</v>
      </c>
      <c r="H192" s="8">
        <v>389970</v>
      </c>
      <c r="I192" s="7" t="s">
        <v>69</v>
      </c>
      <c r="J192" s="27">
        <v>16</v>
      </c>
      <c r="K192" s="27">
        <v>2</v>
      </c>
      <c r="L192" s="27">
        <v>20</v>
      </c>
      <c r="M192" s="18" t="s">
        <v>195</v>
      </c>
      <c r="N192" s="18" t="s">
        <v>196</v>
      </c>
      <c r="O192" s="8" t="s">
        <v>173</v>
      </c>
    </row>
    <row r="193" spans="2:15" x14ac:dyDescent="0.25">
      <c r="B193" s="7" t="s">
        <v>39</v>
      </c>
      <c r="C193" s="17">
        <v>28129</v>
      </c>
      <c r="D193" s="7" t="s">
        <v>13</v>
      </c>
      <c r="E193" s="7" t="s">
        <v>138</v>
      </c>
      <c r="F193" s="7" t="s">
        <v>94</v>
      </c>
      <c r="G193" s="8" t="s">
        <v>35</v>
      </c>
      <c r="H193" s="8">
        <v>510745</v>
      </c>
      <c r="I193" s="7" t="s">
        <v>66</v>
      </c>
      <c r="J193" s="27">
        <v>16</v>
      </c>
      <c r="K193" s="27">
        <v>2</v>
      </c>
      <c r="L193" s="27">
        <v>6</v>
      </c>
      <c r="M193" s="18" t="s">
        <v>195</v>
      </c>
      <c r="N193" s="18" t="s">
        <v>196</v>
      </c>
      <c r="O193" s="8" t="s">
        <v>173</v>
      </c>
    </row>
    <row r="194" spans="2:15" x14ac:dyDescent="0.25">
      <c r="B194" s="7" t="s">
        <v>39</v>
      </c>
      <c r="C194" s="17">
        <v>26403</v>
      </c>
      <c r="D194" s="7" t="s">
        <v>13</v>
      </c>
      <c r="E194" s="7" t="s">
        <v>138</v>
      </c>
      <c r="F194" s="7" t="s">
        <v>34</v>
      </c>
      <c r="G194" s="8" t="s">
        <v>72</v>
      </c>
      <c r="H194" s="8">
        <v>458886</v>
      </c>
      <c r="I194" s="7" t="s">
        <v>75</v>
      </c>
      <c r="J194" s="27">
        <v>8</v>
      </c>
      <c r="K194" s="27">
        <v>1</v>
      </c>
      <c r="L194" s="27">
        <v>15</v>
      </c>
      <c r="M194" s="18" t="s">
        <v>197</v>
      </c>
      <c r="N194" s="18" t="s">
        <v>197</v>
      </c>
      <c r="O194" s="8" t="s">
        <v>173</v>
      </c>
    </row>
    <row r="195" spans="2:15" x14ac:dyDescent="0.25">
      <c r="B195" s="7" t="s">
        <v>39</v>
      </c>
      <c r="C195" s="17">
        <v>24920</v>
      </c>
      <c r="D195" s="7" t="s">
        <v>7</v>
      </c>
      <c r="E195" s="7" t="s">
        <v>78</v>
      </c>
      <c r="F195" s="7" t="s">
        <v>79</v>
      </c>
      <c r="G195" s="8" t="s">
        <v>35</v>
      </c>
      <c r="H195" s="8">
        <v>354951</v>
      </c>
      <c r="I195" s="7" t="s">
        <v>63</v>
      </c>
      <c r="J195" s="27">
        <v>16</v>
      </c>
      <c r="K195" s="27">
        <v>2</v>
      </c>
      <c r="L195" s="27">
        <v>1</v>
      </c>
      <c r="M195" s="18" t="s">
        <v>196</v>
      </c>
      <c r="N195" s="18" t="s">
        <v>197</v>
      </c>
      <c r="O195" s="8" t="s">
        <v>173</v>
      </c>
    </row>
    <row r="196" spans="2:15" x14ac:dyDescent="0.25">
      <c r="B196" s="7" t="s">
        <v>39</v>
      </c>
      <c r="C196" s="17">
        <v>26098</v>
      </c>
      <c r="D196" s="7" t="s">
        <v>13</v>
      </c>
      <c r="E196" s="7" t="s">
        <v>138</v>
      </c>
      <c r="F196" s="7" t="s">
        <v>79</v>
      </c>
      <c r="G196" s="8" t="s">
        <v>35</v>
      </c>
      <c r="H196" s="8">
        <v>389970</v>
      </c>
      <c r="I196" s="7" t="s">
        <v>69</v>
      </c>
      <c r="J196" s="27">
        <v>16</v>
      </c>
      <c r="K196" s="27">
        <v>2</v>
      </c>
      <c r="L196" s="27">
        <v>20</v>
      </c>
      <c r="M196" s="18" t="s">
        <v>197</v>
      </c>
      <c r="N196" s="18" t="s">
        <v>198</v>
      </c>
      <c r="O196" s="8" t="s">
        <v>173</v>
      </c>
    </row>
    <row r="197" spans="2:15" x14ac:dyDescent="0.25">
      <c r="B197" s="7" t="s">
        <v>39</v>
      </c>
      <c r="C197" s="17">
        <v>26040</v>
      </c>
      <c r="D197" s="7" t="s">
        <v>14</v>
      </c>
      <c r="E197" s="7" t="s">
        <v>81</v>
      </c>
      <c r="F197" s="7" t="s">
        <v>199</v>
      </c>
      <c r="G197" s="7" t="s">
        <v>35</v>
      </c>
      <c r="H197" s="7">
        <v>354951</v>
      </c>
      <c r="I197" s="7" t="s">
        <v>63</v>
      </c>
      <c r="J197" s="24">
        <v>8</v>
      </c>
      <c r="K197" s="24">
        <v>1</v>
      </c>
      <c r="L197" s="24">
        <v>5</v>
      </c>
      <c r="M197" s="8" t="s">
        <v>198</v>
      </c>
      <c r="N197" s="8" t="s">
        <v>198</v>
      </c>
      <c r="O197" s="8" t="s">
        <v>173</v>
      </c>
    </row>
    <row r="198" spans="2:15" x14ac:dyDescent="0.25">
      <c r="B198" s="7" t="s">
        <v>39</v>
      </c>
      <c r="C198" s="17">
        <v>26044</v>
      </c>
      <c r="D198" s="7" t="s">
        <v>14</v>
      </c>
      <c r="E198" s="7" t="s">
        <v>81</v>
      </c>
      <c r="F198" s="7" t="s">
        <v>62</v>
      </c>
      <c r="G198" s="7" t="s">
        <v>35</v>
      </c>
      <c r="H198" s="7">
        <v>316048</v>
      </c>
      <c r="I198" s="7" t="s">
        <v>122</v>
      </c>
      <c r="J198" s="24">
        <v>24</v>
      </c>
      <c r="K198" s="24">
        <v>3</v>
      </c>
      <c r="L198" s="24">
        <v>12</v>
      </c>
      <c r="M198" s="8" t="s">
        <v>197</v>
      </c>
      <c r="N198" s="8" t="s">
        <v>200</v>
      </c>
      <c r="O198" s="8" t="s">
        <v>173</v>
      </c>
    </row>
    <row r="199" spans="2:15" x14ac:dyDescent="0.25">
      <c r="B199" s="7" t="s">
        <v>39</v>
      </c>
      <c r="C199" s="17">
        <v>26406</v>
      </c>
      <c r="D199" s="7" t="s">
        <v>13</v>
      </c>
      <c r="E199" s="7" t="s">
        <v>138</v>
      </c>
      <c r="F199" s="7" t="s">
        <v>34</v>
      </c>
      <c r="G199" s="8" t="s">
        <v>72</v>
      </c>
      <c r="H199" s="8">
        <v>510745</v>
      </c>
      <c r="I199" s="7" t="s">
        <v>66</v>
      </c>
      <c r="J199" s="27">
        <v>8</v>
      </c>
      <c r="K199" s="27">
        <v>1</v>
      </c>
      <c r="L199" s="27">
        <v>8</v>
      </c>
      <c r="M199" s="18" t="s">
        <v>200</v>
      </c>
      <c r="N199" s="18" t="s">
        <v>201</v>
      </c>
      <c r="O199" s="8" t="s">
        <v>202</v>
      </c>
    </row>
    <row r="200" spans="2:15" x14ac:dyDescent="0.25">
      <c r="B200" s="7" t="s">
        <v>39</v>
      </c>
      <c r="C200" s="17">
        <v>26407</v>
      </c>
      <c r="D200" s="7" t="s">
        <v>13</v>
      </c>
      <c r="E200" s="7" t="s">
        <v>138</v>
      </c>
      <c r="F200" s="7" t="s">
        <v>34</v>
      </c>
      <c r="G200" s="8" t="s">
        <v>72</v>
      </c>
      <c r="H200" s="8">
        <v>350060</v>
      </c>
      <c r="I200" s="7" t="s">
        <v>36</v>
      </c>
      <c r="J200" s="27">
        <v>8</v>
      </c>
      <c r="K200" s="27">
        <v>1</v>
      </c>
      <c r="L200" s="27">
        <v>11</v>
      </c>
      <c r="M200" s="18" t="s">
        <v>200</v>
      </c>
      <c r="N200" s="18" t="s">
        <v>201</v>
      </c>
      <c r="O200" s="8" t="s">
        <v>202</v>
      </c>
    </row>
    <row r="201" spans="2:15" x14ac:dyDescent="0.25">
      <c r="B201" s="7" t="s">
        <v>39</v>
      </c>
      <c r="C201" s="17">
        <v>27355</v>
      </c>
      <c r="D201" s="7" t="s">
        <v>14</v>
      </c>
      <c r="E201" s="7" t="s">
        <v>81</v>
      </c>
      <c r="F201" s="7" t="s">
        <v>40</v>
      </c>
      <c r="G201" s="7" t="s">
        <v>35</v>
      </c>
      <c r="H201" s="7">
        <v>419491</v>
      </c>
      <c r="I201" s="7" t="s">
        <v>82</v>
      </c>
      <c r="J201" s="24">
        <v>24</v>
      </c>
      <c r="K201" s="24">
        <v>3</v>
      </c>
      <c r="L201" s="24">
        <v>12</v>
      </c>
      <c r="M201" s="8" t="s">
        <v>198</v>
      </c>
      <c r="N201" s="8" t="s">
        <v>201</v>
      </c>
      <c r="O201" s="8" t="s">
        <v>173</v>
      </c>
    </row>
    <row r="202" spans="2:15" x14ac:dyDescent="0.25">
      <c r="B202" s="7" t="s">
        <v>39</v>
      </c>
      <c r="C202" s="17">
        <v>26375</v>
      </c>
      <c r="D202" s="7" t="s">
        <v>13</v>
      </c>
      <c r="E202" s="7" t="s">
        <v>138</v>
      </c>
      <c r="F202" s="7" t="s">
        <v>34</v>
      </c>
      <c r="G202" s="8" t="s">
        <v>72</v>
      </c>
      <c r="H202" s="8">
        <v>510745</v>
      </c>
      <c r="I202" s="7" t="s">
        <v>66</v>
      </c>
      <c r="J202" s="27">
        <v>8</v>
      </c>
      <c r="K202" s="27">
        <v>1</v>
      </c>
      <c r="L202" s="27">
        <v>20</v>
      </c>
      <c r="M202" s="18" t="s">
        <v>203</v>
      </c>
      <c r="N202" s="18" t="s">
        <v>204</v>
      </c>
      <c r="O202" s="8" t="s">
        <v>202</v>
      </c>
    </row>
    <row r="203" spans="2:15" x14ac:dyDescent="0.25">
      <c r="B203" s="7" t="s">
        <v>39</v>
      </c>
      <c r="C203" s="17">
        <v>28029</v>
      </c>
      <c r="D203" s="7" t="s">
        <v>14</v>
      </c>
      <c r="E203" s="7" t="s">
        <v>88</v>
      </c>
      <c r="F203" s="7" t="s">
        <v>94</v>
      </c>
      <c r="G203" s="7" t="s">
        <v>35</v>
      </c>
      <c r="H203" s="7" t="s">
        <v>95</v>
      </c>
      <c r="I203" s="7" t="s">
        <v>96</v>
      </c>
      <c r="J203" s="24">
        <v>16</v>
      </c>
      <c r="K203" s="24">
        <v>2</v>
      </c>
      <c r="L203" s="24">
        <v>3</v>
      </c>
      <c r="M203" s="8" t="s">
        <v>203</v>
      </c>
      <c r="N203" s="8" t="s">
        <v>204</v>
      </c>
      <c r="O203" s="8" t="s">
        <v>202</v>
      </c>
    </row>
    <row r="204" spans="2:15" x14ac:dyDescent="0.25">
      <c r="B204" s="7" t="s">
        <v>39</v>
      </c>
      <c r="C204" s="17">
        <v>26093</v>
      </c>
      <c r="D204" s="7" t="s">
        <v>13</v>
      </c>
      <c r="E204" s="7" t="s">
        <v>138</v>
      </c>
      <c r="F204" s="7" t="s">
        <v>79</v>
      </c>
      <c r="G204" s="8" t="s">
        <v>35</v>
      </c>
      <c r="H204" s="8">
        <v>389970</v>
      </c>
      <c r="I204" s="7" t="s">
        <v>69</v>
      </c>
      <c r="J204" s="27">
        <v>16</v>
      </c>
      <c r="K204" s="27">
        <v>2</v>
      </c>
      <c r="L204" s="27">
        <v>20</v>
      </c>
      <c r="M204" s="18" t="s">
        <v>204</v>
      </c>
      <c r="N204" s="18" t="s">
        <v>205</v>
      </c>
      <c r="O204" s="8" t="s">
        <v>202</v>
      </c>
    </row>
    <row r="205" spans="2:15" x14ac:dyDescent="0.25">
      <c r="B205" s="7" t="s">
        <v>39</v>
      </c>
      <c r="C205" s="17">
        <v>27356</v>
      </c>
      <c r="D205" s="7" t="s">
        <v>14</v>
      </c>
      <c r="E205" s="7" t="s">
        <v>81</v>
      </c>
      <c r="F205" s="7" t="s">
        <v>40</v>
      </c>
      <c r="G205" s="7" t="s">
        <v>35</v>
      </c>
      <c r="H205" s="7">
        <v>419491</v>
      </c>
      <c r="I205" s="7" t="s">
        <v>82</v>
      </c>
      <c r="J205" s="24">
        <v>24</v>
      </c>
      <c r="K205" s="24">
        <v>3</v>
      </c>
      <c r="L205" s="24">
        <v>9</v>
      </c>
      <c r="M205" s="8" t="s">
        <v>203</v>
      </c>
      <c r="N205" s="8" t="s">
        <v>205</v>
      </c>
      <c r="O205" s="8" t="s">
        <v>202</v>
      </c>
    </row>
    <row r="206" spans="2:15" x14ac:dyDescent="0.25">
      <c r="B206" s="7" t="s">
        <v>39</v>
      </c>
      <c r="C206" s="17">
        <v>24752</v>
      </c>
      <c r="D206" s="7" t="s">
        <v>7</v>
      </c>
      <c r="E206" s="7" t="s">
        <v>78</v>
      </c>
      <c r="F206" s="7" t="s">
        <v>40</v>
      </c>
      <c r="G206" s="8" t="s">
        <v>35</v>
      </c>
      <c r="H206" s="8">
        <v>354951</v>
      </c>
      <c r="I206" s="7" t="s">
        <v>63</v>
      </c>
      <c r="J206" s="27">
        <v>24</v>
      </c>
      <c r="K206" s="27">
        <v>3</v>
      </c>
      <c r="L206" s="27">
        <v>1</v>
      </c>
      <c r="M206" s="18" t="s">
        <v>204</v>
      </c>
      <c r="N206" s="18" t="s">
        <v>206</v>
      </c>
      <c r="O206" s="8" t="s">
        <v>202</v>
      </c>
    </row>
    <row r="207" spans="2:15" x14ac:dyDescent="0.25">
      <c r="B207" s="7" t="s">
        <v>39</v>
      </c>
      <c r="C207" s="17">
        <v>26045</v>
      </c>
      <c r="D207" s="7" t="s">
        <v>14</v>
      </c>
      <c r="E207" s="7" t="s">
        <v>81</v>
      </c>
      <c r="F207" s="7" t="s">
        <v>62</v>
      </c>
      <c r="G207" s="7" t="s">
        <v>35</v>
      </c>
      <c r="H207" s="7">
        <v>316048</v>
      </c>
      <c r="I207" s="7" t="s">
        <v>122</v>
      </c>
      <c r="J207" s="24">
        <v>24</v>
      </c>
      <c r="K207" s="24">
        <v>3</v>
      </c>
      <c r="L207" s="24">
        <v>7</v>
      </c>
      <c r="M207" s="8" t="s">
        <v>206</v>
      </c>
      <c r="N207" s="8" t="s">
        <v>207</v>
      </c>
      <c r="O207" s="8" t="s">
        <v>202</v>
      </c>
    </row>
    <row r="208" spans="2:15" x14ac:dyDescent="0.25">
      <c r="B208" s="7" t="s">
        <v>39</v>
      </c>
      <c r="C208" s="17">
        <v>26391</v>
      </c>
      <c r="D208" s="7" t="s">
        <v>13</v>
      </c>
      <c r="E208" s="7" t="s">
        <v>138</v>
      </c>
      <c r="F208" s="7" t="s">
        <v>34</v>
      </c>
      <c r="G208" s="8" t="s">
        <v>35</v>
      </c>
      <c r="H208" s="8">
        <v>374253</v>
      </c>
      <c r="I208" s="7" t="s">
        <v>41</v>
      </c>
      <c r="J208" s="27">
        <v>8</v>
      </c>
      <c r="K208" s="27">
        <v>1</v>
      </c>
      <c r="L208" s="27">
        <v>20</v>
      </c>
      <c r="M208" s="18" t="s">
        <v>208</v>
      </c>
      <c r="N208" s="18" t="s">
        <v>208</v>
      </c>
      <c r="O208" s="8" t="s">
        <v>202</v>
      </c>
    </row>
    <row r="209" spans="2:15" x14ac:dyDescent="0.25">
      <c r="B209" s="7" t="s">
        <v>39</v>
      </c>
      <c r="C209" s="17">
        <v>21438</v>
      </c>
      <c r="D209" s="7" t="s">
        <v>13</v>
      </c>
      <c r="E209" s="7" t="s">
        <v>74</v>
      </c>
      <c r="F209" s="7" t="s">
        <v>79</v>
      </c>
      <c r="G209" s="8" t="s">
        <v>35</v>
      </c>
      <c r="H209" s="8">
        <v>389970</v>
      </c>
      <c r="I209" s="7" t="s">
        <v>69</v>
      </c>
      <c r="J209" s="27">
        <v>16</v>
      </c>
      <c r="K209" s="27">
        <v>2</v>
      </c>
      <c r="L209" s="27">
        <v>8</v>
      </c>
      <c r="M209" s="18" t="s">
        <v>209</v>
      </c>
      <c r="N209" s="18" t="s">
        <v>210</v>
      </c>
      <c r="O209" s="8" t="s">
        <v>202</v>
      </c>
    </row>
    <row r="210" spans="2:15" x14ac:dyDescent="0.25">
      <c r="B210" s="7" t="s">
        <v>39</v>
      </c>
      <c r="C210" s="17">
        <v>26417</v>
      </c>
      <c r="D210" s="7" t="s">
        <v>13</v>
      </c>
      <c r="E210" s="7" t="s">
        <v>138</v>
      </c>
      <c r="F210" s="7" t="s">
        <v>148</v>
      </c>
      <c r="G210" s="8" t="s">
        <v>35</v>
      </c>
      <c r="H210" s="8">
        <v>354951</v>
      </c>
      <c r="I210" s="7" t="s">
        <v>63</v>
      </c>
      <c r="J210" s="27">
        <v>8</v>
      </c>
      <c r="K210" s="27">
        <v>1</v>
      </c>
      <c r="L210" s="27">
        <v>12</v>
      </c>
      <c r="M210" s="18" t="s">
        <v>210</v>
      </c>
      <c r="N210" s="18" t="s">
        <v>210</v>
      </c>
      <c r="O210" s="8" t="s">
        <v>202</v>
      </c>
    </row>
    <row r="211" spans="2:15" x14ac:dyDescent="0.25">
      <c r="B211" s="7" t="s">
        <v>39</v>
      </c>
      <c r="C211" s="17">
        <v>26385</v>
      </c>
      <c r="D211" s="7" t="s">
        <v>13</v>
      </c>
      <c r="E211" s="7" t="s">
        <v>138</v>
      </c>
      <c r="F211" s="7" t="s">
        <v>34</v>
      </c>
      <c r="G211" s="8" t="s">
        <v>35</v>
      </c>
      <c r="H211" s="8">
        <v>374253</v>
      </c>
      <c r="I211" s="7" t="s">
        <v>41</v>
      </c>
      <c r="J211" s="27">
        <v>8</v>
      </c>
      <c r="K211" s="27">
        <v>1</v>
      </c>
      <c r="L211" s="27">
        <v>20</v>
      </c>
      <c r="M211" s="18" t="s">
        <v>211</v>
      </c>
      <c r="N211" s="18" t="s">
        <v>211</v>
      </c>
      <c r="O211" s="8" t="s">
        <v>202</v>
      </c>
    </row>
    <row r="212" spans="2:15" x14ac:dyDescent="0.25">
      <c r="B212" s="7" t="s">
        <v>39</v>
      </c>
      <c r="C212" s="17">
        <v>27357</v>
      </c>
      <c r="D212" s="7" t="s">
        <v>14</v>
      </c>
      <c r="E212" s="7" t="s">
        <v>81</v>
      </c>
      <c r="F212" s="7" t="s">
        <v>40</v>
      </c>
      <c r="G212" s="7" t="s">
        <v>35</v>
      </c>
      <c r="H212" s="7">
        <v>489671</v>
      </c>
      <c r="I212" s="7" t="s">
        <v>98</v>
      </c>
      <c r="J212" s="24">
        <v>24</v>
      </c>
      <c r="K212" s="24">
        <v>3</v>
      </c>
      <c r="L212" s="24">
        <v>12</v>
      </c>
      <c r="M212" s="8" t="s">
        <v>210</v>
      </c>
      <c r="N212" s="8" t="s">
        <v>212</v>
      </c>
      <c r="O212" s="8" t="s">
        <v>202</v>
      </c>
    </row>
    <row r="213" spans="2:15" x14ac:dyDescent="0.25">
      <c r="B213" s="7" t="s">
        <v>39</v>
      </c>
      <c r="C213" s="17">
        <v>24071</v>
      </c>
      <c r="D213" s="7" t="s">
        <v>6</v>
      </c>
      <c r="E213" s="7" t="s">
        <v>33</v>
      </c>
      <c r="F213" s="7" t="s">
        <v>65</v>
      </c>
      <c r="G213" s="8" t="s">
        <v>35</v>
      </c>
      <c r="H213" s="8">
        <v>350060</v>
      </c>
      <c r="I213" s="7" t="s">
        <v>36</v>
      </c>
      <c r="J213" s="27">
        <v>24</v>
      </c>
      <c r="K213" s="27">
        <v>3</v>
      </c>
      <c r="L213" s="27">
        <v>7</v>
      </c>
      <c r="M213" s="18" t="s">
        <v>211</v>
      </c>
      <c r="N213" s="18" t="s">
        <v>213</v>
      </c>
      <c r="O213" s="8" t="s">
        <v>202</v>
      </c>
    </row>
    <row r="214" spans="2:15" x14ac:dyDescent="0.25">
      <c r="B214" s="7" t="s">
        <v>39</v>
      </c>
      <c r="C214" s="17">
        <v>24835</v>
      </c>
      <c r="D214" s="7" t="s">
        <v>8</v>
      </c>
      <c r="E214" s="7" t="s">
        <v>142</v>
      </c>
      <c r="F214" s="7" t="s">
        <v>159</v>
      </c>
      <c r="G214" s="8" t="s">
        <v>35</v>
      </c>
      <c r="H214" s="8">
        <v>332706</v>
      </c>
      <c r="I214" s="7" t="s">
        <v>214</v>
      </c>
      <c r="J214" s="27">
        <v>16</v>
      </c>
      <c r="K214" s="27">
        <v>2</v>
      </c>
      <c r="L214" s="27">
        <v>2</v>
      </c>
      <c r="M214" s="18" t="s">
        <v>215</v>
      </c>
      <c r="N214" s="18" t="s">
        <v>216</v>
      </c>
      <c r="O214" s="8" t="s">
        <v>202</v>
      </c>
    </row>
    <row r="215" spans="2:15" x14ac:dyDescent="0.25">
      <c r="B215" s="7" t="s">
        <v>39</v>
      </c>
      <c r="C215" s="17">
        <v>27358</v>
      </c>
      <c r="D215" s="7" t="s">
        <v>14</v>
      </c>
      <c r="E215" s="7" t="s">
        <v>81</v>
      </c>
      <c r="F215" s="7" t="s">
        <v>40</v>
      </c>
      <c r="G215" s="7" t="s">
        <v>35</v>
      </c>
      <c r="H215" s="7">
        <v>489671</v>
      </c>
      <c r="I215" s="7" t="s">
        <v>98</v>
      </c>
      <c r="J215" s="24">
        <v>24</v>
      </c>
      <c r="K215" s="24">
        <v>3</v>
      </c>
      <c r="L215" s="24">
        <v>12</v>
      </c>
      <c r="M215" s="8" t="s">
        <v>217</v>
      </c>
      <c r="N215" s="8" t="s">
        <v>216</v>
      </c>
      <c r="O215" s="8" t="s">
        <v>202</v>
      </c>
    </row>
    <row r="216" spans="2:15" x14ac:dyDescent="0.25">
      <c r="B216" s="7" t="s">
        <v>39</v>
      </c>
      <c r="C216" s="17">
        <v>26393</v>
      </c>
      <c r="D216" s="7" t="s">
        <v>13</v>
      </c>
      <c r="E216" s="7" t="s">
        <v>138</v>
      </c>
      <c r="F216" s="7" t="s">
        <v>34</v>
      </c>
      <c r="G216" s="8" t="s">
        <v>72</v>
      </c>
      <c r="H216" s="8">
        <v>510745</v>
      </c>
      <c r="I216" s="7" t="s">
        <v>66</v>
      </c>
      <c r="J216" s="27">
        <v>8</v>
      </c>
      <c r="K216" s="27">
        <v>1</v>
      </c>
      <c r="L216" s="27">
        <v>11</v>
      </c>
      <c r="M216" s="18" t="s">
        <v>218</v>
      </c>
      <c r="N216" s="18" t="s">
        <v>219</v>
      </c>
      <c r="O216" s="8" t="s">
        <v>202</v>
      </c>
    </row>
    <row r="217" spans="2:15" x14ac:dyDescent="0.25">
      <c r="B217" s="7" t="s">
        <v>39</v>
      </c>
      <c r="C217" s="17">
        <v>26387</v>
      </c>
      <c r="D217" s="7" t="s">
        <v>13</v>
      </c>
      <c r="E217" s="7" t="s">
        <v>138</v>
      </c>
      <c r="F217" s="7" t="s">
        <v>34</v>
      </c>
      <c r="G217" s="8" t="s">
        <v>35</v>
      </c>
      <c r="H217" s="8">
        <v>374253</v>
      </c>
      <c r="I217" s="7" t="s">
        <v>41</v>
      </c>
      <c r="J217" s="27">
        <v>8</v>
      </c>
      <c r="K217" s="27">
        <v>1</v>
      </c>
      <c r="L217" s="27">
        <v>20</v>
      </c>
      <c r="M217" s="18" t="s">
        <v>220</v>
      </c>
      <c r="N217" s="18" t="s">
        <v>220</v>
      </c>
      <c r="O217" s="8" t="s">
        <v>202</v>
      </c>
    </row>
    <row r="218" spans="2:15" x14ac:dyDescent="0.25">
      <c r="B218" s="7" t="s">
        <v>39</v>
      </c>
      <c r="C218" s="17">
        <v>27359</v>
      </c>
      <c r="D218" s="7" t="s">
        <v>14</v>
      </c>
      <c r="E218" s="7" t="s">
        <v>81</v>
      </c>
      <c r="F218" s="7" t="s">
        <v>40</v>
      </c>
      <c r="G218" s="7" t="s">
        <v>35</v>
      </c>
      <c r="H218" s="7">
        <v>489671</v>
      </c>
      <c r="I218" s="7" t="s">
        <v>98</v>
      </c>
      <c r="J218" s="24">
        <v>24</v>
      </c>
      <c r="K218" s="24">
        <v>3</v>
      </c>
      <c r="L218" s="24">
        <v>8</v>
      </c>
      <c r="M218" s="8" t="s">
        <v>219</v>
      </c>
      <c r="N218" s="8" t="s">
        <v>220</v>
      </c>
      <c r="O218" s="8" t="s">
        <v>202</v>
      </c>
    </row>
    <row r="219" spans="2:15" x14ac:dyDescent="0.25">
      <c r="B219" s="7" t="s">
        <v>39</v>
      </c>
      <c r="C219" s="17">
        <v>22122</v>
      </c>
      <c r="D219" s="7" t="s">
        <v>13</v>
      </c>
      <c r="E219" s="7" t="s">
        <v>186</v>
      </c>
      <c r="F219" s="7" t="s">
        <v>79</v>
      </c>
      <c r="G219" s="8" t="s">
        <v>35</v>
      </c>
      <c r="H219" s="8">
        <v>389970</v>
      </c>
      <c r="I219" s="7" t="s">
        <v>69</v>
      </c>
      <c r="J219" s="27">
        <v>16</v>
      </c>
      <c r="K219" s="27">
        <v>2</v>
      </c>
      <c r="L219" s="27">
        <v>6</v>
      </c>
      <c r="M219" s="18" t="s">
        <v>221</v>
      </c>
      <c r="N219" s="18" t="s">
        <v>222</v>
      </c>
      <c r="O219" s="8" t="s">
        <v>202</v>
      </c>
    </row>
    <row r="220" spans="2:15" x14ac:dyDescent="0.25">
      <c r="B220" s="7" t="s">
        <v>39</v>
      </c>
      <c r="C220" s="17">
        <v>24083</v>
      </c>
      <c r="D220" s="7" t="s">
        <v>12</v>
      </c>
      <c r="E220" s="7" t="s">
        <v>61</v>
      </c>
      <c r="F220" s="7" t="s">
        <v>223</v>
      </c>
      <c r="G220" s="8" t="s">
        <v>35</v>
      </c>
      <c r="H220" s="8">
        <v>354951</v>
      </c>
      <c r="I220" s="7" t="s">
        <v>63</v>
      </c>
      <c r="J220" s="27">
        <v>16</v>
      </c>
      <c r="K220" s="27">
        <v>2</v>
      </c>
      <c r="L220" s="27">
        <v>13</v>
      </c>
      <c r="M220" s="18" t="s">
        <v>224</v>
      </c>
      <c r="N220" s="18" t="s">
        <v>225</v>
      </c>
      <c r="O220" s="8" t="s">
        <v>202</v>
      </c>
    </row>
    <row r="221" spans="2:15" x14ac:dyDescent="0.25">
      <c r="B221" s="7" t="s">
        <v>39</v>
      </c>
      <c r="C221" s="17">
        <v>26046</v>
      </c>
      <c r="D221" s="7" t="s">
        <v>14</v>
      </c>
      <c r="E221" s="7" t="s">
        <v>81</v>
      </c>
      <c r="F221" s="7" t="s">
        <v>62</v>
      </c>
      <c r="G221" s="7" t="s">
        <v>35</v>
      </c>
      <c r="H221" s="7">
        <v>316048</v>
      </c>
      <c r="I221" s="7" t="s">
        <v>122</v>
      </c>
      <c r="J221" s="24">
        <v>24</v>
      </c>
      <c r="K221" s="24">
        <v>3</v>
      </c>
      <c r="L221" s="24">
        <v>8</v>
      </c>
      <c r="M221" s="8" t="s">
        <v>222</v>
      </c>
      <c r="N221" s="8" t="s">
        <v>225</v>
      </c>
      <c r="O221" s="8" t="s">
        <v>202</v>
      </c>
    </row>
    <row r="222" spans="2:15" x14ac:dyDescent="0.25">
      <c r="B222" s="7" t="s">
        <v>39</v>
      </c>
      <c r="C222" s="17">
        <v>26381</v>
      </c>
      <c r="D222" s="7" t="s">
        <v>13</v>
      </c>
      <c r="E222" s="7" t="s">
        <v>138</v>
      </c>
      <c r="F222" s="7" t="s">
        <v>34</v>
      </c>
      <c r="G222" s="8" t="s">
        <v>35</v>
      </c>
      <c r="H222" s="8">
        <v>374253</v>
      </c>
      <c r="I222" s="7" t="s">
        <v>41</v>
      </c>
      <c r="J222" s="27">
        <v>8</v>
      </c>
      <c r="K222" s="27">
        <v>1</v>
      </c>
      <c r="L222" s="27">
        <v>20</v>
      </c>
      <c r="M222" s="18" t="s">
        <v>226</v>
      </c>
      <c r="N222" s="18" t="s">
        <v>226</v>
      </c>
      <c r="O222" s="8" t="s">
        <v>227</v>
      </c>
    </row>
    <row r="223" spans="2:15" x14ac:dyDescent="0.25">
      <c r="B223" s="7" t="s">
        <v>39</v>
      </c>
      <c r="C223" s="17">
        <v>26384</v>
      </c>
      <c r="D223" s="7" t="s">
        <v>13</v>
      </c>
      <c r="E223" s="7" t="s">
        <v>138</v>
      </c>
      <c r="F223" s="7" t="s">
        <v>34</v>
      </c>
      <c r="G223" s="8" t="s">
        <v>35</v>
      </c>
      <c r="H223" s="8">
        <v>374253</v>
      </c>
      <c r="I223" s="7" t="s">
        <v>41</v>
      </c>
      <c r="J223" s="27">
        <v>8</v>
      </c>
      <c r="K223" s="27">
        <v>1</v>
      </c>
      <c r="L223" s="27">
        <v>20</v>
      </c>
      <c r="M223" s="18" t="s">
        <v>228</v>
      </c>
      <c r="N223" s="18" t="s">
        <v>228</v>
      </c>
      <c r="O223" s="8" t="s">
        <v>227</v>
      </c>
    </row>
    <row r="224" spans="2:15" x14ac:dyDescent="0.25">
      <c r="B224" s="7" t="s">
        <v>39</v>
      </c>
      <c r="C224" s="17">
        <v>26047</v>
      </c>
      <c r="D224" s="7" t="s">
        <v>14</v>
      </c>
      <c r="E224" s="7" t="s">
        <v>81</v>
      </c>
      <c r="F224" s="7" t="s">
        <v>62</v>
      </c>
      <c r="G224" s="7" t="s">
        <v>35</v>
      </c>
      <c r="H224" s="7">
        <v>316048</v>
      </c>
      <c r="I224" s="7" t="s">
        <v>122</v>
      </c>
      <c r="J224" s="24">
        <v>24</v>
      </c>
      <c r="K224" s="24">
        <v>3</v>
      </c>
      <c r="L224" s="24">
        <v>6</v>
      </c>
      <c r="M224" s="8" t="s">
        <v>228</v>
      </c>
      <c r="N224" s="8" t="s">
        <v>229</v>
      </c>
      <c r="O224" s="8" t="s">
        <v>227</v>
      </c>
    </row>
    <row r="225" spans="2:15" x14ac:dyDescent="0.25">
      <c r="B225" s="7" t="s">
        <v>39</v>
      </c>
      <c r="C225" s="17">
        <v>26394</v>
      </c>
      <c r="D225" s="7" t="s">
        <v>13</v>
      </c>
      <c r="E225" s="7" t="s">
        <v>138</v>
      </c>
      <c r="F225" s="7" t="s">
        <v>34</v>
      </c>
      <c r="G225" s="8" t="s">
        <v>72</v>
      </c>
      <c r="H225" s="8">
        <v>510745</v>
      </c>
      <c r="I225" s="7" t="s">
        <v>66</v>
      </c>
      <c r="J225" s="27">
        <v>8</v>
      </c>
      <c r="K225" s="27">
        <v>1</v>
      </c>
      <c r="L225" s="27">
        <v>9</v>
      </c>
      <c r="M225" s="18" t="s">
        <v>230</v>
      </c>
      <c r="N225" s="18" t="s">
        <v>231</v>
      </c>
      <c r="O225" s="8" t="s">
        <v>227</v>
      </c>
    </row>
    <row r="226" spans="2:15" x14ac:dyDescent="0.25">
      <c r="B226" s="7" t="s">
        <v>39</v>
      </c>
      <c r="C226" s="17">
        <v>22558</v>
      </c>
      <c r="D226" s="7" t="s">
        <v>12</v>
      </c>
      <c r="E226" s="7" t="s">
        <v>61</v>
      </c>
      <c r="F226" s="7" t="s">
        <v>171</v>
      </c>
      <c r="G226" s="8" t="s">
        <v>72</v>
      </c>
      <c r="H226" s="8">
        <v>510745</v>
      </c>
      <c r="I226" s="7" t="s">
        <v>66</v>
      </c>
      <c r="J226" s="27">
        <v>8</v>
      </c>
      <c r="K226" s="27">
        <v>1</v>
      </c>
      <c r="L226" s="27">
        <v>18</v>
      </c>
      <c r="M226" s="18" t="s">
        <v>232</v>
      </c>
      <c r="N226" s="18" t="s">
        <v>233</v>
      </c>
      <c r="O226" s="8" t="s">
        <v>227</v>
      </c>
    </row>
    <row r="227" spans="2:15" x14ac:dyDescent="0.25">
      <c r="B227" s="7" t="s">
        <v>39</v>
      </c>
      <c r="C227" s="17">
        <v>26399</v>
      </c>
      <c r="D227" s="7" t="s">
        <v>13</v>
      </c>
      <c r="E227" s="7" t="s">
        <v>138</v>
      </c>
      <c r="F227" s="7" t="s">
        <v>34</v>
      </c>
      <c r="G227" s="8" t="s">
        <v>72</v>
      </c>
      <c r="H227" s="8">
        <v>510745</v>
      </c>
      <c r="I227" s="7" t="s">
        <v>66</v>
      </c>
      <c r="J227" s="27">
        <v>8</v>
      </c>
      <c r="K227" s="27">
        <v>1</v>
      </c>
      <c r="L227" s="27">
        <v>9</v>
      </c>
      <c r="M227" s="18" t="s">
        <v>233</v>
      </c>
      <c r="N227" s="18" t="s">
        <v>234</v>
      </c>
      <c r="O227" s="8" t="s">
        <v>227</v>
      </c>
    </row>
    <row r="228" spans="2:15" x14ac:dyDescent="0.25">
      <c r="B228" s="7" t="s">
        <v>39</v>
      </c>
      <c r="C228" s="17">
        <v>27360</v>
      </c>
      <c r="D228" s="7" t="s">
        <v>14</v>
      </c>
      <c r="E228" s="7" t="s">
        <v>81</v>
      </c>
      <c r="F228" s="7" t="s">
        <v>40</v>
      </c>
      <c r="G228" s="7" t="s">
        <v>35</v>
      </c>
      <c r="H228" s="7">
        <v>489671</v>
      </c>
      <c r="I228" s="7" t="s">
        <v>98</v>
      </c>
      <c r="J228" s="24">
        <v>24</v>
      </c>
      <c r="K228" s="24">
        <v>3</v>
      </c>
      <c r="L228" s="24">
        <v>12</v>
      </c>
      <c r="M228" s="8" t="s">
        <v>232</v>
      </c>
      <c r="N228" s="8" t="s">
        <v>234</v>
      </c>
      <c r="O228" s="8" t="s">
        <v>227</v>
      </c>
    </row>
    <row r="229" spans="2:15" x14ac:dyDescent="0.25">
      <c r="B229" s="7" t="s">
        <v>39</v>
      </c>
      <c r="C229" s="17">
        <v>26164</v>
      </c>
      <c r="D229" s="7" t="s">
        <v>14</v>
      </c>
      <c r="E229" s="7" t="s">
        <v>81</v>
      </c>
      <c r="F229" s="7" t="s">
        <v>65</v>
      </c>
      <c r="G229" s="7" t="s">
        <v>35</v>
      </c>
      <c r="H229" s="7">
        <v>411339</v>
      </c>
      <c r="I229" s="7" t="s">
        <v>112</v>
      </c>
      <c r="J229" s="24">
        <v>24</v>
      </c>
      <c r="K229" s="24">
        <v>3</v>
      </c>
      <c r="L229" s="24">
        <v>12</v>
      </c>
      <c r="M229" s="8" t="s">
        <v>232</v>
      </c>
      <c r="N229" s="8" t="s">
        <v>234</v>
      </c>
      <c r="O229" s="8" t="s">
        <v>227</v>
      </c>
    </row>
    <row r="230" spans="2:15" x14ac:dyDescent="0.25">
      <c r="B230" s="7" t="s">
        <v>39</v>
      </c>
      <c r="C230" s="17">
        <v>29597</v>
      </c>
      <c r="D230" s="7" t="s">
        <v>12</v>
      </c>
      <c r="E230" s="7" t="s">
        <v>61</v>
      </c>
      <c r="F230" s="7" t="s">
        <v>235</v>
      </c>
      <c r="G230" s="8" t="s">
        <v>35</v>
      </c>
      <c r="H230" s="8">
        <v>510745</v>
      </c>
      <c r="I230" s="7" t="s">
        <v>66</v>
      </c>
      <c r="J230" s="27">
        <v>8</v>
      </c>
      <c r="K230" s="27">
        <v>1</v>
      </c>
      <c r="L230" s="27">
        <v>9</v>
      </c>
      <c r="M230" s="18" t="s">
        <v>236</v>
      </c>
      <c r="N230" s="18" t="s">
        <v>236</v>
      </c>
      <c r="O230" s="8" t="s">
        <v>227</v>
      </c>
    </row>
    <row r="231" spans="2:15" x14ac:dyDescent="0.25">
      <c r="B231" s="7" t="s">
        <v>39</v>
      </c>
      <c r="C231" s="17">
        <v>26097</v>
      </c>
      <c r="D231" s="7" t="s">
        <v>13</v>
      </c>
      <c r="E231" s="7" t="s">
        <v>138</v>
      </c>
      <c r="F231" s="7" t="s">
        <v>79</v>
      </c>
      <c r="G231" s="8" t="s">
        <v>35</v>
      </c>
      <c r="H231" s="8">
        <v>389970</v>
      </c>
      <c r="I231" s="7" t="s">
        <v>69</v>
      </c>
      <c r="J231" s="27">
        <v>16</v>
      </c>
      <c r="K231" s="27">
        <v>2</v>
      </c>
      <c r="L231" s="27">
        <v>20</v>
      </c>
      <c r="M231" s="18" t="s">
        <v>237</v>
      </c>
      <c r="N231" s="18" t="s">
        <v>238</v>
      </c>
      <c r="O231" s="8" t="s">
        <v>227</v>
      </c>
    </row>
    <row r="232" spans="2:15" x14ac:dyDescent="0.25">
      <c r="B232" s="7" t="s">
        <v>39</v>
      </c>
      <c r="C232" s="17">
        <v>26378</v>
      </c>
      <c r="D232" s="7" t="s">
        <v>13</v>
      </c>
      <c r="E232" s="7" t="s">
        <v>138</v>
      </c>
      <c r="F232" s="7" t="s">
        <v>34</v>
      </c>
      <c r="G232" s="8" t="s">
        <v>35</v>
      </c>
      <c r="H232" s="8">
        <v>374253</v>
      </c>
      <c r="I232" s="7" t="s">
        <v>41</v>
      </c>
      <c r="J232" s="27">
        <v>8</v>
      </c>
      <c r="K232" s="27">
        <v>1</v>
      </c>
      <c r="L232" s="27">
        <v>20</v>
      </c>
      <c r="M232" s="18" t="s">
        <v>239</v>
      </c>
      <c r="N232" s="18" t="s">
        <v>239</v>
      </c>
      <c r="O232" s="8" t="s">
        <v>227</v>
      </c>
    </row>
    <row r="233" spans="2:15" x14ac:dyDescent="0.25">
      <c r="B233" s="7" t="s">
        <v>39</v>
      </c>
      <c r="C233" s="17">
        <v>26380</v>
      </c>
      <c r="D233" s="7" t="s">
        <v>13</v>
      </c>
      <c r="E233" s="7" t="s">
        <v>138</v>
      </c>
      <c r="F233" s="7" t="s">
        <v>34</v>
      </c>
      <c r="G233" s="8" t="s">
        <v>35</v>
      </c>
      <c r="H233" s="8">
        <v>374253</v>
      </c>
      <c r="I233" s="7" t="s">
        <v>41</v>
      </c>
      <c r="J233" s="27">
        <v>8</v>
      </c>
      <c r="K233" s="27">
        <v>1</v>
      </c>
      <c r="L233" s="27">
        <v>20</v>
      </c>
      <c r="M233" s="18" t="s">
        <v>240</v>
      </c>
      <c r="N233" s="18" t="s">
        <v>240</v>
      </c>
      <c r="O233" s="8" t="s">
        <v>227</v>
      </c>
    </row>
    <row r="234" spans="2:15" x14ac:dyDescent="0.25">
      <c r="B234" s="7" t="s">
        <v>39</v>
      </c>
      <c r="C234" s="17">
        <v>27333</v>
      </c>
      <c r="D234" s="7" t="s">
        <v>14</v>
      </c>
      <c r="E234" s="7" t="s">
        <v>81</v>
      </c>
      <c r="F234" s="7" t="s">
        <v>40</v>
      </c>
      <c r="G234" s="7" t="s">
        <v>35</v>
      </c>
      <c r="H234" s="7">
        <v>489671</v>
      </c>
      <c r="I234" s="7" t="s">
        <v>98</v>
      </c>
      <c r="J234" s="24">
        <v>24</v>
      </c>
      <c r="K234" s="24">
        <v>3</v>
      </c>
      <c r="L234" s="24">
        <v>12</v>
      </c>
      <c r="M234" s="8" t="s">
        <v>238</v>
      </c>
      <c r="N234" s="8" t="s">
        <v>240</v>
      </c>
      <c r="O234" s="8" t="s">
        <v>227</v>
      </c>
    </row>
    <row r="235" spans="2:15" x14ac:dyDescent="0.25">
      <c r="B235" s="7" t="s">
        <v>39</v>
      </c>
      <c r="C235" s="17">
        <v>26165</v>
      </c>
      <c r="D235" s="7" t="s">
        <v>14</v>
      </c>
      <c r="E235" s="7" t="s">
        <v>81</v>
      </c>
      <c r="F235" s="7" t="s">
        <v>65</v>
      </c>
      <c r="G235" s="7" t="s">
        <v>35</v>
      </c>
      <c r="H235" s="7">
        <v>411339</v>
      </c>
      <c r="I235" s="7" t="s">
        <v>112</v>
      </c>
      <c r="J235" s="24">
        <v>24</v>
      </c>
      <c r="K235" s="24">
        <v>3</v>
      </c>
      <c r="L235" s="24">
        <v>10</v>
      </c>
      <c r="M235" s="8" t="s">
        <v>238</v>
      </c>
      <c r="N235" s="8" t="s">
        <v>240</v>
      </c>
      <c r="O235" s="8" t="s">
        <v>227</v>
      </c>
    </row>
    <row r="236" spans="2:15" x14ac:dyDescent="0.25">
      <c r="B236" s="7" t="s">
        <v>39</v>
      </c>
      <c r="C236" s="17">
        <v>26398</v>
      </c>
      <c r="D236" s="7" t="s">
        <v>13</v>
      </c>
      <c r="E236" s="7" t="s">
        <v>138</v>
      </c>
      <c r="F236" s="7" t="s">
        <v>34</v>
      </c>
      <c r="G236" s="8" t="s">
        <v>72</v>
      </c>
      <c r="H236" s="8">
        <v>510745</v>
      </c>
      <c r="I236" s="7" t="s">
        <v>66</v>
      </c>
      <c r="J236" s="27">
        <v>8</v>
      </c>
      <c r="K236" s="27">
        <v>1</v>
      </c>
      <c r="L236" s="27">
        <v>10</v>
      </c>
      <c r="M236" s="18" t="s">
        <v>240</v>
      </c>
      <c r="N236" s="18" t="s">
        <v>241</v>
      </c>
      <c r="O236" s="8" t="s">
        <v>227</v>
      </c>
    </row>
    <row r="237" spans="2:15" x14ac:dyDescent="0.25">
      <c r="B237" s="7" t="s">
        <v>39</v>
      </c>
      <c r="C237" s="17">
        <v>26386</v>
      </c>
      <c r="D237" s="7" t="s">
        <v>13</v>
      </c>
      <c r="E237" s="7" t="s">
        <v>138</v>
      </c>
      <c r="F237" s="7" t="s">
        <v>34</v>
      </c>
      <c r="G237" s="8" t="s">
        <v>35</v>
      </c>
      <c r="H237" s="8">
        <v>374253</v>
      </c>
      <c r="I237" s="7" t="s">
        <v>41</v>
      </c>
      <c r="J237" s="27">
        <v>8</v>
      </c>
      <c r="K237" s="27">
        <v>1</v>
      </c>
      <c r="L237" s="27">
        <v>20</v>
      </c>
      <c r="M237" s="18" t="s">
        <v>242</v>
      </c>
      <c r="N237" s="18" t="s">
        <v>242</v>
      </c>
      <c r="O237" s="8" t="s">
        <v>227</v>
      </c>
    </row>
    <row r="238" spans="2:15" x14ac:dyDescent="0.25">
      <c r="B238" s="7" t="s">
        <v>39</v>
      </c>
      <c r="C238" s="17">
        <v>24921</v>
      </c>
      <c r="D238" s="7" t="s">
        <v>7</v>
      </c>
      <c r="E238" s="7" t="s">
        <v>78</v>
      </c>
      <c r="F238" s="7" t="s">
        <v>79</v>
      </c>
      <c r="G238" s="8" t="s">
        <v>35</v>
      </c>
      <c r="H238" s="8">
        <v>354951</v>
      </c>
      <c r="I238" s="7" t="s">
        <v>63</v>
      </c>
      <c r="J238" s="27">
        <v>16</v>
      </c>
      <c r="K238" s="27">
        <v>2</v>
      </c>
      <c r="L238" s="27">
        <v>13</v>
      </c>
      <c r="M238" s="18" t="s">
        <v>243</v>
      </c>
      <c r="N238" s="18" t="s">
        <v>242</v>
      </c>
      <c r="O238" s="8" t="s">
        <v>227</v>
      </c>
    </row>
    <row r="239" spans="2:15" x14ac:dyDescent="0.25">
      <c r="B239" s="7" t="s">
        <v>39</v>
      </c>
      <c r="C239" s="17">
        <v>26383</v>
      </c>
      <c r="D239" s="7" t="s">
        <v>13</v>
      </c>
      <c r="E239" s="7" t="s">
        <v>138</v>
      </c>
      <c r="F239" s="7" t="s">
        <v>34</v>
      </c>
      <c r="G239" s="8" t="s">
        <v>35</v>
      </c>
      <c r="H239" s="8">
        <v>374253</v>
      </c>
      <c r="I239" s="7" t="s">
        <v>41</v>
      </c>
      <c r="J239" s="27">
        <v>8</v>
      </c>
      <c r="K239" s="27">
        <v>1</v>
      </c>
      <c r="L239" s="27">
        <v>20</v>
      </c>
      <c r="M239" s="18" t="s">
        <v>244</v>
      </c>
      <c r="N239" s="18" t="s">
        <v>244</v>
      </c>
      <c r="O239" s="8" t="s">
        <v>227</v>
      </c>
    </row>
    <row r="240" spans="2:15" x14ac:dyDescent="0.25">
      <c r="B240" s="7" t="s">
        <v>39</v>
      </c>
      <c r="C240" s="17">
        <v>28030</v>
      </c>
      <c r="D240" s="7" t="s">
        <v>14</v>
      </c>
      <c r="E240" s="7" t="s">
        <v>88</v>
      </c>
      <c r="F240" s="7" t="s">
        <v>94</v>
      </c>
      <c r="G240" s="7" t="s">
        <v>35</v>
      </c>
      <c r="H240" s="7" t="s">
        <v>95</v>
      </c>
      <c r="I240" s="7" t="s">
        <v>96</v>
      </c>
      <c r="J240" s="24">
        <v>16</v>
      </c>
      <c r="K240" s="24">
        <v>2</v>
      </c>
      <c r="L240" s="24">
        <v>7</v>
      </c>
      <c r="M240" s="8" t="s">
        <v>242</v>
      </c>
      <c r="N240" s="8" t="s">
        <v>244</v>
      </c>
      <c r="O240" s="8" t="s">
        <v>227</v>
      </c>
    </row>
    <row r="241" spans="2:15" x14ac:dyDescent="0.25">
      <c r="B241" s="7" t="s">
        <v>39</v>
      </c>
      <c r="C241" s="17">
        <v>26160</v>
      </c>
      <c r="D241" s="7" t="s">
        <v>14</v>
      </c>
      <c r="E241" s="7" t="s">
        <v>81</v>
      </c>
      <c r="F241" s="7" t="s">
        <v>65</v>
      </c>
      <c r="G241" s="7" t="s">
        <v>35</v>
      </c>
      <c r="H241" s="7">
        <v>350060</v>
      </c>
      <c r="I241" s="7" t="s">
        <v>36</v>
      </c>
      <c r="J241" s="24">
        <v>24</v>
      </c>
      <c r="K241" s="24">
        <v>3</v>
      </c>
      <c r="L241" s="24">
        <v>12</v>
      </c>
      <c r="M241" s="8" t="s">
        <v>242</v>
      </c>
      <c r="N241" s="8" t="s">
        <v>245</v>
      </c>
      <c r="O241" s="8" t="s">
        <v>227</v>
      </c>
    </row>
    <row r="242" spans="2:15" x14ac:dyDescent="0.25">
      <c r="B242" s="7" t="s">
        <v>39</v>
      </c>
      <c r="C242" s="17">
        <v>27341</v>
      </c>
      <c r="D242" s="7" t="s">
        <v>14</v>
      </c>
      <c r="E242" s="7" t="s">
        <v>81</v>
      </c>
      <c r="F242" s="7" t="s">
        <v>40</v>
      </c>
      <c r="G242" s="7" t="s">
        <v>35</v>
      </c>
      <c r="H242" s="7">
        <v>419491</v>
      </c>
      <c r="I242" s="7" t="s">
        <v>82</v>
      </c>
      <c r="J242" s="24">
        <v>24</v>
      </c>
      <c r="K242" s="24">
        <v>3</v>
      </c>
      <c r="L242" s="24">
        <v>12</v>
      </c>
      <c r="M242" s="8" t="s">
        <v>242</v>
      </c>
      <c r="N242" s="8" t="s">
        <v>245</v>
      </c>
      <c r="O242" s="8" t="s">
        <v>227</v>
      </c>
    </row>
    <row r="243" spans="2:15" x14ac:dyDescent="0.25">
      <c r="B243" s="7" t="s">
        <v>39</v>
      </c>
      <c r="C243" s="17">
        <v>25934</v>
      </c>
      <c r="D243" s="7" t="s">
        <v>14</v>
      </c>
      <c r="E243" s="7" t="s">
        <v>81</v>
      </c>
      <c r="F243" s="7" t="s">
        <v>68</v>
      </c>
      <c r="G243" s="7" t="s">
        <v>35</v>
      </c>
      <c r="H243" s="7">
        <v>316048</v>
      </c>
      <c r="I243" s="7" t="s">
        <v>122</v>
      </c>
      <c r="J243" s="24">
        <v>24</v>
      </c>
      <c r="K243" s="24">
        <v>3</v>
      </c>
      <c r="L243" s="24">
        <v>5</v>
      </c>
      <c r="M243" s="8" t="s">
        <v>242</v>
      </c>
      <c r="N243" s="8" t="s">
        <v>245</v>
      </c>
      <c r="O243" s="8" t="s">
        <v>227</v>
      </c>
    </row>
    <row r="244" spans="2:15" x14ac:dyDescent="0.25">
      <c r="B244" s="7" t="s">
        <v>39</v>
      </c>
      <c r="C244" s="17">
        <v>26092</v>
      </c>
      <c r="D244" s="7" t="s">
        <v>13</v>
      </c>
      <c r="E244" s="7" t="s">
        <v>138</v>
      </c>
      <c r="F244" s="7" t="s">
        <v>79</v>
      </c>
      <c r="G244" s="8" t="s">
        <v>35</v>
      </c>
      <c r="H244" s="8">
        <v>389970</v>
      </c>
      <c r="I244" s="7" t="s">
        <v>69</v>
      </c>
      <c r="J244" s="27">
        <v>16</v>
      </c>
      <c r="K244" s="27">
        <v>2</v>
      </c>
      <c r="L244" s="27">
        <v>20</v>
      </c>
      <c r="M244" s="18" t="s">
        <v>246</v>
      </c>
      <c r="N244" s="18" t="s">
        <v>247</v>
      </c>
      <c r="O244" s="8" t="s">
        <v>227</v>
      </c>
    </row>
    <row r="245" spans="2:15" x14ac:dyDescent="0.25">
      <c r="B245" s="7" t="s">
        <v>39</v>
      </c>
      <c r="C245" s="17">
        <v>21445</v>
      </c>
      <c r="D245" s="7" t="s">
        <v>13</v>
      </c>
      <c r="E245" s="7" t="s">
        <v>74</v>
      </c>
      <c r="F245" s="7" t="s">
        <v>89</v>
      </c>
      <c r="G245" s="8" t="s">
        <v>35</v>
      </c>
      <c r="H245" s="8">
        <v>354951</v>
      </c>
      <c r="I245" s="7" t="s">
        <v>63</v>
      </c>
      <c r="J245" s="27">
        <v>16</v>
      </c>
      <c r="K245" s="27">
        <v>2</v>
      </c>
      <c r="L245" s="27">
        <v>12</v>
      </c>
      <c r="M245" s="18" t="s">
        <v>246</v>
      </c>
      <c r="N245" s="18" t="s">
        <v>247</v>
      </c>
      <c r="O245" s="8" t="s">
        <v>227</v>
      </c>
    </row>
    <row r="246" spans="2:15" x14ac:dyDescent="0.25">
      <c r="B246" s="7" t="s">
        <v>39</v>
      </c>
      <c r="C246" s="17">
        <v>26379</v>
      </c>
      <c r="D246" s="7" t="s">
        <v>13</v>
      </c>
      <c r="E246" s="7" t="s">
        <v>138</v>
      </c>
      <c r="F246" s="7" t="s">
        <v>34</v>
      </c>
      <c r="G246" s="8" t="s">
        <v>35</v>
      </c>
      <c r="H246" s="8">
        <v>374253</v>
      </c>
      <c r="I246" s="7" t="s">
        <v>41</v>
      </c>
      <c r="J246" s="27">
        <v>8</v>
      </c>
      <c r="K246" s="27">
        <v>1</v>
      </c>
      <c r="L246" s="27">
        <v>20</v>
      </c>
      <c r="M246" s="18" t="s">
        <v>248</v>
      </c>
      <c r="N246" s="18" t="s">
        <v>248</v>
      </c>
      <c r="O246" s="8" t="s">
        <v>249</v>
      </c>
    </row>
    <row r="247" spans="2:15" x14ac:dyDescent="0.25">
      <c r="B247" s="7" t="s">
        <v>39</v>
      </c>
      <c r="C247" s="17">
        <v>26101</v>
      </c>
      <c r="D247" s="7" t="s">
        <v>13</v>
      </c>
      <c r="E247" s="7" t="s">
        <v>138</v>
      </c>
      <c r="F247" s="7" t="s">
        <v>79</v>
      </c>
      <c r="G247" s="8" t="s">
        <v>35</v>
      </c>
      <c r="H247" s="8">
        <v>389970</v>
      </c>
      <c r="I247" s="7" t="s">
        <v>69</v>
      </c>
      <c r="J247" s="27">
        <v>16</v>
      </c>
      <c r="K247" s="27">
        <v>2</v>
      </c>
      <c r="L247" s="27">
        <v>20</v>
      </c>
      <c r="M247" s="18" t="s">
        <v>250</v>
      </c>
      <c r="N247" s="18" t="s">
        <v>251</v>
      </c>
      <c r="O247" s="8" t="s">
        <v>249</v>
      </c>
    </row>
    <row r="248" spans="2:15" x14ac:dyDescent="0.25">
      <c r="B248" s="7" t="s">
        <v>39</v>
      </c>
      <c r="C248" s="17">
        <v>26106</v>
      </c>
      <c r="D248" s="7" t="s">
        <v>13</v>
      </c>
      <c r="E248" s="7" t="s">
        <v>138</v>
      </c>
      <c r="F248" s="7" t="s">
        <v>79</v>
      </c>
      <c r="G248" s="8" t="s">
        <v>35</v>
      </c>
      <c r="H248" s="8">
        <v>350060</v>
      </c>
      <c r="I248" s="7" t="s">
        <v>36</v>
      </c>
      <c r="J248" s="27">
        <v>16</v>
      </c>
      <c r="K248" s="27">
        <v>4</v>
      </c>
      <c r="L248" s="27">
        <v>9</v>
      </c>
      <c r="M248" s="18" t="s">
        <v>250</v>
      </c>
      <c r="N248" s="18" t="s">
        <v>252</v>
      </c>
      <c r="O248" s="8" t="s">
        <v>249</v>
      </c>
    </row>
    <row r="249" spans="2:15" x14ac:dyDescent="0.25">
      <c r="B249" s="7" t="s">
        <v>39</v>
      </c>
      <c r="C249" s="17">
        <v>26041</v>
      </c>
      <c r="D249" s="7" t="s">
        <v>14</v>
      </c>
      <c r="E249" s="7" t="s">
        <v>81</v>
      </c>
      <c r="F249" s="7" t="s">
        <v>199</v>
      </c>
      <c r="G249" s="7" t="s">
        <v>35</v>
      </c>
      <c r="H249" s="7">
        <v>489671</v>
      </c>
      <c r="I249" s="7" t="s">
        <v>98</v>
      </c>
      <c r="J249" s="24">
        <v>8</v>
      </c>
      <c r="K249" s="24">
        <v>2</v>
      </c>
      <c r="L249" s="24">
        <v>5</v>
      </c>
      <c r="M249" s="8" t="s">
        <v>253</v>
      </c>
      <c r="N249" s="8" t="s">
        <v>253</v>
      </c>
      <c r="O249" s="8" t="s">
        <v>249</v>
      </c>
    </row>
    <row r="250" spans="2:15" x14ac:dyDescent="0.25">
      <c r="B250" s="7" t="s">
        <v>39</v>
      </c>
      <c r="C250" s="17">
        <v>26099</v>
      </c>
      <c r="D250" s="7" t="s">
        <v>13</v>
      </c>
      <c r="E250" s="7" t="s">
        <v>138</v>
      </c>
      <c r="F250" s="7" t="s">
        <v>79</v>
      </c>
      <c r="G250" s="8" t="s">
        <v>35</v>
      </c>
      <c r="H250" s="8">
        <v>389970</v>
      </c>
      <c r="I250" s="7" t="s">
        <v>69</v>
      </c>
      <c r="J250" s="27">
        <v>16</v>
      </c>
      <c r="K250" s="27">
        <v>2</v>
      </c>
      <c r="L250" s="27">
        <v>20</v>
      </c>
      <c r="M250" s="18" t="s">
        <v>253</v>
      </c>
      <c r="N250" s="18" t="s">
        <v>254</v>
      </c>
      <c r="O250" s="8" t="s">
        <v>249</v>
      </c>
    </row>
    <row r="251" spans="2:15" x14ac:dyDescent="0.25">
      <c r="B251" s="7" t="s">
        <v>39</v>
      </c>
      <c r="C251" s="17">
        <v>24924</v>
      </c>
      <c r="D251" s="7" t="s">
        <v>7</v>
      </c>
      <c r="E251" s="7" t="s">
        <v>78</v>
      </c>
      <c r="F251" s="7" t="s">
        <v>79</v>
      </c>
      <c r="G251" s="8" t="s">
        <v>35</v>
      </c>
      <c r="H251" s="8">
        <v>354951</v>
      </c>
      <c r="I251" s="7" t="s">
        <v>63</v>
      </c>
      <c r="J251" s="27">
        <v>16</v>
      </c>
      <c r="K251" s="27">
        <v>2</v>
      </c>
      <c r="L251" s="27">
        <v>2</v>
      </c>
      <c r="M251" s="18" t="s">
        <v>253</v>
      </c>
      <c r="N251" s="18" t="s">
        <v>254</v>
      </c>
      <c r="O251" s="8" t="s">
        <v>249</v>
      </c>
    </row>
    <row r="252" spans="2:15" x14ac:dyDescent="0.25">
      <c r="B252" s="7" t="s">
        <v>39</v>
      </c>
      <c r="C252" s="17">
        <v>28031</v>
      </c>
      <c r="D252" s="7" t="s">
        <v>14</v>
      </c>
      <c r="E252" s="7" t="s">
        <v>88</v>
      </c>
      <c r="F252" s="7" t="s">
        <v>94</v>
      </c>
      <c r="G252" s="7" t="s">
        <v>35</v>
      </c>
      <c r="H252" s="7" t="s">
        <v>95</v>
      </c>
      <c r="I252" s="7" t="s">
        <v>96</v>
      </c>
      <c r="J252" s="24">
        <v>16</v>
      </c>
      <c r="K252" s="24">
        <v>2</v>
      </c>
      <c r="L252" s="24">
        <v>7</v>
      </c>
      <c r="M252" s="8" t="s">
        <v>253</v>
      </c>
      <c r="N252" s="8" t="s">
        <v>254</v>
      </c>
      <c r="O252" s="8" t="s">
        <v>249</v>
      </c>
    </row>
    <row r="253" spans="2:15" x14ac:dyDescent="0.25">
      <c r="B253" s="7" t="s">
        <v>39</v>
      </c>
      <c r="C253" s="17">
        <v>26392</v>
      </c>
      <c r="D253" s="7" t="s">
        <v>13</v>
      </c>
      <c r="E253" s="7" t="s">
        <v>138</v>
      </c>
      <c r="F253" s="7" t="s">
        <v>34</v>
      </c>
      <c r="G253" s="8" t="s">
        <v>72</v>
      </c>
      <c r="H253" s="8">
        <v>510745</v>
      </c>
      <c r="I253" s="7" t="s">
        <v>66</v>
      </c>
      <c r="J253" s="27">
        <v>8</v>
      </c>
      <c r="K253" s="27">
        <v>1</v>
      </c>
      <c r="L253" s="27">
        <v>18</v>
      </c>
      <c r="M253" s="18" t="s">
        <v>255</v>
      </c>
      <c r="N253" s="18" t="s">
        <v>256</v>
      </c>
      <c r="O253" s="8" t="s">
        <v>249</v>
      </c>
    </row>
    <row r="254" spans="2:15" x14ac:dyDescent="0.25">
      <c r="B254" s="7" t="s">
        <v>39</v>
      </c>
      <c r="C254" s="17">
        <v>26100</v>
      </c>
      <c r="D254" s="7" t="s">
        <v>13</v>
      </c>
      <c r="E254" s="7" t="s">
        <v>138</v>
      </c>
      <c r="F254" s="7" t="s">
        <v>79</v>
      </c>
      <c r="G254" s="8" t="s">
        <v>35</v>
      </c>
      <c r="H254" s="8">
        <v>389970</v>
      </c>
      <c r="I254" s="7" t="s">
        <v>69</v>
      </c>
      <c r="J254" s="27">
        <v>16</v>
      </c>
      <c r="K254" s="27">
        <v>2</v>
      </c>
      <c r="L254" s="27">
        <v>20</v>
      </c>
      <c r="M254" s="18" t="s">
        <v>256</v>
      </c>
      <c r="N254" s="18" t="s">
        <v>257</v>
      </c>
      <c r="O254" s="8" t="s">
        <v>249</v>
      </c>
    </row>
    <row r="255" spans="2:15" x14ac:dyDescent="0.25">
      <c r="B255" s="7" t="s">
        <v>39</v>
      </c>
      <c r="C255" s="17">
        <v>24753</v>
      </c>
      <c r="D255" s="7" t="s">
        <v>7</v>
      </c>
      <c r="E255" s="7" t="s">
        <v>78</v>
      </c>
      <c r="F255" s="7" t="s">
        <v>40</v>
      </c>
      <c r="G255" s="8" t="s">
        <v>35</v>
      </c>
      <c r="H255" s="8">
        <v>354951</v>
      </c>
      <c r="I255" s="7" t="s">
        <v>63</v>
      </c>
      <c r="J255" s="27">
        <v>24</v>
      </c>
      <c r="K255" s="27">
        <v>3</v>
      </c>
      <c r="L255" s="27">
        <v>5</v>
      </c>
      <c r="M255" s="18" t="s">
        <v>258</v>
      </c>
      <c r="N255" s="18" t="s">
        <v>259</v>
      </c>
      <c r="O255" s="8" t="s">
        <v>249</v>
      </c>
    </row>
    <row r="256" spans="2:15" x14ac:dyDescent="0.25">
      <c r="B256" s="7" t="s">
        <v>39</v>
      </c>
      <c r="C256" s="17">
        <v>26102</v>
      </c>
      <c r="D256" s="7" t="s">
        <v>13</v>
      </c>
      <c r="E256" s="7" t="s">
        <v>138</v>
      </c>
      <c r="F256" s="7" t="s">
        <v>79</v>
      </c>
      <c r="G256" s="8" t="s">
        <v>35</v>
      </c>
      <c r="H256" s="8">
        <v>389970</v>
      </c>
      <c r="I256" s="7" t="s">
        <v>69</v>
      </c>
      <c r="J256" s="27">
        <v>16</v>
      </c>
      <c r="K256" s="27">
        <v>2</v>
      </c>
      <c r="L256" s="27">
        <v>20</v>
      </c>
      <c r="M256" s="18" t="s">
        <v>260</v>
      </c>
      <c r="N256" s="18" t="s">
        <v>261</v>
      </c>
      <c r="O256" s="8" t="s">
        <v>249</v>
      </c>
    </row>
    <row r="257" spans="2:15" x14ac:dyDescent="0.25">
      <c r="B257" s="7" t="s">
        <v>262</v>
      </c>
      <c r="C257" s="17">
        <v>29234</v>
      </c>
      <c r="D257" s="7" t="s">
        <v>14</v>
      </c>
      <c r="E257" s="7" t="s">
        <v>263</v>
      </c>
      <c r="F257" s="7" t="s">
        <v>159</v>
      </c>
      <c r="G257" s="7" t="s">
        <v>35</v>
      </c>
      <c r="H257" s="7">
        <v>686135</v>
      </c>
      <c r="I257" s="7" t="s">
        <v>265</v>
      </c>
      <c r="J257" s="24">
        <v>16</v>
      </c>
      <c r="K257" s="24">
        <v>2</v>
      </c>
      <c r="L257" s="24">
        <v>8</v>
      </c>
      <c r="M257" s="8" t="s">
        <v>267</v>
      </c>
      <c r="N257" s="18">
        <v>44317</v>
      </c>
      <c r="O257" s="8" t="s">
        <v>60</v>
      </c>
    </row>
    <row r="258" spans="2:15" x14ac:dyDescent="0.25">
      <c r="B258" s="7" t="s">
        <v>268</v>
      </c>
      <c r="C258" s="17">
        <v>25606</v>
      </c>
      <c r="D258" s="7" t="s">
        <v>14</v>
      </c>
      <c r="E258" s="7" t="s">
        <v>269</v>
      </c>
      <c r="F258" s="7" t="s">
        <v>159</v>
      </c>
      <c r="G258" s="7" t="s">
        <v>35</v>
      </c>
      <c r="H258" s="7">
        <v>316211</v>
      </c>
      <c r="I258" s="7" t="s">
        <v>270</v>
      </c>
      <c r="J258" s="24">
        <v>16</v>
      </c>
      <c r="K258" s="24">
        <v>2</v>
      </c>
      <c r="L258" s="24">
        <v>5</v>
      </c>
      <c r="M258" s="8" t="s">
        <v>271</v>
      </c>
      <c r="N258" s="18">
        <v>44320</v>
      </c>
      <c r="O258" s="8" t="s">
        <v>77</v>
      </c>
    </row>
    <row r="259" spans="2:15" x14ac:dyDescent="0.25">
      <c r="B259" s="7" t="s">
        <v>262</v>
      </c>
      <c r="C259" s="17">
        <v>23205</v>
      </c>
      <c r="D259" s="7" t="s">
        <v>14</v>
      </c>
      <c r="E259" s="7" t="s">
        <v>263</v>
      </c>
      <c r="F259" s="7" t="s">
        <v>264</v>
      </c>
      <c r="G259" s="7" t="s">
        <v>35</v>
      </c>
      <c r="H259" s="7">
        <v>686135</v>
      </c>
      <c r="I259" s="7" t="s">
        <v>265</v>
      </c>
      <c r="J259" s="24">
        <v>8</v>
      </c>
      <c r="K259" s="24">
        <v>1</v>
      </c>
      <c r="L259" s="24">
        <v>8</v>
      </c>
      <c r="M259" s="8" t="s">
        <v>272</v>
      </c>
      <c r="N259" s="18">
        <v>44320</v>
      </c>
      <c r="O259" s="8" t="s">
        <v>77</v>
      </c>
    </row>
    <row r="260" spans="2:15" x14ac:dyDescent="0.25">
      <c r="B260" s="7" t="s">
        <v>273</v>
      </c>
      <c r="C260" s="17">
        <v>24901</v>
      </c>
      <c r="D260" s="7" t="s">
        <v>14</v>
      </c>
      <c r="E260" s="7" t="s">
        <v>263</v>
      </c>
      <c r="F260" s="7" t="s">
        <v>84</v>
      </c>
      <c r="G260" s="7" t="s">
        <v>35</v>
      </c>
      <c r="H260" s="7">
        <v>520356</v>
      </c>
      <c r="I260" s="7" t="s">
        <v>274</v>
      </c>
      <c r="J260" s="24">
        <v>16</v>
      </c>
      <c r="K260" s="24">
        <v>2</v>
      </c>
      <c r="L260" s="24">
        <v>8</v>
      </c>
      <c r="M260" s="8" t="s">
        <v>275</v>
      </c>
      <c r="N260" s="18">
        <v>44323</v>
      </c>
      <c r="O260" s="8" t="s">
        <v>77</v>
      </c>
    </row>
    <row r="261" spans="2:15" x14ac:dyDescent="0.25">
      <c r="B261" s="7" t="s">
        <v>276</v>
      </c>
      <c r="C261" s="17">
        <v>30820</v>
      </c>
      <c r="D261" s="7" t="s">
        <v>14</v>
      </c>
      <c r="E261" s="7" t="s">
        <v>269</v>
      </c>
      <c r="F261" s="7" t="s">
        <v>89</v>
      </c>
      <c r="G261" s="7" t="s">
        <v>35</v>
      </c>
      <c r="H261" s="7">
        <v>197260</v>
      </c>
      <c r="I261" s="7" t="s">
        <v>277</v>
      </c>
      <c r="J261" s="24">
        <v>16</v>
      </c>
      <c r="K261" s="24">
        <v>2</v>
      </c>
      <c r="L261" s="24">
        <v>10</v>
      </c>
      <c r="M261" s="8" t="s">
        <v>275</v>
      </c>
      <c r="N261" s="18">
        <v>44323</v>
      </c>
      <c r="O261" s="8" t="s">
        <v>77</v>
      </c>
    </row>
    <row r="262" spans="2:15" x14ac:dyDescent="0.25">
      <c r="B262" s="7" t="s">
        <v>278</v>
      </c>
      <c r="C262" s="17">
        <v>25645</v>
      </c>
      <c r="D262" s="7" t="s">
        <v>14</v>
      </c>
      <c r="E262" s="7" t="s">
        <v>269</v>
      </c>
      <c r="F262" s="7" t="s">
        <v>279</v>
      </c>
      <c r="G262" s="7" t="s">
        <v>35</v>
      </c>
      <c r="H262" s="7">
        <v>679358</v>
      </c>
      <c r="I262" s="7" t="s">
        <v>280</v>
      </c>
      <c r="J262" s="24">
        <v>16</v>
      </c>
      <c r="K262" s="24">
        <v>2</v>
      </c>
      <c r="L262" s="24">
        <v>5</v>
      </c>
      <c r="M262" s="8" t="s">
        <v>281</v>
      </c>
      <c r="N262" s="18">
        <v>44334</v>
      </c>
      <c r="O262" s="8" t="s">
        <v>77</v>
      </c>
    </row>
    <row r="263" spans="2:15" x14ac:dyDescent="0.25">
      <c r="B263" s="7" t="s">
        <v>273</v>
      </c>
      <c r="C263" s="17">
        <v>24904</v>
      </c>
      <c r="D263" s="7" t="s">
        <v>14</v>
      </c>
      <c r="E263" s="7" t="s">
        <v>263</v>
      </c>
      <c r="F263" s="7" t="s">
        <v>84</v>
      </c>
      <c r="G263" s="7" t="s">
        <v>35</v>
      </c>
      <c r="H263" s="7">
        <v>402802</v>
      </c>
      <c r="I263" s="7" t="s">
        <v>282</v>
      </c>
      <c r="J263" s="24">
        <v>16</v>
      </c>
      <c r="K263" s="24">
        <v>2</v>
      </c>
      <c r="L263" s="24">
        <v>10</v>
      </c>
      <c r="M263" s="8" t="s">
        <v>86</v>
      </c>
      <c r="N263" s="18">
        <v>44335</v>
      </c>
      <c r="O263" s="8" t="s">
        <v>77</v>
      </c>
    </row>
    <row r="264" spans="2:15" x14ac:dyDescent="0.25">
      <c r="B264" s="7" t="s">
        <v>273</v>
      </c>
      <c r="C264" s="17">
        <v>29102</v>
      </c>
      <c r="D264" s="7" t="s">
        <v>14</v>
      </c>
      <c r="E264" s="7" t="s">
        <v>263</v>
      </c>
      <c r="F264" s="7" t="s">
        <v>89</v>
      </c>
      <c r="G264" s="7" t="s">
        <v>35</v>
      </c>
      <c r="H264" s="7">
        <v>203699</v>
      </c>
      <c r="I264" s="7" t="s">
        <v>283</v>
      </c>
      <c r="J264" s="24">
        <v>16</v>
      </c>
      <c r="K264" s="24">
        <v>2</v>
      </c>
      <c r="L264" s="24">
        <v>10</v>
      </c>
      <c r="M264" s="8" t="s">
        <v>284</v>
      </c>
      <c r="N264" s="18">
        <v>44337</v>
      </c>
      <c r="O264" s="8" t="s">
        <v>77</v>
      </c>
    </row>
    <row r="265" spans="2:15" x14ac:dyDescent="0.25">
      <c r="B265" s="7" t="s">
        <v>276</v>
      </c>
      <c r="C265" s="17">
        <v>30821</v>
      </c>
      <c r="D265" s="7" t="s">
        <v>14</v>
      </c>
      <c r="E265" s="7" t="s">
        <v>269</v>
      </c>
      <c r="F265" s="7" t="s">
        <v>89</v>
      </c>
      <c r="G265" s="7" t="s">
        <v>35</v>
      </c>
      <c r="H265" s="7">
        <v>197260</v>
      </c>
      <c r="I265" s="7" t="s">
        <v>277</v>
      </c>
      <c r="J265" s="24">
        <v>16</v>
      </c>
      <c r="K265" s="24">
        <v>2</v>
      </c>
      <c r="L265" s="24">
        <v>10</v>
      </c>
      <c r="M265" s="8" t="s">
        <v>284</v>
      </c>
      <c r="N265" s="18">
        <v>44337</v>
      </c>
      <c r="O265" s="8" t="s">
        <v>77</v>
      </c>
    </row>
    <row r="266" spans="2:15" x14ac:dyDescent="0.25">
      <c r="B266" s="7" t="s">
        <v>285</v>
      </c>
      <c r="C266" s="17">
        <v>27786</v>
      </c>
      <c r="D266" s="7" t="s">
        <v>14</v>
      </c>
      <c r="E266" s="7" t="s">
        <v>88</v>
      </c>
      <c r="F266" s="7" t="s">
        <v>264</v>
      </c>
      <c r="G266" s="7" t="s">
        <v>35</v>
      </c>
      <c r="H266" s="7">
        <v>433424</v>
      </c>
      <c r="I266" s="7" t="s">
        <v>286</v>
      </c>
      <c r="J266" s="24">
        <v>8</v>
      </c>
      <c r="K266" s="24">
        <v>1</v>
      </c>
      <c r="L266" s="24">
        <v>7</v>
      </c>
      <c r="M266" s="8" t="s">
        <v>93</v>
      </c>
      <c r="N266" s="18">
        <v>44342</v>
      </c>
      <c r="O266" s="8" t="s">
        <v>77</v>
      </c>
    </row>
    <row r="267" spans="2:15" x14ac:dyDescent="0.25">
      <c r="B267" s="7" t="s">
        <v>273</v>
      </c>
      <c r="C267" s="17">
        <v>29103</v>
      </c>
      <c r="D267" s="7" t="s">
        <v>14</v>
      </c>
      <c r="E267" s="7" t="s">
        <v>263</v>
      </c>
      <c r="F267" s="7" t="s">
        <v>89</v>
      </c>
      <c r="G267" s="7" t="s">
        <v>35</v>
      </c>
      <c r="H267" s="7">
        <v>203699</v>
      </c>
      <c r="I267" s="7" t="s">
        <v>283</v>
      </c>
      <c r="J267" s="24">
        <v>16</v>
      </c>
      <c r="K267" s="24">
        <v>2</v>
      </c>
      <c r="L267" s="24">
        <v>8</v>
      </c>
      <c r="M267" s="8" t="s">
        <v>97</v>
      </c>
      <c r="N267" s="18">
        <v>44344</v>
      </c>
      <c r="O267" s="8" t="s">
        <v>77</v>
      </c>
    </row>
    <row r="268" spans="2:15" x14ac:dyDescent="0.25">
      <c r="B268" s="7" t="s">
        <v>285</v>
      </c>
      <c r="C268" s="17">
        <v>27818</v>
      </c>
      <c r="D268" s="7" t="s">
        <v>14</v>
      </c>
      <c r="E268" s="7" t="s">
        <v>88</v>
      </c>
      <c r="F268" s="7" t="s">
        <v>89</v>
      </c>
      <c r="G268" s="7" t="s">
        <v>35</v>
      </c>
      <c r="H268" s="7">
        <v>318824</v>
      </c>
      <c r="I268" s="7" t="s">
        <v>287</v>
      </c>
      <c r="J268" s="24">
        <v>16</v>
      </c>
      <c r="K268" s="24">
        <v>2</v>
      </c>
      <c r="L268" s="24">
        <v>7</v>
      </c>
      <c r="M268" s="8" t="s">
        <v>97</v>
      </c>
      <c r="N268" s="18">
        <v>44344</v>
      </c>
      <c r="O268" s="8" t="s">
        <v>77</v>
      </c>
    </row>
    <row r="269" spans="2:15" x14ac:dyDescent="0.25">
      <c r="B269" s="7" t="s">
        <v>273</v>
      </c>
      <c r="C269" s="17">
        <v>29104</v>
      </c>
      <c r="D269" s="7" t="s">
        <v>14</v>
      </c>
      <c r="E269" s="7" t="s">
        <v>263</v>
      </c>
      <c r="F269" s="7" t="s">
        <v>89</v>
      </c>
      <c r="G269" s="7" t="s">
        <v>35</v>
      </c>
      <c r="H269" s="7">
        <v>203699</v>
      </c>
      <c r="I269" s="7" t="s">
        <v>283</v>
      </c>
      <c r="J269" s="24">
        <v>16</v>
      </c>
      <c r="K269" s="24">
        <v>2</v>
      </c>
      <c r="L269" s="24">
        <v>8</v>
      </c>
      <c r="M269" s="8" t="s">
        <v>99</v>
      </c>
      <c r="N269" s="8" t="s">
        <v>101</v>
      </c>
      <c r="O269" s="8" t="s">
        <v>100</v>
      </c>
    </row>
    <row r="270" spans="2:15" x14ac:dyDescent="0.25">
      <c r="B270" s="7" t="s">
        <v>262</v>
      </c>
      <c r="C270" s="17">
        <v>27999</v>
      </c>
      <c r="D270" s="7" t="s">
        <v>14</v>
      </c>
      <c r="E270" s="7" t="s">
        <v>88</v>
      </c>
      <c r="F270" s="7" t="s">
        <v>288</v>
      </c>
      <c r="G270" s="7" t="s">
        <v>35</v>
      </c>
      <c r="H270" s="7">
        <v>686135</v>
      </c>
      <c r="I270" s="7" t="s">
        <v>265</v>
      </c>
      <c r="J270" s="24">
        <v>16</v>
      </c>
      <c r="K270" s="24">
        <v>2</v>
      </c>
      <c r="L270" s="24">
        <v>6</v>
      </c>
      <c r="M270" s="8" t="s">
        <v>99</v>
      </c>
      <c r="N270" s="8" t="s">
        <v>101</v>
      </c>
      <c r="O270" s="8" t="s">
        <v>100</v>
      </c>
    </row>
    <row r="271" spans="2:15" x14ac:dyDescent="0.25">
      <c r="B271" s="7" t="s">
        <v>262</v>
      </c>
      <c r="C271" s="17">
        <v>28003</v>
      </c>
      <c r="D271" s="7" t="s">
        <v>14</v>
      </c>
      <c r="E271" s="7" t="s">
        <v>88</v>
      </c>
      <c r="F271" s="7" t="s">
        <v>288</v>
      </c>
      <c r="G271" s="7" t="s">
        <v>35</v>
      </c>
      <c r="H271" s="7">
        <v>686135</v>
      </c>
      <c r="I271" s="7" t="s">
        <v>265</v>
      </c>
      <c r="J271" s="24">
        <v>16</v>
      </c>
      <c r="K271" s="24">
        <v>2</v>
      </c>
      <c r="L271" s="24">
        <v>8</v>
      </c>
      <c r="M271" s="8" t="s">
        <v>289</v>
      </c>
      <c r="N271" s="8" t="s">
        <v>290</v>
      </c>
      <c r="O271" s="8" t="s">
        <v>100</v>
      </c>
    </row>
    <row r="272" spans="2:15" x14ac:dyDescent="0.25">
      <c r="B272" s="7" t="s">
        <v>273</v>
      </c>
      <c r="C272" s="17">
        <v>29101</v>
      </c>
      <c r="D272" s="7" t="s">
        <v>14</v>
      </c>
      <c r="E272" s="7" t="s">
        <v>263</v>
      </c>
      <c r="F272" s="7" t="s">
        <v>89</v>
      </c>
      <c r="G272" s="7" t="s">
        <v>35</v>
      </c>
      <c r="H272" s="7">
        <v>203699</v>
      </c>
      <c r="I272" s="7" t="s">
        <v>283</v>
      </c>
      <c r="J272" s="24">
        <v>16</v>
      </c>
      <c r="K272" s="24">
        <v>2</v>
      </c>
      <c r="L272" s="24">
        <v>10</v>
      </c>
      <c r="M272" s="8" t="s">
        <v>289</v>
      </c>
      <c r="N272" s="8" t="s">
        <v>290</v>
      </c>
      <c r="O272" s="8" t="s">
        <v>100</v>
      </c>
    </row>
    <row r="273" spans="2:15" x14ac:dyDescent="0.25">
      <c r="B273" s="7" t="s">
        <v>276</v>
      </c>
      <c r="C273" s="17">
        <v>30822</v>
      </c>
      <c r="D273" s="7" t="s">
        <v>14</v>
      </c>
      <c r="E273" s="7" t="s">
        <v>269</v>
      </c>
      <c r="F273" s="7" t="s">
        <v>89</v>
      </c>
      <c r="G273" s="7" t="s">
        <v>35</v>
      </c>
      <c r="H273" s="7">
        <v>197260</v>
      </c>
      <c r="I273" s="7" t="s">
        <v>277</v>
      </c>
      <c r="J273" s="24">
        <v>16</v>
      </c>
      <c r="K273" s="24">
        <v>2</v>
      </c>
      <c r="L273" s="24">
        <v>8</v>
      </c>
      <c r="M273" s="8" t="s">
        <v>289</v>
      </c>
      <c r="N273" s="8" t="s">
        <v>290</v>
      </c>
      <c r="O273" s="8" t="s">
        <v>100</v>
      </c>
    </row>
    <row r="274" spans="2:15" x14ac:dyDescent="0.25">
      <c r="B274" s="7" t="s">
        <v>285</v>
      </c>
      <c r="C274" s="17">
        <v>29238</v>
      </c>
      <c r="D274" s="7" t="s">
        <v>14</v>
      </c>
      <c r="E274" s="7" t="s">
        <v>263</v>
      </c>
      <c r="F274" s="7" t="s">
        <v>159</v>
      </c>
      <c r="G274" s="7" t="s">
        <v>35</v>
      </c>
      <c r="H274" s="7">
        <v>365499</v>
      </c>
      <c r="I274" s="7" t="s">
        <v>291</v>
      </c>
      <c r="J274" s="24">
        <v>16</v>
      </c>
      <c r="K274" s="24">
        <v>2</v>
      </c>
      <c r="L274" s="24">
        <v>12</v>
      </c>
      <c r="M274" s="8" t="s">
        <v>292</v>
      </c>
      <c r="N274" s="8" t="s">
        <v>293</v>
      </c>
      <c r="O274" s="8" t="s">
        <v>100</v>
      </c>
    </row>
    <row r="275" spans="2:15" x14ac:dyDescent="0.25">
      <c r="B275" s="7" t="s">
        <v>285</v>
      </c>
      <c r="C275" s="17">
        <v>27973</v>
      </c>
      <c r="D275" s="7" t="s">
        <v>14</v>
      </c>
      <c r="E275" s="7" t="s">
        <v>88</v>
      </c>
      <c r="F275" s="7" t="s">
        <v>294</v>
      </c>
      <c r="G275" s="7" t="s">
        <v>35</v>
      </c>
      <c r="H275" s="7">
        <v>318824</v>
      </c>
      <c r="I275" s="7" t="s">
        <v>287</v>
      </c>
      <c r="J275" s="24">
        <v>8</v>
      </c>
      <c r="K275" s="24">
        <v>1</v>
      </c>
      <c r="L275" s="24">
        <v>6</v>
      </c>
      <c r="M275" s="8" t="s">
        <v>295</v>
      </c>
      <c r="N275" s="8" t="s">
        <v>295</v>
      </c>
      <c r="O275" s="8" t="s">
        <v>100</v>
      </c>
    </row>
    <row r="276" spans="2:15" x14ac:dyDescent="0.25">
      <c r="B276" s="7" t="s">
        <v>285</v>
      </c>
      <c r="C276" s="17">
        <v>27974</v>
      </c>
      <c r="D276" s="7" t="s">
        <v>14</v>
      </c>
      <c r="E276" s="7" t="s">
        <v>88</v>
      </c>
      <c r="F276" s="7" t="s">
        <v>294</v>
      </c>
      <c r="G276" s="7" t="s">
        <v>35</v>
      </c>
      <c r="H276" s="7">
        <v>280104</v>
      </c>
      <c r="I276" s="7" t="s">
        <v>296</v>
      </c>
      <c r="J276" s="24">
        <v>8</v>
      </c>
      <c r="K276" s="24">
        <v>1</v>
      </c>
      <c r="L276" s="24">
        <v>6</v>
      </c>
      <c r="M276" s="8" t="s">
        <v>102</v>
      </c>
      <c r="N276" s="8" t="s">
        <v>102</v>
      </c>
      <c r="O276" s="8" t="s">
        <v>100</v>
      </c>
    </row>
    <row r="277" spans="2:15" x14ac:dyDescent="0.25">
      <c r="B277" s="7" t="s">
        <v>297</v>
      </c>
      <c r="C277" s="17">
        <v>29105</v>
      </c>
      <c r="D277" s="7" t="s">
        <v>14</v>
      </c>
      <c r="E277" s="7" t="s">
        <v>263</v>
      </c>
      <c r="F277" s="7" t="s">
        <v>89</v>
      </c>
      <c r="G277" s="7" t="s">
        <v>35</v>
      </c>
      <c r="H277" s="7">
        <v>433424</v>
      </c>
      <c r="I277" s="7" t="s">
        <v>286</v>
      </c>
      <c r="J277" s="24">
        <v>16</v>
      </c>
      <c r="K277" s="24">
        <v>2</v>
      </c>
      <c r="L277" s="24">
        <v>5</v>
      </c>
      <c r="M277" s="8" t="s">
        <v>102</v>
      </c>
      <c r="N277" s="8" t="s">
        <v>103</v>
      </c>
      <c r="O277" s="8" t="s">
        <v>100</v>
      </c>
    </row>
    <row r="278" spans="2:15" x14ac:dyDescent="0.25">
      <c r="B278" s="7" t="s">
        <v>262</v>
      </c>
      <c r="C278" s="17">
        <v>28001</v>
      </c>
      <c r="D278" s="7" t="s">
        <v>14</v>
      </c>
      <c r="E278" s="7" t="s">
        <v>88</v>
      </c>
      <c r="F278" s="7" t="s">
        <v>288</v>
      </c>
      <c r="G278" s="7" t="s">
        <v>35</v>
      </c>
      <c r="H278" s="7">
        <v>686135</v>
      </c>
      <c r="I278" s="7" t="s">
        <v>265</v>
      </c>
      <c r="J278" s="24">
        <v>16</v>
      </c>
      <c r="K278" s="24">
        <v>2</v>
      </c>
      <c r="L278" s="24">
        <v>8</v>
      </c>
      <c r="M278" s="8" t="s">
        <v>102</v>
      </c>
      <c r="N278" s="8" t="s">
        <v>103</v>
      </c>
      <c r="O278" s="8" t="s">
        <v>100</v>
      </c>
    </row>
    <row r="279" spans="2:15" x14ac:dyDescent="0.25">
      <c r="B279" s="7" t="s">
        <v>262</v>
      </c>
      <c r="C279" s="17">
        <v>28000</v>
      </c>
      <c r="D279" s="7" t="s">
        <v>14</v>
      </c>
      <c r="E279" s="7" t="s">
        <v>88</v>
      </c>
      <c r="F279" s="7" t="s">
        <v>288</v>
      </c>
      <c r="G279" s="7" t="s">
        <v>35</v>
      </c>
      <c r="H279" s="7">
        <v>686135</v>
      </c>
      <c r="I279" s="7" t="s">
        <v>265</v>
      </c>
      <c r="J279" s="24">
        <v>16</v>
      </c>
      <c r="K279" s="24">
        <v>2</v>
      </c>
      <c r="L279" s="24">
        <v>8</v>
      </c>
      <c r="M279" s="8" t="s">
        <v>104</v>
      </c>
      <c r="N279" s="8" t="s">
        <v>298</v>
      </c>
      <c r="O279" s="8" t="s">
        <v>100</v>
      </c>
    </row>
    <row r="280" spans="2:15" x14ac:dyDescent="0.25">
      <c r="B280" s="7" t="s">
        <v>262</v>
      </c>
      <c r="C280" s="17">
        <v>28002</v>
      </c>
      <c r="D280" s="7" t="s">
        <v>14</v>
      </c>
      <c r="E280" s="7" t="s">
        <v>88</v>
      </c>
      <c r="F280" s="7" t="s">
        <v>288</v>
      </c>
      <c r="G280" s="7" t="s">
        <v>35</v>
      </c>
      <c r="H280" s="7">
        <v>686135</v>
      </c>
      <c r="I280" s="7" t="s">
        <v>265</v>
      </c>
      <c r="J280" s="24">
        <v>16</v>
      </c>
      <c r="K280" s="24">
        <v>2</v>
      </c>
      <c r="L280" s="24">
        <v>7</v>
      </c>
      <c r="M280" s="8" t="s">
        <v>299</v>
      </c>
      <c r="N280" s="8" t="s">
        <v>300</v>
      </c>
      <c r="O280" s="8" t="s">
        <v>100</v>
      </c>
    </row>
    <row r="281" spans="2:15" x14ac:dyDescent="0.25">
      <c r="B281" s="7" t="s">
        <v>268</v>
      </c>
      <c r="C281" s="17">
        <v>25602</v>
      </c>
      <c r="D281" s="7" t="s">
        <v>14</v>
      </c>
      <c r="E281" s="7" t="s">
        <v>269</v>
      </c>
      <c r="F281" s="7" t="s">
        <v>62</v>
      </c>
      <c r="G281" s="7" t="s">
        <v>35</v>
      </c>
      <c r="H281" s="7">
        <v>341401</v>
      </c>
      <c r="I281" s="7" t="s">
        <v>301</v>
      </c>
      <c r="J281" s="24">
        <v>24</v>
      </c>
      <c r="K281" s="24">
        <v>3</v>
      </c>
      <c r="L281" s="24">
        <v>5</v>
      </c>
      <c r="M281" s="8" t="s">
        <v>299</v>
      </c>
      <c r="N281" s="8" t="s">
        <v>107</v>
      </c>
      <c r="O281" s="8" t="s">
        <v>100</v>
      </c>
    </row>
    <row r="282" spans="2:15" x14ac:dyDescent="0.25">
      <c r="B282" s="7" t="s">
        <v>262</v>
      </c>
      <c r="C282" s="17">
        <v>27811</v>
      </c>
      <c r="D282" s="7" t="s">
        <v>14</v>
      </c>
      <c r="E282" s="7" t="s">
        <v>88</v>
      </c>
      <c r="F282" s="7" t="s">
        <v>302</v>
      </c>
      <c r="G282" s="7" t="s">
        <v>35</v>
      </c>
      <c r="H282" s="7">
        <v>686135</v>
      </c>
      <c r="I282" s="7" t="s">
        <v>265</v>
      </c>
      <c r="J282" s="24">
        <v>8</v>
      </c>
      <c r="K282" s="24">
        <v>1</v>
      </c>
      <c r="L282" s="24">
        <v>7</v>
      </c>
      <c r="M282" s="8" t="s">
        <v>107</v>
      </c>
      <c r="N282" s="8" t="s">
        <v>107</v>
      </c>
      <c r="O282" s="8" t="s">
        <v>100</v>
      </c>
    </row>
    <row r="283" spans="2:15" x14ac:dyDescent="0.25">
      <c r="B283" s="7" t="s">
        <v>262</v>
      </c>
      <c r="C283" s="17">
        <v>27812</v>
      </c>
      <c r="D283" s="7" t="s">
        <v>14</v>
      </c>
      <c r="E283" s="7" t="s">
        <v>88</v>
      </c>
      <c r="F283" s="7" t="s">
        <v>302</v>
      </c>
      <c r="G283" s="7" t="s">
        <v>35</v>
      </c>
      <c r="H283" s="7">
        <v>686135</v>
      </c>
      <c r="I283" s="7" t="s">
        <v>265</v>
      </c>
      <c r="J283" s="24">
        <v>8</v>
      </c>
      <c r="K283" s="24">
        <v>1</v>
      </c>
      <c r="L283" s="24">
        <v>6</v>
      </c>
      <c r="M283" s="8" t="s">
        <v>106</v>
      </c>
      <c r="N283" s="8" t="s">
        <v>106</v>
      </c>
      <c r="O283" s="8" t="s">
        <v>100</v>
      </c>
    </row>
    <row r="284" spans="2:15" x14ac:dyDescent="0.25">
      <c r="B284" s="7" t="s">
        <v>262</v>
      </c>
      <c r="C284" s="17">
        <v>27813</v>
      </c>
      <c r="D284" s="7" t="s">
        <v>14</v>
      </c>
      <c r="E284" s="7" t="s">
        <v>88</v>
      </c>
      <c r="F284" s="7" t="s">
        <v>302</v>
      </c>
      <c r="G284" s="7" t="s">
        <v>35</v>
      </c>
      <c r="H284" s="7">
        <v>686135</v>
      </c>
      <c r="I284" s="7" t="s">
        <v>265</v>
      </c>
      <c r="J284" s="24">
        <v>8</v>
      </c>
      <c r="K284" s="24">
        <v>1</v>
      </c>
      <c r="L284" s="24">
        <v>5</v>
      </c>
      <c r="M284" s="8" t="s">
        <v>303</v>
      </c>
      <c r="N284" s="8" t="s">
        <v>303</v>
      </c>
      <c r="O284" s="8" t="s">
        <v>100</v>
      </c>
    </row>
    <row r="285" spans="2:15" x14ac:dyDescent="0.25">
      <c r="B285" s="7" t="s">
        <v>285</v>
      </c>
      <c r="C285" s="17">
        <v>29237</v>
      </c>
      <c r="D285" s="7" t="s">
        <v>14</v>
      </c>
      <c r="E285" s="7" t="s">
        <v>263</v>
      </c>
      <c r="F285" s="7" t="s">
        <v>159</v>
      </c>
      <c r="G285" s="7" t="s">
        <v>35</v>
      </c>
      <c r="H285" s="7">
        <v>365499</v>
      </c>
      <c r="I285" s="7" t="s">
        <v>291</v>
      </c>
      <c r="J285" s="24">
        <v>16</v>
      </c>
      <c r="K285" s="24">
        <v>2</v>
      </c>
      <c r="L285" s="24">
        <v>7</v>
      </c>
      <c r="M285" s="8" t="s">
        <v>304</v>
      </c>
      <c r="N285" s="8" t="s">
        <v>305</v>
      </c>
      <c r="O285" s="8" t="s">
        <v>100</v>
      </c>
    </row>
    <row r="286" spans="2:15" x14ac:dyDescent="0.25">
      <c r="B286" s="7" t="s">
        <v>262</v>
      </c>
      <c r="C286" s="17">
        <v>27825</v>
      </c>
      <c r="D286" s="7" t="s">
        <v>14</v>
      </c>
      <c r="E286" s="7" t="s">
        <v>88</v>
      </c>
      <c r="F286" s="7" t="s">
        <v>89</v>
      </c>
      <c r="G286" s="7" t="s">
        <v>35</v>
      </c>
      <c r="H286" s="7">
        <v>686135</v>
      </c>
      <c r="I286" s="7" t="s">
        <v>265</v>
      </c>
      <c r="J286" s="24">
        <v>16</v>
      </c>
      <c r="K286" s="24">
        <v>2</v>
      </c>
      <c r="L286" s="24">
        <v>6</v>
      </c>
      <c r="M286" s="8" t="s">
        <v>304</v>
      </c>
      <c r="N286" s="8" t="s">
        <v>305</v>
      </c>
      <c r="O286" s="8" t="s">
        <v>100</v>
      </c>
    </row>
    <row r="287" spans="2:15" x14ac:dyDescent="0.25">
      <c r="B287" s="7" t="s">
        <v>262</v>
      </c>
      <c r="C287" s="17">
        <v>27823</v>
      </c>
      <c r="D287" s="7" t="s">
        <v>14</v>
      </c>
      <c r="E287" s="7" t="s">
        <v>88</v>
      </c>
      <c r="F287" s="7" t="s">
        <v>89</v>
      </c>
      <c r="G287" s="7" t="s">
        <v>35</v>
      </c>
      <c r="H287" s="7">
        <v>686135</v>
      </c>
      <c r="I287" s="7" t="s">
        <v>265</v>
      </c>
      <c r="J287" s="24">
        <v>16</v>
      </c>
      <c r="K287" s="24">
        <v>2</v>
      </c>
      <c r="L287" s="24">
        <v>5</v>
      </c>
      <c r="M287" s="8" t="s">
        <v>110</v>
      </c>
      <c r="N287" s="8" t="s">
        <v>113</v>
      </c>
      <c r="O287" s="8" t="s">
        <v>100</v>
      </c>
    </row>
    <row r="288" spans="2:15" x14ac:dyDescent="0.25">
      <c r="B288" s="7" t="s">
        <v>262</v>
      </c>
      <c r="C288" s="17">
        <v>27824</v>
      </c>
      <c r="D288" s="7" t="s">
        <v>14</v>
      </c>
      <c r="E288" s="7" t="s">
        <v>88</v>
      </c>
      <c r="F288" s="7" t="s">
        <v>89</v>
      </c>
      <c r="G288" s="7" t="s">
        <v>35</v>
      </c>
      <c r="H288" s="7">
        <v>686135</v>
      </c>
      <c r="I288" s="7" t="s">
        <v>265</v>
      </c>
      <c r="J288" s="24">
        <v>16</v>
      </c>
      <c r="K288" s="24">
        <v>2</v>
      </c>
      <c r="L288" s="24">
        <v>6</v>
      </c>
      <c r="M288" s="8" t="s">
        <v>306</v>
      </c>
      <c r="N288" s="8" t="s">
        <v>115</v>
      </c>
      <c r="O288" s="8" t="s">
        <v>100</v>
      </c>
    </row>
    <row r="289" spans="2:15" x14ac:dyDescent="0.25">
      <c r="B289" s="7" t="s">
        <v>268</v>
      </c>
      <c r="C289" s="17">
        <v>23321</v>
      </c>
      <c r="D289" s="7" t="s">
        <v>14</v>
      </c>
      <c r="E289" s="7" t="s">
        <v>269</v>
      </c>
      <c r="F289" s="7" t="s">
        <v>71</v>
      </c>
      <c r="G289" s="7" t="s">
        <v>35</v>
      </c>
      <c r="H289" s="7">
        <v>590998</v>
      </c>
      <c r="I289" s="7" t="s">
        <v>307</v>
      </c>
      <c r="J289" s="24">
        <v>16</v>
      </c>
      <c r="K289" s="24">
        <v>4</v>
      </c>
      <c r="L289" s="24">
        <v>5</v>
      </c>
      <c r="M289" s="8" t="s">
        <v>306</v>
      </c>
      <c r="N289" s="8" t="s">
        <v>308</v>
      </c>
      <c r="O289" s="8" t="s">
        <v>100</v>
      </c>
    </row>
    <row r="290" spans="2:15" x14ac:dyDescent="0.25">
      <c r="B290" s="7" t="s">
        <v>285</v>
      </c>
      <c r="C290" s="17">
        <v>27819</v>
      </c>
      <c r="D290" s="7" t="s">
        <v>14</v>
      </c>
      <c r="E290" s="7" t="s">
        <v>88</v>
      </c>
      <c r="F290" s="7" t="s">
        <v>89</v>
      </c>
      <c r="G290" s="7" t="s">
        <v>35</v>
      </c>
      <c r="H290" s="7">
        <v>318824</v>
      </c>
      <c r="I290" s="7" t="s">
        <v>287</v>
      </c>
      <c r="J290" s="24">
        <v>16</v>
      </c>
      <c r="K290" s="24">
        <v>2</v>
      </c>
      <c r="L290" s="24">
        <v>5</v>
      </c>
      <c r="M290" s="8" t="s">
        <v>308</v>
      </c>
      <c r="N290" s="8" t="s">
        <v>117</v>
      </c>
      <c r="O290" s="8" t="s">
        <v>119</v>
      </c>
    </row>
    <row r="291" spans="2:15" x14ac:dyDescent="0.25">
      <c r="B291" s="7" t="s">
        <v>297</v>
      </c>
      <c r="C291" s="17">
        <v>27970</v>
      </c>
      <c r="D291" s="7" t="s">
        <v>14</v>
      </c>
      <c r="E291" s="7" t="s">
        <v>88</v>
      </c>
      <c r="F291" s="7" t="s">
        <v>127</v>
      </c>
      <c r="G291" s="7" t="s">
        <v>35</v>
      </c>
      <c r="H291" s="7">
        <v>318824</v>
      </c>
      <c r="I291" s="7" t="s">
        <v>287</v>
      </c>
      <c r="J291" s="24">
        <v>16</v>
      </c>
      <c r="K291" s="24">
        <v>2</v>
      </c>
      <c r="L291" s="24">
        <v>6</v>
      </c>
      <c r="M291" s="8" t="s">
        <v>310</v>
      </c>
      <c r="N291" s="8" t="s">
        <v>311</v>
      </c>
      <c r="O291" s="8" t="s">
        <v>119</v>
      </c>
    </row>
    <row r="292" spans="2:15" x14ac:dyDescent="0.25">
      <c r="B292" s="7" t="s">
        <v>312</v>
      </c>
      <c r="C292" s="17">
        <v>29854</v>
      </c>
      <c r="D292" s="7" t="s">
        <v>14</v>
      </c>
      <c r="E292" s="7" t="s">
        <v>313</v>
      </c>
      <c r="F292" s="7" t="s">
        <v>40</v>
      </c>
      <c r="G292" s="7" t="s">
        <v>35</v>
      </c>
      <c r="H292" s="7">
        <v>328559</v>
      </c>
      <c r="I292" s="7" t="s">
        <v>314</v>
      </c>
      <c r="J292" s="24">
        <v>24</v>
      </c>
      <c r="K292" s="24">
        <v>3</v>
      </c>
      <c r="L292" s="24">
        <v>3</v>
      </c>
      <c r="M292" s="8" t="s">
        <v>310</v>
      </c>
      <c r="N292" s="8" t="s">
        <v>123</v>
      </c>
      <c r="O292" s="8" t="s">
        <v>119</v>
      </c>
    </row>
    <row r="293" spans="2:15" x14ac:dyDescent="0.25">
      <c r="B293" s="7" t="s">
        <v>285</v>
      </c>
      <c r="C293" s="17">
        <v>27820</v>
      </c>
      <c r="D293" s="7" t="s">
        <v>14</v>
      </c>
      <c r="E293" s="7" t="s">
        <v>88</v>
      </c>
      <c r="F293" s="7" t="s">
        <v>89</v>
      </c>
      <c r="G293" s="7" t="s">
        <v>35</v>
      </c>
      <c r="H293" s="7">
        <v>318824</v>
      </c>
      <c r="I293" s="7" t="s">
        <v>287</v>
      </c>
      <c r="J293" s="24">
        <v>16</v>
      </c>
      <c r="K293" s="24">
        <v>2</v>
      </c>
      <c r="L293" s="24">
        <v>5</v>
      </c>
      <c r="M293" s="8" t="s">
        <v>120</v>
      </c>
      <c r="N293" s="8" t="s">
        <v>121</v>
      </c>
      <c r="O293" s="8" t="s">
        <v>119</v>
      </c>
    </row>
    <row r="294" spans="2:15" x14ac:dyDescent="0.25">
      <c r="B294" s="7" t="s">
        <v>276</v>
      </c>
      <c r="C294" s="17">
        <v>30818</v>
      </c>
      <c r="D294" s="7" t="s">
        <v>14</v>
      </c>
      <c r="E294" s="7" t="s">
        <v>269</v>
      </c>
      <c r="F294" s="7" t="s">
        <v>89</v>
      </c>
      <c r="G294" s="7" t="s">
        <v>35</v>
      </c>
      <c r="H294" s="7">
        <v>197260</v>
      </c>
      <c r="I294" s="7" t="s">
        <v>277</v>
      </c>
      <c r="J294" s="24">
        <v>16</v>
      </c>
      <c r="K294" s="24">
        <v>2</v>
      </c>
      <c r="L294" s="24">
        <v>10</v>
      </c>
      <c r="M294" s="8" t="s">
        <v>120</v>
      </c>
      <c r="N294" s="8" t="s">
        <v>121</v>
      </c>
      <c r="O294" s="8" t="s">
        <v>119</v>
      </c>
    </row>
    <row r="295" spans="2:15" x14ac:dyDescent="0.25">
      <c r="B295" s="7" t="s">
        <v>297</v>
      </c>
      <c r="C295" s="17">
        <v>27971</v>
      </c>
      <c r="D295" s="7" t="s">
        <v>14</v>
      </c>
      <c r="E295" s="7" t="s">
        <v>88</v>
      </c>
      <c r="F295" s="7" t="s">
        <v>127</v>
      </c>
      <c r="G295" s="7" t="s">
        <v>35</v>
      </c>
      <c r="H295" s="7">
        <v>318824</v>
      </c>
      <c r="I295" s="7" t="s">
        <v>287</v>
      </c>
      <c r="J295" s="24">
        <v>16</v>
      </c>
      <c r="K295" s="24">
        <v>2</v>
      </c>
      <c r="L295" s="24">
        <v>4</v>
      </c>
      <c r="M295" s="8" t="s">
        <v>126</v>
      </c>
      <c r="N295" s="8" t="s">
        <v>315</v>
      </c>
      <c r="O295" s="8" t="s">
        <v>119</v>
      </c>
    </row>
    <row r="296" spans="2:15" x14ac:dyDescent="0.25">
      <c r="B296" s="7" t="s">
        <v>312</v>
      </c>
      <c r="C296" s="17">
        <v>29721</v>
      </c>
      <c r="D296" s="7" t="s">
        <v>14</v>
      </c>
      <c r="E296" s="7" t="s">
        <v>313</v>
      </c>
      <c r="F296" s="7" t="s">
        <v>89</v>
      </c>
      <c r="G296" s="7" t="s">
        <v>35</v>
      </c>
      <c r="H296" s="7">
        <v>374049</v>
      </c>
      <c r="I296" s="7" t="s">
        <v>316</v>
      </c>
      <c r="J296" s="24">
        <v>16</v>
      </c>
      <c r="K296" s="24">
        <v>2</v>
      </c>
      <c r="L296" s="24">
        <v>2</v>
      </c>
      <c r="M296" s="8" t="s">
        <v>126</v>
      </c>
      <c r="N296" s="8" t="s">
        <v>315</v>
      </c>
      <c r="O296" s="8" t="s">
        <v>119</v>
      </c>
    </row>
    <row r="297" spans="2:15" x14ac:dyDescent="0.25">
      <c r="B297" s="7" t="s">
        <v>273</v>
      </c>
      <c r="C297" s="17">
        <v>24684</v>
      </c>
      <c r="D297" s="7" t="s">
        <v>14</v>
      </c>
      <c r="E297" s="7" t="s">
        <v>263</v>
      </c>
      <c r="F297" s="7" t="s">
        <v>317</v>
      </c>
      <c r="G297" s="7" t="s">
        <v>35</v>
      </c>
      <c r="H297" s="7">
        <v>203699</v>
      </c>
      <c r="I297" s="7" t="s">
        <v>283</v>
      </c>
      <c r="J297" s="24">
        <v>16</v>
      </c>
      <c r="K297" s="24">
        <v>2</v>
      </c>
      <c r="L297" s="24">
        <v>10</v>
      </c>
      <c r="M297" s="8" t="s">
        <v>318</v>
      </c>
      <c r="N297" s="8" t="s">
        <v>129</v>
      </c>
      <c r="O297" s="8" t="s">
        <v>119</v>
      </c>
    </row>
    <row r="298" spans="2:15" x14ac:dyDescent="0.25">
      <c r="B298" s="7" t="s">
        <v>319</v>
      </c>
      <c r="C298" s="17">
        <v>29720</v>
      </c>
      <c r="D298" s="7" t="s">
        <v>14</v>
      </c>
      <c r="E298" s="7" t="s">
        <v>313</v>
      </c>
      <c r="F298" s="7" t="s">
        <v>89</v>
      </c>
      <c r="G298" s="7" t="s">
        <v>35</v>
      </c>
      <c r="H298" s="7">
        <v>374049</v>
      </c>
      <c r="I298" s="7" t="s">
        <v>316</v>
      </c>
      <c r="J298" s="24">
        <v>16</v>
      </c>
      <c r="K298" s="24">
        <v>2</v>
      </c>
      <c r="L298" s="24">
        <v>4</v>
      </c>
      <c r="M298" s="8" t="s">
        <v>134</v>
      </c>
      <c r="N298" s="8" t="s">
        <v>135</v>
      </c>
      <c r="O298" s="8" t="s">
        <v>119</v>
      </c>
    </row>
    <row r="299" spans="2:15" x14ac:dyDescent="0.25">
      <c r="B299" s="7" t="s">
        <v>262</v>
      </c>
      <c r="C299" s="17">
        <v>29236</v>
      </c>
      <c r="D299" s="7" t="s">
        <v>14</v>
      </c>
      <c r="E299" s="7" t="s">
        <v>263</v>
      </c>
      <c r="F299" s="7" t="s">
        <v>159</v>
      </c>
      <c r="G299" s="7" t="s">
        <v>35</v>
      </c>
      <c r="H299" s="7">
        <v>686135</v>
      </c>
      <c r="I299" s="7" t="s">
        <v>265</v>
      </c>
      <c r="J299" s="24">
        <v>16</v>
      </c>
      <c r="K299" s="24">
        <v>2</v>
      </c>
      <c r="L299" s="24">
        <v>6</v>
      </c>
      <c r="M299" s="8" t="s">
        <v>134</v>
      </c>
      <c r="N299" s="8" t="s">
        <v>135</v>
      </c>
      <c r="O299" s="8" t="s">
        <v>119</v>
      </c>
    </row>
    <row r="300" spans="2:15" x14ac:dyDescent="0.25">
      <c r="B300" s="7" t="s">
        <v>273</v>
      </c>
      <c r="C300" s="17">
        <v>23201</v>
      </c>
      <c r="D300" s="7" t="s">
        <v>14</v>
      </c>
      <c r="E300" s="7" t="s">
        <v>263</v>
      </c>
      <c r="F300" s="7" t="s">
        <v>264</v>
      </c>
      <c r="G300" s="7" t="s">
        <v>35</v>
      </c>
      <c r="H300" s="7">
        <v>413600</v>
      </c>
      <c r="I300" s="7" t="s">
        <v>320</v>
      </c>
      <c r="J300" s="24">
        <v>8</v>
      </c>
      <c r="K300" s="24">
        <v>1</v>
      </c>
      <c r="L300" s="24">
        <v>10</v>
      </c>
      <c r="M300" s="8" t="s">
        <v>137</v>
      </c>
      <c r="N300" s="8" t="s">
        <v>137</v>
      </c>
      <c r="O300" s="8" t="s">
        <v>119</v>
      </c>
    </row>
    <row r="301" spans="2:15" x14ac:dyDescent="0.25">
      <c r="B301" s="7" t="s">
        <v>262</v>
      </c>
      <c r="C301" s="17">
        <v>23204</v>
      </c>
      <c r="D301" s="7" t="s">
        <v>14</v>
      </c>
      <c r="E301" s="7" t="s">
        <v>263</v>
      </c>
      <c r="F301" s="7" t="s">
        <v>264</v>
      </c>
      <c r="G301" s="7" t="s">
        <v>35</v>
      </c>
      <c r="H301" s="7">
        <v>686135</v>
      </c>
      <c r="I301" s="7" t="s">
        <v>265</v>
      </c>
      <c r="J301" s="24">
        <v>8</v>
      </c>
      <c r="K301" s="24">
        <v>1</v>
      </c>
      <c r="L301" s="24">
        <v>10</v>
      </c>
      <c r="M301" s="8" t="s">
        <v>139</v>
      </c>
      <c r="N301" s="8" t="s">
        <v>139</v>
      </c>
      <c r="O301" s="8" t="s">
        <v>141</v>
      </c>
    </row>
    <row r="302" spans="2:15" x14ac:dyDescent="0.25">
      <c r="B302" s="7" t="s">
        <v>278</v>
      </c>
      <c r="C302" s="17">
        <v>25701</v>
      </c>
      <c r="D302" s="7" t="s">
        <v>14</v>
      </c>
      <c r="E302" s="7" t="s">
        <v>269</v>
      </c>
      <c r="F302" s="7" t="s">
        <v>321</v>
      </c>
      <c r="G302" s="7" t="s">
        <v>35</v>
      </c>
      <c r="H302" s="7">
        <v>679358</v>
      </c>
      <c r="I302" s="7" t="s">
        <v>280</v>
      </c>
      <c r="J302" s="24">
        <v>16</v>
      </c>
      <c r="K302" s="24">
        <v>2</v>
      </c>
      <c r="L302" s="24">
        <v>3</v>
      </c>
      <c r="M302" s="8" t="s">
        <v>139</v>
      </c>
      <c r="N302" s="8" t="s">
        <v>140</v>
      </c>
      <c r="O302" s="8" t="s">
        <v>141</v>
      </c>
    </row>
    <row r="303" spans="2:15" x14ac:dyDescent="0.25">
      <c r="B303" s="7" t="s">
        <v>276</v>
      </c>
      <c r="C303" s="17">
        <v>27975</v>
      </c>
      <c r="D303" s="7" t="s">
        <v>14</v>
      </c>
      <c r="E303" s="7" t="s">
        <v>88</v>
      </c>
      <c r="F303" s="7" t="s">
        <v>294</v>
      </c>
      <c r="G303" s="7" t="s">
        <v>35</v>
      </c>
      <c r="H303" s="7">
        <v>318824</v>
      </c>
      <c r="I303" s="7" t="s">
        <v>287</v>
      </c>
      <c r="J303" s="24">
        <v>8</v>
      </c>
      <c r="K303" s="24">
        <v>1</v>
      </c>
      <c r="L303" s="24">
        <v>10</v>
      </c>
      <c r="M303" s="8" t="s">
        <v>143</v>
      </c>
      <c r="N303" s="8" t="s">
        <v>143</v>
      </c>
      <c r="O303" s="8" t="s">
        <v>141</v>
      </c>
    </row>
    <row r="304" spans="2:15" x14ac:dyDescent="0.25">
      <c r="B304" s="7" t="s">
        <v>276</v>
      </c>
      <c r="C304" s="17">
        <v>27977</v>
      </c>
      <c r="D304" s="7" t="s">
        <v>14</v>
      </c>
      <c r="E304" s="7" t="s">
        <v>88</v>
      </c>
      <c r="F304" s="7" t="s">
        <v>294</v>
      </c>
      <c r="G304" s="7" t="s">
        <v>35</v>
      </c>
      <c r="H304" s="7">
        <v>318824</v>
      </c>
      <c r="I304" s="7" t="s">
        <v>287</v>
      </c>
      <c r="J304" s="24">
        <v>8</v>
      </c>
      <c r="K304" s="24">
        <v>1</v>
      </c>
      <c r="L304" s="24">
        <v>8</v>
      </c>
      <c r="M304" s="8" t="s">
        <v>145</v>
      </c>
      <c r="N304" s="8" t="s">
        <v>145</v>
      </c>
      <c r="O304" s="8" t="s">
        <v>141</v>
      </c>
    </row>
    <row r="305" spans="2:15" x14ac:dyDescent="0.25">
      <c r="B305" s="7" t="s">
        <v>276</v>
      </c>
      <c r="C305" s="17">
        <v>30817</v>
      </c>
      <c r="D305" s="7" t="s">
        <v>14</v>
      </c>
      <c r="E305" s="7" t="s">
        <v>269</v>
      </c>
      <c r="F305" s="7" t="s">
        <v>89</v>
      </c>
      <c r="G305" s="7" t="s">
        <v>35</v>
      </c>
      <c r="H305" s="7">
        <v>197260</v>
      </c>
      <c r="I305" s="7" t="s">
        <v>277</v>
      </c>
      <c r="J305" s="24">
        <v>16</v>
      </c>
      <c r="K305" s="24">
        <v>2</v>
      </c>
      <c r="L305" s="24">
        <v>10</v>
      </c>
      <c r="M305" s="8" t="s">
        <v>145</v>
      </c>
      <c r="N305" s="8" t="s">
        <v>146</v>
      </c>
      <c r="O305" s="8" t="s">
        <v>141</v>
      </c>
    </row>
    <row r="306" spans="2:15" x14ac:dyDescent="0.25">
      <c r="B306" s="7" t="s">
        <v>285</v>
      </c>
      <c r="C306" s="17">
        <v>24846</v>
      </c>
      <c r="D306" s="7" t="s">
        <v>14</v>
      </c>
      <c r="E306" s="7" t="s">
        <v>88</v>
      </c>
      <c r="F306" s="7" t="s">
        <v>68</v>
      </c>
      <c r="G306" s="7" t="s">
        <v>35</v>
      </c>
      <c r="H306" s="7">
        <v>365499</v>
      </c>
      <c r="I306" s="7" t="s">
        <v>291</v>
      </c>
      <c r="J306" s="24">
        <v>24</v>
      </c>
      <c r="K306" s="24">
        <v>3</v>
      </c>
      <c r="L306" s="24">
        <v>4</v>
      </c>
      <c r="M306" s="8" t="s">
        <v>153</v>
      </c>
      <c r="N306" s="8" t="s">
        <v>322</v>
      </c>
      <c r="O306" s="8" t="s">
        <v>141</v>
      </c>
    </row>
    <row r="307" spans="2:15" x14ac:dyDescent="0.25">
      <c r="B307" s="7" t="s">
        <v>285</v>
      </c>
      <c r="C307" s="17">
        <v>28056</v>
      </c>
      <c r="D307" s="7" t="s">
        <v>14</v>
      </c>
      <c r="E307" s="7" t="s">
        <v>88</v>
      </c>
      <c r="F307" s="7" t="s">
        <v>62</v>
      </c>
      <c r="G307" s="7" t="s">
        <v>35</v>
      </c>
      <c r="H307" s="7">
        <v>365499</v>
      </c>
      <c r="I307" s="7" t="s">
        <v>291</v>
      </c>
      <c r="J307" s="24">
        <v>24</v>
      </c>
      <c r="K307" s="24">
        <v>3</v>
      </c>
      <c r="L307" s="24">
        <v>5</v>
      </c>
      <c r="M307" s="8" t="s">
        <v>154</v>
      </c>
      <c r="N307" s="8" t="s">
        <v>156</v>
      </c>
      <c r="O307" s="8" t="s">
        <v>141</v>
      </c>
    </row>
    <row r="308" spans="2:15" x14ac:dyDescent="0.25">
      <c r="B308" s="7" t="s">
        <v>285</v>
      </c>
      <c r="C308" s="17">
        <v>28067</v>
      </c>
      <c r="D308" s="7" t="s">
        <v>14</v>
      </c>
      <c r="E308" s="7" t="s">
        <v>88</v>
      </c>
      <c r="F308" s="7" t="s">
        <v>159</v>
      </c>
      <c r="G308" s="7" t="s">
        <v>35</v>
      </c>
      <c r="H308" s="7">
        <v>365499</v>
      </c>
      <c r="I308" s="7" t="s">
        <v>291</v>
      </c>
      <c r="J308" s="24">
        <v>16</v>
      </c>
      <c r="K308" s="24">
        <v>2</v>
      </c>
      <c r="L308" s="24">
        <v>5</v>
      </c>
      <c r="M308" s="8" t="s">
        <v>167</v>
      </c>
      <c r="N308" s="8" t="s">
        <v>323</v>
      </c>
      <c r="O308" s="8" t="s">
        <v>141</v>
      </c>
    </row>
    <row r="309" spans="2:15" x14ac:dyDescent="0.25">
      <c r="B309" s="7" t="s">
        <v>276</v>
      </c>
      <c r="C309" s="17">
        <v>30819</v>
      </c>
      <c r="D309" s="7" t="s">
        <v>14</v>
      </c>
      <c r="E309" s="7" t="s">
        <v>269</v>
      </c>
      <c r="F309" s="7" t="s">
        <v>89</v>
      </c>
      <c r="G309" s="7" t="s">
        <v>35</v>
      </c>
      <c r="H309" s="7">
        <v>197260</v>
      </c>
      <c r="I309" s="7" t="s">
        <v>277</v>
      </c>
      <c r="J309" s="24">
        <v>16</v>
      </c>
      <c r="K309" s="24">
        <v>2</v>
      </c>
      <c r="L309" s="24">
        <v>10</v>
      </c>
      <c r="M309" s="8" t="s">
        <v>172</v>
      </c>
      <c r="N309" s="8" t="s">
        <v>174</v>
      </c>
      <c r="O309" s="8" t="s">
        <v>173</v>
      </c>
    </row>
    <row r="310" spans="2:15" x14ac:dyDescent="0.25">
      <c r="B310" s="7" t="s">
        <v>262</v>
      </c>
      <c r="C310" s="17">
        <v>23206</v>
      </c>
      <c r="D310" s="7" t="s">
        <v>14</v>
      </c>
      <c r="E310" s="7" t="s">
        <v>263</v>
      </c>
      <c r="F310" s="7" t="s">
        <v>264</v>
      </c>
      <c r="G310" s="7" t="s">
        <v>35</v>
      </c>
      <c r="H310" s="7">
        <v>686135</v>
      </c>
      <c r="I310" s="7" t="s">
        <v>265</v>
      </c>
      <c r="J310" s="24">
        <v>8</v>
      </c>
      <c r="K310" s="24">
        <v>1</v>
      </c>
      <c r="L310" s="24">
        <v>10</v>
      </c>
      <c r="M310" s="8" t="s">
        <v>181</v>
      </c>
      <c r="N310" s="8" t="s">
        <v>181</v>
      </c>
      <c r="O310" s="8" t="s">
        <v>173</v>
      </c>
    </row>
    <row r="311" spans="2:15" x14ac:dyDescent="0.25">
      <c r="B311" s="7" t="s">
        <v>273</v>
      </c>
      <c r="C311" s="17">
        <v>24689</v>
      </c>
      <c r="D311" s="7" t="s">
        <v>14</v>
      </c>
      <c r="E311" s="7" t="s">
        <v>263</v>
      </c>
      <c r="F311" s="7" t="s">
        <v>40</v>
      </c>
      <c r="G311" s="7" t="s">
        <v>35</v>
      </c>
      <c r="H311" s="7">
        <v>413600</v>
      </c>
      <c r="I311" s="7" t="s">
        <v>320</v>
      </c>
      <c r="J311" s="24">
        <v>24</v>
      </c>
      <c r="K311" s="24">
        <v>3</v>
      </c>
      <c r="L311" s="24">
        <v>9</v>
      </c>
      <c r="M311" s="8" t="s">
        <v>180</v>
      </c>
      <c r="N311" s="8" t="s">
        <v>183</v>
      </c>
      <c r="O311" s="8" t="s">
        <v>173</v>
      </c>
    </row>
    <row r="312" spans="2:15" x14ac:dyDescent="0.25">
      <c r="B312" s="7" t="s">
        <v>273</v>
      </c>
      <c r="C312" s="17">
        <v>28016</v>
      </c>
      <c r="D312" s="7" t="s">
        <v>14</v>
      </c>
      <c r="E312" s="7" t="s">
        <v>88</v>
      </c>
      <c r="F312" s="7" t="s">
        <v>40</v>
      </c>
      <c r="G312" s="7" t="s">
        <v>35</v>
      </c>
      <c r="H312" s="7">
        <v>214350</v>
      </c>
      <c r="I312" s="7" t="s">
        <v>324</v>
      </c>
      <c r="J312" s="24">
        <v>24</v>
      </c>
      <c r="K312" s="24">
        <v>3</v>
      </c>
      <c r="L312" s="24">
        <v>7</v>
      </c>
      <c r="M312" s="8" t="s">
        <v>180</v>
      </c>
      <c r="N312" s="8" t="s">
        <v>183</v>
      </c>
      <c r="O312" s="8" t="s">
        <v>173</v>
      </c>
    </row>
    <row r="313" spans="2:15" x14ac:dyDescent="0.25">
      <c r="B313" s="7" t="s">
        <v>273</v>
      </c>
      <c r="C313" s="17">
        <v>28017</v>
      </c>
      <c r="D313" s="7" t="s">
        <v>14</v>
      </c>
      <c r="E313" s="7" t="s">
        <v>88</v>
      </c>
      <c r="F313" s="7" t="s">
        <v>40</v>
      </c>
      <c r="G313" s="7" t="s">
        <v>35</v>
      </c>
      <c r="H313" s="7">
        <v>214350</v>
      </c>
      <c r="I313" s="7" t="s">
        <v>324</v>
      </c>
      <c r="J313" s="24">
        <v>24</v>
      </c>
      <c r="K313" s="24">
        <v>3</v>
      </c>
      <c r="L313" s="24">
        <v>7</v>
      </c>
      <c r="M313" s="8" t="s">
        <v>184</v>
      </c>
      <c r="N313" s="8" t="s">
        <v>187</v>
      </c>
      <c r="O313" s="8" t="s">
        <v>173</v>
      </c>
    </row>
    <row r="314" spans="2:15" x14ac:dyDescent="0.25">
      <c r="B314" s="7" t="s">
        <v>273</v>
      </c>
      <c r="C314" s="17">
        <v>24903</v>
      </c>
      <c r="D314" s="7" t="s">
        <v>14</v>
      </c>
      <c r="E314" s="7" t="s">
        <v>263</v>
      </c>
      <c r="F314" s="7" t="s">
        <v>84</v>
      </c>
      <c r="G314" s="7" t="s">
        <v>35</v>
      </c>
      <c r="H314" s="7">
        <v>413600</v>
      </c>
      <c r="I314" s="7" t="s">
        <v>320</v>
      </c>
      <c r="J314" s="24">
        <v>16</v>
      </c>
      <c r="K314" s="24">
        <v>2</v>
      </c>
      <c r="L314" s="24">
        <v>10</v>
      </c>
      <c r="M314" s="8" t="s">
        <v>188</v>
      </c>
      <c r="N314" s="8" t="s">
        <v>189</v>
      </c>
      <c r="O314" s="8" t="s">
        <v>173</v>
      </c>
    </row>
    <row r="315" spans="2:15" x14ac:dyDescent="0.25">
      <c r="B315" s="7" t="s">
        <v>273</v>
      </c>
      <c r="C315" s="17">
        <v>28018</v>
      </c>
      <c r="D315" s="7" t="s">
        <v>14</v>
      </c>
      <c r="E315" s="7" t="s">
        <v>88</v>
      </c>
      <c r="F315" s="7" t="s">
        <v>40</v>
      </c>
      <c r="G315" s="7" t="s">
        <v>35</v>
      </c>
      <c r="H315" s="7">
        <v>214350</v>
      </c>
      <c r="I315" s="7" t="s">
        <v>324</v>
      </c>
      <c r="J315" s="24">
        <v>24</v>
      </c>
      <c r="K315" s="24">
        <v>3</v>
      </c>
      <c r="L315" s="24">
        <v>7</v>
      </c>
      <c r="M315" s="8" t="s">
        <v>188</v>
      </c>
      <c r="N315" s="8" t="s">
        <v>325</v>
      </c>
      <c r="O315" s="8" t="s">
        <v>173</v>
      </c>
    </row>
    <row r="316" spans="2:15" x14ac:dyDescent="0.25">
      <c r="B316" s="7" t="s">
        <v>273</v>
      </c>
      <c r="C316" s="17">
        <v>28020</v>
      </c>
      <c r="D316" s="7" t="s">
        <v>14</v>
      </c>
      <c r="E316" s="7" t="s">
        <v>88</v>
      </c>
      <c r="F316" s="7" t="s">
        <v>40</v>
      </c>
      <c r="G316" s="7" t="s">
        <v>35</v>
      </c>
      <c r="H316" s="7">
        <v>214350</v>
      </c>
      <c r="I316" s="7" t="s">
        <v>324</v>
      </c>
      <c r="J316" s="24">
        <v>24</v>
      </c>
      <c r="K316" s="24">
        <v>3</v>
      </c>
      <c r="L316" s="24">
        <v>8</v>
      </c>
      <c r="M316" s="8" t="s">
        <v>192</v>
      </c>
      <c r="N316" s="8" t="s">
        <v>194</v>
      </c>
      <c r="O316" s="8" t="s">
        <v>173</v>
      </c>
    </row>
    <row r="317" spans="2:15" x14ac:dyDescent="0.25">
      <c r="B317" s="7" t="s">
        <v>273</v>
      </c>
      <c r="C317" s="17">
        <v>28021</v>
      </c>
      <c r="D317" s="7" t="s">
        <v>14</v>
      </c>
      <c r="E317" s="7" t="s">
        <v>88</v>
      </c>
      <c r="F317" s="7" t="s">
        <v>40</v>
      </c>
      <c r="G317" s="7" t="s">
        <v>35</v>
      </c>
      <c r="H317" s="7">
        <v>214350</v>
      </c>
      <c r="I317" s="7" t="s">
        <v>324</v>
      </c>
      <c r="J317" s="24">
        <v>24</v>
      </c>
      <c r="K317" s="24">
        <v>3</v>
      </c>
      <c r="L317" s="24">
        <v>5</v>
      </c>
      <c r="M317" s="8" t="s">
        <v>195</v>
      </c>
      <c r="N317" s="8" t="s">
        <v>197</v>
      </c>
      <c r="O317" s="8" t="s">
        <v>173</v>
      </c>
    </row>
    <row r="318" spans="2:15" x14ac:dyDescent="0.25">
      <c r="B318" s="7" t="s">
        <v>262</v>
      </c>
      <c r="C318" s="17">
        <v>29235</v>
      </c>
      <c r="D318" s="7" t="s">
        <v>14</v>
      </c>
      <c r="E318" s="7" t="s">
        <v>263</v>
      </c>
      <c r="F318" s="7" t="s">
        <v>159</v>
      </c>
      <c r="G318" s="7" t="s">
        <v>35</v>
      </c>
      <c r="H318" s="7">
        <v>686135</v>
      </c>
      <c r="I318" s="7" t="s">
        <v>265</v>
      </c>
      <c r="J318" s="24">
        <v>16</v>
      </c>
      <c r="K318" s="24">
        <v>2</v>
      </c>
      <c r="L318" s="24">
        <v>9</v>
      </c>
      <c r="M318" s="8" t="s">
        <v>196</v>
      </c>
      <c r="N318" s="8" t="s">
        <v>197</v>
      </c>
      <c r="O318" s="8" t="s">
        <v>173</v>
      </c>
    </row>
    <row r="319" spans="2:15" x14ac:dyDescent="0.25">
      <c r="B319" s="7" t="s">
        <v>319</v>
      </c>
      <c r="C319" s="17">
        <v>29403</v>
      </c>
      <c r="D319" s="7" t="s">
        <v>14</v>
      </c>
      <c r="E319" s="7" t="s">
        <v>313</v>
      </c>
      <c r="F319" s="7" t="s">
        <v>127</v>
      </c>
      <c r="G319" s="7" t="s">
        <v>35</v>
      </c>
      <c r="H319" s="7">
        <v>374049</v>
      </c>
      <c r="I319" s="7" t="s">
        <v>316</v>
      </c>
      <c r="J319" s="24">
        <v>16</v>
      </c>
      <c r="K319" s="24">
        <v>2</v>
      </c>
      <c r="L319" s="24">
        <v>1</v>
      </c>
      <c r="M319" s="8" t="s">
        <v>196</v>
      </c>
      <c r="N319" s="8" t="s">
        <v>197</v>
      </c>
      <c r="O319" s="8" t="s">
        <v>173</v>
      </c>
    </row>
    <row r="320" spans="2:15" x14ac:dyDescent="0.25">
      <c r="B320" s="7" t="s">
        <v>273</v>
      </c>
      <c r="C320" s="17">
        <v>28022</v>
      </c>
      <c r="D320" s="7" t="s">
        <v>14</v>
      </c>
      <c r="E320" s="7" t="s">
        <v>88</v>
      </c>
      <c r="F320" s="7" t="s">
        <v>40</v>
      </c>
      <c r="G320" s="7" t="s">
        <v>35</v>
      </c>
      <c r="H320" s="7">
        <v>214350</v>
      </c>
      <c r="I320" s="7" t="s">
        <v>324</v>
      </c>
      <c r="J320" s="24">
        <v>24</v>
      </c>
      <c r="K320" s="24">
        <v>3</v>
      </c>
      <c r="L320" s="24">
        <v>8</v>
      </c>
      <c r="M320" s="8" t="s">
        <v>198</v>
      </c>
      <c r="N320" s="8" t="s">
        <v>201</v>
      </c>
      <c r="O320" s="8" t="s">
        <v>173</v>
      </c>
    </row>
    <row r="321" spans="2:15" x14ac:dyDescent="0.25">
      <c r="B321" s="7" t="s">
        <v>319</v>
      </c>
      <c r="C321" s="17">
        <v>29853</v>
      </c>
      <c r="D321" s="7" t="s">
        <v>14</v>
      </c>
      <c r="E321" s="7" t="s">
        <v>313</v>
      </c>
      <c r="F321" s="7" t="s">
        <v>40</v>
      </c>
      <c r="G321" s="7" t="s">
        <v>35</v>
      </c>
      <c r="H321" s="7">
        <v>329947</v>
      </c>
      <c r="I321" s="7" t="s">
        <v>326</v>
      </c>
      <c r="J321" s="24">
        <v>24</v>
      </c>
      <c r="K321" s="24">
        <v>3</v>
      </c>
      <c r="L321" s="24">
        <v>8</v>
      </c>
      <c r="M321" s="8" t="s">
        <v>327</v>
      </c>
      <c r="N321" s="8" t="s">
        <v>204</v>
      </c>
      <c r="O321" s="8" t="s">
        <v>202</v>
      </c>
    </row>
    <row r="322" spans="2:15" x14ac:dyDescent="0.25">
      <c r="B322" s="7" t="s">
        <v>273</v>
      </c>
      <c r="C322" s="17">
        <v>28019</v>
      </c>
      <c r="D322" s="7" t="s">
        <v>14</v>
      </c>
      <c r="E322" s="7" t="s">
        <v>88</v>
      </c>
      <c r="F322" s="7" t="s">
        <v>40</v>
      </c>
      <c r="G322" s="7" t="s">
        <v>35</v>
      </c>
      <c r="H322" s="7">
        <v>214350</v>
      </c>
      <c r="I322" s="7" t="s">
        <v>324</v>
      </c>
      <c r="J322" s="24">
        <v>24</v>
      </c>
      <c r="K322" s="24">
        <v>3</v>
      </c>
      <c r="L322" s="24">
        <v>8</v>
      </c>
      <c r="M322" s="8" t="s">
        <v>327</v>
      </c>
      <c r="N322" s="8" t="s">
        <v>204</v>
      </c>
      <c r="O322" s="8" t="s">
        <v>202</v>
      </c>
    </row>
    <row r="323" spans="2:15" x14ac:dyDescent="0.25">
      <c r="B323" s="7" t="s">
        <v>297</v>
      </c>
      <c r="C323" s="17">
        <v>27822</v>
      </c>
      <c r="D323" s="7" t="s">
        <v>14</v>
      </c>
      <c r="E323" s="7" t="s">
        <v>88</v>
      </c>
      <c r="F323" s="7" t="s">
        <v>89</v>
      </c>
      <c r="G323" s="7" t="s">
        <v>35</v>
      </c>
      <c r="H323" s="7">
        <v>318824</v>
      </c>
      <c r="I323" s="7" t="s">
        <v>287</v>
      </c>
      <c r="J323" s="24">
        <v>16</v>
      </c>
      <c r="K323" s="24">
        <v>2</v>
      </c>
      <c r="L323" s="24">
        <v>6</v>
      </c>
      <c r="M323" s="8" t="s">
        <v>205</v>
      </c>
      <c r="N323" s="8" t="s">
        <v>206</v>
      </c>
      <c r="O323" s="8" t="s">
        <v>202</v>
      </c>
    </row>
    <row r="324" spans="2:15" x14ac:dyDescent="0.25">
      <c r="B324" s="7" t="s">
        <v>273</v>
      </c>
      <c r="C324" s="17">
        <v>28015</v>
      </c>
      <c r="D324" s="7" t="s">
        <v>14</v>
      </c>
      <c r="E324" s="7" t="s">
        <v>88</v>
      </c>
      <c r="F324" s="7" t="s">
        <v>40</v>
      </c>
      <c r="G324" s="7" t="s">
        <v>35</v>
      </c>
      <c r="H324" s="7">
        <v>214350</v>
      </c>
      <c r="I324" s="7" t="s">
        <v>324</v>
      </c>
      <c r="J324" s="24">
        <v>24</v>
      </c>
      <c r="K324" s="24">
        <v>3</v>
      </c>
      <c r="L324" s="24">
        <v>8</v>
      </c>
      <c r="M324" s="8" t="s">
        <v>205</v>
      </c>
      <c r="N324" s="8" t="s">
        <v>328</v>
      </c>
      <c r="O324" s="8" t="s">
        <v>202</v>
      </c>
    </row>
    <row r="325" spans="2:15" x14ac:dyDescent="0.25">
      <c r="B325" s="7" t="s">
        <v>268</v>
      </c>
      <c r="C325" s="17">
        <v>25648</v>
      </c>
      <c r="D325" s="7" t="s">
        <v>14</v>
      </c>
      <c r="E325" s="7" t="s">
        <v>269</v>
      </c>
      <c r="F325" s="7" t="s">
        <v>127</v>
      </c>
      <c r="G325" s="7" t="s">
        <v>35</v>
      </c>
      <c r="H325" s="7">
        <v>324620</v>
      </c>
      <c r="I325" s="7" t="s">
        <v>329</v>
      </c>
      <c r="J325" s="24">
        <v>16</v>
      </c>
      <c r="K325" s="24">
        <v>2</v>
      </c>
      <c r="L325" s="24">
        <v>7</v>
      </c>
      <c r="M325" s="8" t="s">
        <v>208</v>
      </c>
      <c r="N325" s="8" t="s">
        <v>330</v>
      </c>
      <c r="O325" s="8" t="s">
        <v>202</v>
      </c>
    </row>
    <row r="326" spans="2:15" x14ac:dyDescent="0.25">
      <c r="B326" s="7" t="s">
        <v>262</v>
      </c>
      <c r="C326" s="17">
        <v>29233</v>
      </c>
      <c r="D326" s="7" t="s">
        <v>14</v>
      </c>
      <c r="E326" s="7" t="s">
        <v>263</v>
      </c>
      <c r="F326" s="7" t="s">
        <v>159</v>
      </c>
      <c r="G326" s="7" t="s">
        <v>35</v>
      </c>
      <c r="H326" s="7">
        <v>686135</v>
      </c>
      <c r="I326" s="7" t="s">
        <v>265</v>
      </c>
      <c r="J326" s="24">
        <v>16</v>
      </c>
      <c r="K326" s="24">
        <v>2</v>
      </c>
      <c r="L326" s="24">
        <v>8</v>
      </c>
      <c r="M326" s="8" t="s">
        <v>330</v>
      </c>
      <c r="N326" s="8" t="s">
        <v>209</v>
      </c>
      <c r="O326" s="8" t="s">
        <v>202</v>
      </c>
    </row>
    <row r="327" spans="2:15" x14ac:dyDescent="0.25">
      <c r="B327" s="7" t="s">
        <v>273</v>
      </c>
      <c r="C327" s="17">
        <v>24683</v>
      </c>
      <c r="D327" s="7" t="s">
        <v>14</v>
      </c>
      <c r="E327" s="7" t="s">
        <v>263</v>
      </c>
      <c r="F327" s="7" t="s">
        <v>317</v>
      </c>
      <c r="G327" s="7" t="s">
        <v>35</v>
      </c>
      <c r="H327" s="7">
        <v>203699</v>
      </c>
      <c r="I327" s="7" t="s">
        <v>283</v>
      </c>
      <c r="J327" s="24">
        <v>16</v>
      </c>
      <c r="K327" s="24">
        <v>2</v>
      </c>
      <c r="L327" s="24">
        <v>9</v>
      </c>
      <c r="M327" s="8" t="s">
        <v>210</v>
      </c>
      <c r="N327" s="8" t="s">
        <v>211</v>
      </c>
      <c r="O327" s="8" t="s">
        <v>202</v>
      </c>
    </row>
    <row r="328" spans="2:15" x14ac:dyDescent="0.25">
      <c r="B328" s="7" t="s">
        <v>268</v>
      </c>
      <c r="C328" s="17">
        <v>25198</v>
      </c>
      <c r="D328" s="7" t="s">
        <v>14</v>
      </c>
      <c r="E328" s="7" t="s">
        <v>269</v>
      </c>
      <c r="F328" s="7" t="s">
        <v>331</v>
      </c>
      <c r="G328" s="7" t="s">
        <v>35</v>
      </c>
      <c r="H328" s="7">
        <v>576778</v>
      </c>
      <c r="I328" s="7" t="s">
        <v>332</v>
      </c>
      <c r="J328" s="24">
        <v>32</v>
      </c>
      <c r="K328" s="24">
        <v>4</v>
      </c>
      <c r="L328" s="24">
        <v>3</v>
      </c>
      <c r="M328" s="8" t="s">
        <v>333</v>
      </c>
      <c r="N328" s="8" t="s">
        <v>216</v>
      </c>
      <c r="O328" s="8" t="s">
        <v>202</v>
      </c>
    </row>
    <row r="329" spans="2:15" x14ac:dyDescent="0.25">
      <c r="B329" s="7" t="s">
        <v>273</v>
      </c>
      <c r="C329" s="17">
        <v>23202</v>
      </c>
      <c r="D329" s="7" t="s">
        <v>14</v>
      </c>
      <c r="E329" s="7" t="s">
        <v>263</v>
      </c>
      <c r="F329" s="7" t="s">
        <v>264</v>
      </c>
      <c r="G329" s="7" t="s">
        <v>35</v>
      </c>
      <c r="H329" s="7">
        <v>413600</v>
      </c>
      <c r="I329" s="7" t="s">
        <v>320</v>
      </c>
      <c r="J329" s="24">
        <v>8</v>
      </c>
      <c r="K329" s="24">
        <v>1</v>
      </c>
      <c r="L329" s="24">
        <v>10</v>
      </c>
      <c r="M329" s="8" t="s">
        <v>224</v>
      </c>
      <c r="N329" s="8" t="s">
        <v>224</v>
      </c>
      <c r="O329" s="8" t="s">
        <v>202</v>
      </c>
    </row>
    <row r="330" spans="2:15" x14ac:dyDescent="0.25">
      <c r="B330" s="7" t="s">
        <v>312</v>
      </c>
      <c r="C330" s="17">
        <v>27976</v>
      </c>
      <c r="D330" s="7" t="s">
        <v>14</v>
      </c>
      <c r="E330" s="7" t="s">
        <v>88</v>
      </c>
      <c r="F330" s="7" t="s">
        <v>294</v>
      </c>
      <c r="G330" s="7" t="s">
        <v>35</v>
      </c>
      <c r="H330" s="7">
        <v>202584</v>
      </c>
      <c r="I330" s="7" t="s">
        <v>334</v>
      </c>
      <c r="J330" s="24">
        <v>8</v>
      </c>
      <c r="K330" s="24">
        <v>1</v>
      </c>
      <c r="L330" s="24">
        <v>6</v>
      </c>
      <c r="M330" s="8" t="s">
        <v>239</v>
      </c>
      <c r="N330" s="8" t="s">
        <v>239</v>
      </c>
      <c r="O330" s="8" t="s">
        <v>227</v>
      </c>
    </row>
    <row r="331" spans="2:15" x14ac:dyDescent="0.25">
      <c r="B331" s="7" t="s">
        <v>312</v>
      </c>
      <c r="C331" s="17">
        <v>27978</v>
      </c>
      <c r="D331" s="7" t="s">
        <v>14</v>
      </c>
      <c r="E331" s="7" t="s">
        <v>88</v>
      </c>
      <c r="F331" s="7" t="s">
        <v>294</v>
      </c>
      <c r="G331" s="7" t="s">
        <v>35</v>
      </c>
      <c r="H331" s="7">
        <v>202584</v>
      </c>
      <c r="I331" s="7" t="s">
        <v>334</v>
      </c>
      <c r="J331" s="24">
        <v>8</v>
      </c>
      <c r="K331" s="24">
        <v>1</v>
      </c>
      <c r="L331" s="24">
        <v>8</v>
      </c>
      <c r="M331" s="8" t="s">
        <v>240</v>
      </c>
      <c r="N331" s="8" t="s">
        <v>240</v>
      </c>
      <c r="O331" s="8" t="s">
        <v>227</v>
      </c>
    </row>
    <row r="332" spans="2:15" x14ac:dyDescent="0.25">
      <c r="B332" s="7" t="s">
        <v>273</v>
      </c>
      <c r="C332" s="17">
        <v>24902</v>
      </c>
      <c r="D332" s="7" t="s">
        <v>14</v>
      </c>
      <c r="E332" s="7" t="s">
        <v>263</v>
      </c>
      <c r="F332" s="7" t="s">
        <v>84</v>
      </c>
      <c r="G332" s="7" t="s">
        <v>35</v>
      </c>
      <c r="H332" s="7">
        <v>520356</v>
      </c>
      <c r="I332" s="7" t="s">
        <v>274</v>
      </c>
      <c r="J332" s="24">
        <v>16</v>
      </c>
      <c r="K332" s="24">
        <v>2</v>
      </c>
      <c r="L332" s="24">
        <v>9</v>
      </c>
      <c r="M332" s="8" t="s">
        <v>239</v>
      </c>
      <c r="N332" s="8" t="s">
        <v>240</v>
      </c>
      <c r="O332" s="8" t="s">
        <v>227</v>
      </c>
    </row>
    <row r="333" spans="2:15" x14ac:dyDescent="0.25">
      <c r="B333" s="7" t="s">
        <v>285</v>
      </c>
      <c r="C333" s="17">
        <v>28051</v>
      </c>
      <c r="D333" s="7" t="s">
        <v>14</v>
      </c>
      <c r="E333" s="7" t="s">
        <v>88</v>
      </c>
      <c r="F333" s="7" t="s">
        <v>199</v>
      </c>
      <c r="G333" s="7" t="s">
        <v>35</v>
      </c>
      <c r="H333" s="7">
        <v>433424</v>
      </c>
      <c r="I333" s="7" t="s">
        <v>286</v>
      </c>
      <c r="J333" s="24">
        <v>8</v>
      </c>
      <c r="K333" s="24">
        <v>1</v>
      </c>
      <c r="L333" s="24">
        <v>4</v>
      </c>
      <c r="M333" s="8" t="s">
        <v>241</v>
      </c>
      <c r="N333" s="8" t="s">
        <v>241</v>
      </c>
      <c r="O333" s="8" t="s">
        <v>227</v>
      </c>
    </row>
    <row r="334" spans="2:15" x14ac:dyDescent="0.25">
      <c r="B334" s="7" t="s">
        <v>285</v>
      </c>
      <c r="C334" s="17">
        <v>28014</v>
      </c>
      <c r="D334" s="7" t="s">
        <v>14</v>
      </c>
      <c r="E334" s="7" t="s">
        <v>88</v>
      </c>
      <c r="F334" s="7" t="s">
        <v>40</v>
      </c>
      <c r="G334" s="7" t="s">
        <v>35</v>
      </c>
      <c r="H334" s="7">
        <v>433424</v>
      </c>
      <c r="I334" s="7" t="s">
        <v>286</v>
      </c>
      <c r="J334" s="24">
        <v>24</v>
      </c>
      <c r="K334" s="24">
        <v>3</v>
      </c>
      <c r="L334" s="24">
        <v>5</v>
      </c>
      <c r="M334" s="8" t="s">
        <v>335</v>
      </c>
      <c r="N334" s="8" t="s">
        <v>243</v>
      </c>
      <c r="O334" s="8" t="s">
        <v>227</v>
      </c>
    </row>
    <row r="335" spans="2:15" x14ac:dyDescent="0.25">
      <c r="B335" s="7" t="s">
        <v>312</v>
      </c>
      <c r="C335" s="17">
        <v>27821</v>
      </c>
      <c r="D335" s="7" t="s">
        <v>14</v>
      </c>
      <c r="E335" s="7" t="s">
        <v>88</v>
      </c>
      <c r="F335" s="7" t="s">
        <v>89</v>
      </c>
      <c r="G335" s="7" t="s">
        <v>35</v>
      </c>
      <c r="H335" s="7">
        <v>202584</v>
      </c>
      <c r="I335" s="7" t="s">
        <v>334</v>
      </c>
      <c r="J335" s="24">
        <v>16</v>
      </c>
      <c r="K335" s="24">
        <v>2</v>
      </c>
      <c r="L335" s="24">
        <v>10</v>
      </c>
      <c r="M335" s="8" t="s">
        <v>243</v>
      </c>
      <c r="N335" s="8" t="s">
        <v>242</v>
      </c>
      <c r="O335" s="8" t="s">
        <v>227</v>
      </c>
    </row>
    <row r="336" spans="2:15" x14ac:dyDescent="0.25">
      <c r="B336" s="7" t="s">
        <v>312</v>
      </c>
      <c r="C336" s="17">
        <v>27828</v>
      </c>
      <c r="D336" s="7" t="s">
        <v>14</v>
      </c>
      <c r="E336" s="7" t="s">
        <v>88</v>
      </c>
      <c r="F336" s="7" t="s">
        <v>89</v>
      </c>
      <c r="G336" s="7" t="s">
        <v>35</v>
      </c>
      <c r="H336" s="7">
        <v>202584</v>
      </c>
      <c r="I336" s="7" t="s">
        <v>334</v>
      </c>
      <c r="J336" s="24">
        <v>16</v>
      </c>
      <c r="K336" s="24">
        <v>2</v>
      </c>
      <c r="L336" s="24">
        <v>9</v>
      </c>
      <c r="M336" s="8" t="s">
        <v>252</v>
      </c>
      <c r="N336" s="8" t="s">
        <v>253</v>
      </c>
      <c r="O336" s="8" t="s">
        <v>249</v>
      </c>
    </row>
    <row r="337" spans="2:15" x14ac:dyDescent="0.25">
      <c r="B337" s="7" t="s">
        <v>273</v>
      </c>
      <c r="C337" s="17">
        <v>20810</v>
      </c>
      <c r="D337" s="7" t="s">
        <v>15</v>
      </c>
      <c r="E337" s="7" t="s">
        <v>337</v>
      </c>
      <c r="F337" s="7" t="s">
        <v>105</v>
      </c>
      <c r="G337" s="7" t="s">
        <v>35</v>
      </c>
      <c r="H337" s="7">
        <v>196157</v>
      </c>
      <c r="I337" s="7" t="s">
        <v>338</v>
      </c>
      <c r="J337" s="20">
        <v>16</v>
      </c>
      <c r="K337" s="20">
        <v>2</v>
      </c>
      <c r="L337" s="20">
        <v>12</v>
      </c>
      <c r="M337" s="8" t="s">
        <v>49</v>
      </c>
      <c r="N337" s="18">
        <v>44257</v>
      </c>
      <c r="O337" s="8" t="s">
        <v>50</v>
      </c>
    </row>
    <row r="338" spans="2:15" x14ac:dyDescent="0.25">
      <c r="B338" s="7" t="s">
        <v>273</v>
      </c>
      <c r="C338" s="17">
        <v>20811</v>
      </c>
      <c r="D338" s="7" t="s">
        <v>15</v>
      </c>
      <c r="E338" s="7" t="s">
        <v>337</v>
      </c>
      <c r="F338" s="7" t="s">
        <v>105</v>
      </c>
      <c r="G338" s="7" t="s">
        <v>35</v>
      </c>
      <c r="H338" s="7">
        <v>196157</v>
      </c>
      <c r="I338" s="7" t="s">
        <v>338</v>
      </c>
      <c r="J338" s="20">
        <v>16</v>
      </c>
      <c r="K338" s="20">
        <v>2</v>
      </c>
      <c r="L338" s="20">
        <v>12</v>
      </c>
      <c r="M338" s="8" t="s">
        <v>339</v>
      </c>
      <c r="N338" s="18">
        <v>44264</v>
      </c>
      <c r="O338" s="8" t="s">
        <v>50</v>
      </c>
    </row>
    <row r="339" spans="2:15" x14ac:dyDescent="0.25">
      <c r="B339" s="7" t="s">
        <v>273</v>
      </c>
      <c r="C339" s="17">
        <v>20812</v>
      </c>
      <c r="D339" s="7" t="s">
        <v>15</v>
      </c>
      <c r="E339" s="7" t="s">
        <v>337</v>
      </c>
      <c r="F339" s="7" t="s">
        <v>105</v>
      </c>
      <c r="G339" s="7" t="s">
        <v>35</v>
      </c>
      <c r="H339" s="7">
        <v>196157</v>
      </c>
      <c r="I339" s="7" t="s">
        <v>338</v>
      </c>
      <c r="J339" s="20">
        <v>16</v>
      </c>
      <c r="K339" s="20">
        <v>2</v>
      </c>
      <c r="L339" s="20">
        <v>11</v>
      </c>
      <c r="M339" s="8" t="s">
        <v>340</v>
      </c>
      <c r="N339" s="18">
        <v>44267</v>
      </c>
      <c r="O339" s="8" t="s">
        <v>50</v>
      </c>
    </row>
    <row r="340" spans="2:15" x14ac:dyDescent="0.25">
      <c r="B340" s="7" t="s">
        <v>273</v>
      </c>
      <c r="C340" s="17">
        <v>20813</v>
      </c>
      <c r="D340" s="7" t="s">
        <v>15</v>
      </c>
      <c r="E340" s="7" t="s">
        <v>337</v>
      </c>
      <c r="F340" s="7" t="s">
        <v>105</v>
      </c>
      <c r="G340" s="7" t="s">
        <v>35</v>
      </c>
      <c r="H340" s="7">
        <v>196157</v>
      </c>
      <c r="I340" s="7" t="s">
        <v>338</v>
      </c>
      <c r="J340" s="20">
        <v>16</v>
      </c>
      <c r="K340" s="20">
        <v>2</v>
      </c>
      <c r="L340" s="20">
        <v>11</v>
      </c>
      <c r="M340" s="8" t="s">
        <v>58</v>
      </c>
      <c r="N340" s="18">
        <v>44279</v>
      </c>
      <c r="O340" s="8" t="s">
        <v>50</v>
      </c>
    </row>
    <row r="341" spans="2:15" x14ac:dyDescent="0.25">
      <c r="B341" s="7" t="s">
        <v>273</v>
      </c>
      <c r="C341" s="17">
        <v>20804</v>
      </c>
      <c r="D341" s="7" t="s">
        <v>15</v>
      </c>
      <c r="E341" s="7" t="s">
        <v>337</v>
      </c>
      <c r="F341" s="7" t="s">
        <v>264</v>
      </c>
      <c r="G341" s="7" t="s">
        <v>35</v>
      </c>
      <c r="H341" s="7">
        <v>226488</v>
      </c>
      <c r="I341" s="7" t="s">
        <v>341</v>
      </c>
      <c r="J341" s="20">
        <v>8</v>
      </c>
      <c r="K341" s="20">
        <v>1</v>
      </c>
      <c r="L341" s="20">
        <v>12</v>
      </c>
      <c r="M341" s="8" t="s">
        <v>342</v>
      </c>
      <c r="N341" s="18">
        <v>44284</v>
      </c>
      <c r="O341" s="8" t="s">
        <v>50</v>
      </c>
    </row>
    <row r="342" spans="2:15" x14ac:dyDescent="0.25">
      <c r="B342" s="7" t="s">
        <v>273</v>
      </c>
      <c r="C342" s="17">
        <v>20814</v>
      </c>
      <c r="D342" s="7" t="s">
        <v>15</v>
      </c>
      <c r="E342" s="7" t="s">
        <v>337</v>
      </c>
      <c r="F342" s="7" t="s">
        <v>105</v>
      </c>
      <c r="G342" s="7" t="s">
        <v>35</v>
      </c>
      <c r="H342" s="7">
        <v>196157</v>
      </c>
      <c r="I342" s="7" t="s">
        <v>338</v>
      </c>
      <c r="J342" s="20">
        <v>16</v>
      </c>
      <c r="K342" s="20">
        <v>2</v>
      </c>
      <c r="L342" s="20">
        <v>12</v>
      </c>
      <c r="M342" s="8" t="s">
        <v>342</v>
      </c>
      <c r="N342" s="18">
        <v>44285</v>
      </c>
      <c r="O342" s="8" t="s">
        <v>50</v>
      </c>
    </row>
    <row r="343" spans="2:15" x14ac:dyDescent="0.25">
      <c r="B343" s="7" t="s">
        <v>273</v>
      </c>
      <c r="C343" s="17">
        <v>20815</v>
      </c>
      <c r="D343" s="7" t="s">
        <v>15</v>
      </c>
      <c r="E343" s="7" t="s">
        <v>337</v>
      </c>
      <c r="F343" s="7" t="s">
        <v>105</v>
      </c>
      <c r="G343" s="7" t="s">
        <v>35</v>
      </c>
      <c r="H343" s="7">
        <v>196157</v>
      </c>
      <c r="I343" s="7" t="s">
        <v>338</v>
      </c>
      <c r="J343" s="20">
        <v>16</v>
      </c>
      <c r="K343" s="20">
        <v>2</v>
      </c>
      <c r="L343" s="20">
        <v>12</v>
      </c>
      <c r="M343" s="8" t="s">
        <v>266</v>
      </c>
      <c r="N343" s="18">
        <v>44292</v>
      </c>
      <c r="O343" s="8" t="s">
        <v>60</v>
      </c>
    </row>
    <row r="344" spans="2:15" x14ac:dyDescent="0.25">
      <c r="B344" s="7" t="s">
        <v>273</v>
      </c>
      <c r="C344" s="17">
        <v>20921</v>
      </c>
      <c r="D344" s="7" t="s">
        <v>15</v>
      </c>
      <c r="E344" s="7" t="s">
        <v>337</v>
      </c>
      <c r="F344" s="7" t="s">
        <v>84</v>
      </c>
      <c r="G344" s="7" t="s">
        <v>35</v>
      </c>
      <c r="H344" s="7">
        <v>196157</v>
      </c>
      <c r="I344" s="7" t="s">
        <v>338</v>
      </c>
      <c r="J344" s="20">
        <v>16</v>
      </c>
      <c r="K344" s="20">
        <v>2</v>
      </c>
      <c r="L344" s="20">
        <v>9</v>
      </c>
      <c r="M344" s="8" t="s">
        <v>343</v>
      </c>
      <c r="N344" s="18">
        <v>44295</v>
      </c>
      <c r="O344" s="8" t="s">
        <v>60</v>
      </c>
    </row>
    <row r="345" spans="2:15" x14ac:dyDescent="0.25">
      <c r="B345" s="7" t="s">
        <v>273</v>
      </c>
      <c r="C345" s="17">
        <v>20920</v>
      </c>
      <c r="D345" s="7" t="s">
        <v>15</v>
      </c>
      <c r="E345" s="7" t="s">
        <v>337</v>
      </c>
      <c r="F345" s="7" t="s">
        <v>84</v>
      </c>
      <c r="G345" s="7" t="s">
        <v>35</v>
      </c>
      <c r="H345" s="7">
        <v>196157</v>
      </c>
      <c r="I345" s="7" t="s">
        <v>338</v>
      </c>
      <c r="J345" s="20">
        <v>16</v>
      </c>
      <c r="K345" s="20">
        <v>2</v>
      </c>
      <c r="L345" s="20">
        <v>8</v>
      </c>
      <c r="M345" s="8" t="s">
        <v>344</v>
      </c>
      <c r="N345" s="18">
        <v>44299</v>
      </c>
      <c r="O345" s="8" t="s">
        <v>60</v>
      </c>
    </row>
    <row r="346" spans="2:15" x14ac:dyDescent="0.25">
      <c r="B346" s="7" t="s">
        <v>273</v>
      </c>
      <c r="C346" s="17">
        <v>20824</v>
      </c>
      <c r="D346" s="7" t="s">
        <v>15</v>
      </c>
      <c r="E346" s="7" t="s">
        <v>337</v>
      </c>
      <c r="F346" s="7" t="s">
        <v>294</v>
      </c>
      <c r="G346" s="7" t="s">
        <v>35</v>
      </c>
      <c r="H346" s="7">
        <v>317251</v>
      </c>
      <c r="I346" s="7" t="s">
        <v>345</v>
      </c>
      <c r="J346" s="20">
        <v>8</v>
      </c>
      <c r="K346" s="20">
        <v>1</v>
      </c>
      <c r="L346" s="20">
        <v>5</v>
      </c>
      <c r="M346" s="8" t="s">
        <v>67</v>
      </c>
      <c r="N346" s="18">
        <v>44305</v>
      </c>
      <c r="O346" s="8" t="s">
        <v>60</v>
      </c>
    </row>
    <row r="347" spans="2:15" x14ac:dyDescent="0.25">
      <c r="B347" s="7" t="s">
        <v>273</v>
      </c>
      <c r="C347" s="17">
        <v>20809</v>
      </c>
      <c r="D347" s="7" t="s">
        <v>15</v>
      </c>
      <c r="E347" s="7" t="s">
        <v>337</v>
      </c>
      <c r="F347" s="7" t="s">
        <v>105</v>
      </c>
      <c r="G347" s="7" t="s">
        <v>35</v>
      </c>
      <c r="H347" s="7">
        <v>196157</v>
      </c>
      <c r="I347" s="7" t="s">
        <v>338</v>
      </c>
      <c r="J347" s="20">
        <v>16</v>
      </c>
      <c r="K347" s="20">
        <v>2</v>
      </c>
      <c r="L347" s="20">
        <v>11</v>
      </c>
      <c r="M347" s="8" t="s">
        <v>67</v>
      </c>
      <c r="N347" s="18">
        <v>44306</v>
      </c>
      <c r="O347" s="8" t="s">
        <v>60</v>
      </c>
    </row>
    <row r="348" spans="2:15" x14ac:dyDescent="0.25">
      <c r="B348" s="7" t="s">
        <v>273</v>
      </c>
      <c r="C348" s="17">
        <v>20816</v>
      </c>
      <c r="D348" s="7" t="s">
        <v>15</v>
      </c>
      <c r="E348" s="7" t="s">
        <v>337</v>
      </c>
      <c r="F348" s="7" t="s">
        <v>105</v>
      </c>
      <c r="G348" s="7" t="s">
        <v>35</v>
      </c>
      <c r="H348" s="7">
        <v>196157</v>
      </c>
      <c r="I348" s="7" t="s">
        <v>338</v>
      </c>
      <c r="J348" s="20">
        <v>16</v>
      </c>
      <c r="K348" s="20">
        <v>2</v>
      </c>
      <c r="L348" s="20">
        <v>9</v>
      </c>
      <c r="M348" s="18">
        <v>44312</v>
      </c>
      <c r="N348" s="18">
        <v>44313</v>
      </c>
      <c r="O348" s="8" t="s">
        <v>60</v>
      </c>
    </row>
    <row r="349" spans="2:15" x14ac:dyDescent="0.25">
      <c r="B349" s="7" t="s">
        <v>273</v>
      </c>
      <c r="C349" s="17">
        <v>20926</v>
      </c>
      <c r="D349" s="7" t="s">
        <v>15</v>
      </c>
      <c r="E349" s="7" t="s">
        <v>337</v>
      </c>
      <c r="F349" s="7" t="s">
        <v>346</v>
      </c>
      <c r="G349" s="7" t="s">
        <v>35</v>
      </c>
      <c r="H349" s="7">
        <v>408659</v>
      </c>
      <c r="I349" s="7" t="s">
        <v>347</v>
      </c>
      <c r="J349" s="20">
        <v>16</v>
      </c>
      <c r="K349" s="20">
        <v>2</v>
      </c>
      <c r="L349" s="20">
        <v>13</v>
      </c>
      <c r="M349" s="8" t="s">
        <v>70</v>
      </c>
      <c r="N349" s="18">
        <v>44316</v>
      </c>
      <c r="O349" s="8" t="s">
        <v>60</v>
      </c>
    </row>
    <row r="350" spans="2:15" x14ac:dyDescent="0.25">
      <c r="B350" s="7" t="s">
        <v>273</v>
      </c>
      <c r="C350" s="17">
        <v>23609</v>
      </c>
      <c r="D350" s="7" t="s">
        <v>15</v>
      </c>
      <c r="E350" s="7" t="s">
        <v>74</v>
      </c>
      <c r="F350" s="7" t="s">
        <v>302</v>
      </c>
      <c r="G350" s="7" t="s">
        <v>35</v>
      </c>
      <c r="H350" s="7">
        <v>410457</v>
      </c>
      <c r="I350" s="7" t="s">
        <v>348</v>
      </c>
      <c r="J350" s="20">
        <v>8</v>
      </c>
      <c r="K350" s="20">
        <v>1</v>
      </c>
      <c r="L350" s="20">
        <v>2</v>
      </c>
      <c r="M350" s="8" t="s">
        <v>87</v>
      </c>
      <c r="N350" s="18">
        <v>44335</v>
      </c>
      <c r="O350" s="8" t="s">
        <v>77</v>
      </c>
    </row>
    <row r="351" spans="2:15" x14ac:dyDescent="0.25">
      <c r="B351" s="7" t="s">
        <v>273</v>
      </c>
      <c r="C351" s="17">
        <v>24454</v>
      </c>
      <c r="D351" s="7" t="s">
        <v>12</v>
      </c>
      <c r="E351" s="7" t="s">
        <v>349</v>
      </c>
      <c r="F351" s="7" t="s">
        <v>317</v>
      </c>
      <c r="G351" s="7" t="s">
        <v>35</v>
      </c>
      <c r="H351" s="7">
        <v>226488</v>
      </c>
      <c r="I351" s="7" t="s">
        <v>341</v>
      </c>
      <c r="J351" s="20">
        <v>16</v>
      </c>
      <c r="K351" s="20">
        <v>2</v>
      </c>
      <c r="L351" s="20">
        <v>6</v>
      </c>
      <c r="M351" s="8" t="s">
        <v>284</v>
      </c>
      <c r="N351" s="18">
        <v>44337</v>
      </c>
      <c r="O351" s="8" t="s">
        <v>77</v>
      </c>
    </row>
    <row r="352" spans="2:15" x14ac:dyDescent="0.25">
      <c r="B352" s="7" t="s">
        <v>273</v>
      </c>
      <c r="C352" s="17">
        <v>20925</v>
      </c>
      <c r="D352" s="7" t="s">
        <v>15</v>
      </c>
      <c r="E352" s="7" t="s">
        <v>337</v>
      </c>
      <c r="F352" s="7" t="s">
        <v>346</v>
      </c>
      <c r="G352" s="7" t="s">
        <v>35</v>
      </c>
      <c r="H352" s="7">
        <v>408659</v>
      </c>
      <c r="I352" s="7" t="s">
        <v>347</v>
      </c>
      <c r="J352" s="20">
        <v>16</v>
      </c>
      <c r="K352" s="20">
        <v>2</v>
      </c>
      <c r="L352" s="20">
        <v>13</v>
      </c>
      <c r="M352" s="8" t="s">
        <v>97</v>
      </c>
      <c r="N352" s="18">
        <v>44344</v>
      </c>
      <c r="O352" s="8" t="s">
        <v>77</v>
      </c>
    </row>
    <row r="353" spans="2:15" x14ac:dyDescent="0.25">
      <c r="B353" s="7" t="s">
        <v>273</v>
      </c>
      <c r="C353" s="17">
        <v>24401</v>
      </c>
      <c r="D353" s="7" t="s">
        <v>12</v>
      </c>
      <c r="E353" s="7" t="s">
        <v>349</v>
      </c>
      <c r="F353" s="7" t="s">
        <v>159</v>
      </c>
      <c r="G353" s="7" t="s">
        <v>35</v>
      </c>
      <c r="H353" s="7" t="s">
        <v>95</v>
      </c>
      <c r="I353" s="7" t="s">
        <v>96</v>
      </c>
      <c r="J353" s="20">
        <v>16</v>
      </c>
      <c r="K353" s="20">
        <v>2</v>
      </c>
      <c r="L353" s="20">
        <v>6</v>
      </c>
      <c r="M353" s="8" t="s">
        <v>350</v>
      </c>
      <c r="N353" s="18">
        <v>44348</v>
      </c>
      <c r="O353" s="8" t="s">
        <v>77</v>
      </c>
    </row>
    <row r="354" spans="2:15" x14ac:dyDescent="0.25">
      <c r="B354" s="7" t="s">
        <v>273</v>
      </c>
      <c r="C354" s="17">
        <v>21280</v>
      </c>
      <c r="D354" s="7" t="s">
        <v>15</v>
      </c>
      <c r="E354" s="7" t="s">
        <v>337</v>
      </c>
      <c r="F354" s="7" t="s">
        <v>34</v>
      </c>
      <c r="G354" s="7" t="s">
        <v>35</v>
      </c>
      <c r="H354" s="7">
        <v>196157</v>
      </c>
      <c r="I354" s="7" t="s">
        <v>338</v>
      </c>
      <c r="J354" s="20">
        <v>8</v>
      </c>
      <c r="K354" s="20">
        <v>1</v>
      </c>
      <c r="L354" s="20">
        <v>5</v>
      </c>
      <c r="M354" s="8" t="s">
        <v>101</v>
      </c>
      <c r="N354" s="18">
        <v>44349</v>
      </c>
      <c r="O354" s="8" t="s">
        <v>100</v>
      </c>
    </row>
    <row r="355" spans="2:15" x14ac:dyDescent="0.25">
      <c r="B355" s="7" t="s">
        <v>273</v>
      </c>
      <c r="C355" s="17">
        <v>24428</v>
      </c>
      <c r="D355" s="7" t="s">
        <v>12</v>
      </c>
      <c r="E355" s="7" t="s">
        <v>349</v>
      </c>
      <c r="F355" s="7" t="s">
        <v>127</v>
      </c>
      <c r="G355" s="7" t="s">
        <v>72</v>
      </c>
      <c r="H355" s="7">
        <v>375324</v>
      </c>
      <c r="I355" s="7" t="s">
        <v>351</v>
      </c>
      <c r="J355" s="20">
        <v>16</v>
      </c>
      <c r="K355" s="20">
        <v>2</v>
      </c>
      <c r="L355" s="20">
        <v>9</v>
      </c>
      <c r="M355" s="8" t="s">
        <v>99</v>
      </c>
      <c r="N355" s="8" t="s">
        <v>101</v>
      </c>
      <c r="O355" s="8" t="s">
        <v>100</v>
      </c>
    </row>
    <row r="356" spans="2:15" x14ac:dyDescent="0.25">
      <c r="B356" s="7" t="s">
        <v>273</v>
      </c>
      <c r="C356" s="17">
        <v>26478</v>
      </c>
      <c r="D356" s="7" t="s">
        <v>6</v>
      </c>
      <c r="E356" s="7" t="s">
        <v>352</v>
      </c>
      <c r="F356" s="7" t="s">
        <v>294</v>
      </c>
      <c r="G356" s="7" t="s">
        <v>35</v>
      </c>
      <c r="H356" s="7">
        <v>196853</v>
      </c>
      <c r="I356" s="7" t="s">
        <v>353</v>
      </c>
      <c r="J356" s="20">
        <v>8</v>
      </c>
      <c r="K356" s="20">
        <v>1</v>
      </c>
      <c r="L356" s="20">
        <v>12</v>
      </c>
      <c r="M356" s="8" t="s">
        <v>290</v>
      </c>
      <c r="N356" s="8" t="s">
        <v>290</v>
      </c>
      <c r="O356" s="8" t="s">
        <v>100</v>
      </c>
    </row>
    <row r="357" spans="2:15" x14ac:dyDescent="0.25">
      <c r="B357" s="7" t="s">
        <v>273</v>
      </c>
      <c r="C357" s="17">
        <v>23243</v>
      </c>
      <c r="D357" s="7" t="s">
        <v>15</v>
      </c>
      <c r="E357" s="7" t="s">
        <v>74</v>
      </c>
      <c r="F357" s="7" t="s">
        <v>34</v>
      </c>
      <c r="G357" s="7" t="s">
        <v>35</v>
      </c>
      <c r="H357" s="7">
        <v>196157</v>
      </c>
      <c r="I357" s="7" t="s">
        <v>338</v>
      </c>
      <c r="J357" s="20">
        <v>8</v>
      </c>
      <c r="K357" s="20">
        <v>1</v>
      </c>
      <c r="L357" s="20">
        <v>5</v>
      </c>
      <c r="M357" s="8" t="s">
        <v>103</v>
      </c>
      <c r="N357" s="8" t="s">
        <v>103</v>
      </c>
      <c r="O357" s="8" t="s">
        <v>100</v>
      </c>
    </row>
    <row r="358" spans="2:15" x14ac:dyDescent="0.25">
      <c r="B358" s="7" t="s">
        <v>273</v>
      </c>
      <c r="C358" s="17">
        <v>29126</v>
      </c>
      <c r="D358" s="7" t="s">
        <v>12</v>
      </c>
      <c r="E358" s="7" t="s">
        <v>349</v>
      </c>
      <c r="F358" s="7" t="s">
        <v>288</v>
      </c>
      <c r="G358" s="7" t="s">
        <v>35</v>
      </c>
      <c r="H358" s="7">
        <v>336120</v>
      </c>
      <c r="I358" s="7" t="s">
        <v>354</v>
      </c>
      <c r="J358" s="20">
        <v>16</v>
      </c>
      <c r="K358" s="20">
        <v>2</v>
      </c>
      <c r="L358" s="20">
        <v>1</v>
      </c>
      <c r="M358" s="18">
        <v>44378</v>
      </c>
      <c r="N358" s="18">
        <v>44379</v>
      </c>
      <c r="O358" s="8" t="s">
        <v>119</v>
      </c>
    </row>
    <row r="359" spans="2:15" x14ac:dyDescent="0.25">
      <c r="B359" s="7" t="s">
        <v>273</v>
      </c>
      <c r="C359" s="17">
        <v>20884</v>
      </c>
      <c r="D359" s="7" t="s">
        <v>15</v>
      </c>
      <c r="E359" s="7" t="s">
        <v>337</v>
      </c>
      <c r="F359" s="7" t="s">
        <v>148</v>
      </c>
      <c r="G359" s="7" t="s">
        <v>35</v>
      </c>
      <c r="H359" s="7">
        <v>408659</v>
      </c>
      <c r="I359" s="7" t="s">
        <v>347</v>
      </c>
      <c r="J359" s="20">
        <v>8</v>
      </c>
      <c r="K359" s="20">
        <v>1</v>
      </c>
      <c r="L359" s="20">
        <v>9</v>
      </c>
      <c r="M359" s="8" t="s">
        <v>308</v>
      </c>
      <c r="N359" s="8" t="s">
        <v>308</v>
      </c>
      <c r="O359" s="8" t="s">
        <v>119</v>
      </c>
    </row>
    <row r="360" spans="2:15" x14ac:dyDescent="0.25">
      <c r="B360" s="7" t="s">
        <v>273</v>
      </c>
      <c r="C360" s="17">
        <v>20881</v>
      </c>
      <c r="D360" s="7" t="s">
        <v>15</v>
      </c>
      <c r="E360" s="7" t="s">
        <v>337</v>
      </c>
      <c r="F360" s="7" t="s">
        <v>148</v>
      </c>
      <c r="G360" s="7" t="s">
        <v>35</v>
      </c>
      <c r="H360" s="7">
        <v>408659</v>
      </c>
      <c r="I360" s="7" t="s">
        <v>347</v>
      </c>
      <c r="J360" s="20">
        <v>8</v>
      </c>
      <c r="K360" s="20">
        <v>1</v>
      </c>
      <c r="L360" s="20">
        <v>12</v>
      </c>
      <c r="M360" s="8" t="s">
        <v>117</v>
      </c>
      <c r="N360" s="8" t="s">
        <v>117</v>
      </c>
      <c r="O360" s="8" t="s">
        <v>119</v>
      </c>
    </row>
    <row r="361" spans="2:15" x14ac:dyDescent="0.25">
      <c r="B361" s="7" t="s">
        <v>273</v>
      </c>
      <c r="C361" s="17">
        <v>20877</v>
      </c>
      <c r="D361" s="7" t="s">
        <v>15</v>
      </c>
      <c r="E361" s="7" t="s">
        <v>337</v>
      </c>
      <c r="F361" s="7" t="s">
        <v>148</v>
      </c>
      <c r="G361" s="7" t="s">
        <v>35</v>
      </c>
      <c r="H361" s="7">
        <v>408659</v>
      </c>
      <c r="I361" s="7" t="s">
        <v>347</v>
      </c>
      <c r="J361" s="20">
        <v>8</v>
      </c>
      <c r="K361" s="20">
        <v>1</v>
      </c>
      <c r="L361" s="20">
        <v>12</v>
      </c>
      <c r="M361" s="8" t="s">
        <v>310</v>
      </c>
      <c r="N361" s="8" t="s">
        <v>310</v>
      </c>
      <c r="O361" s="8" t="s">
        <v>119</v>
      </c>
    </row>
    <row r="362" spans="2:15" x14ac:dyDescent="0.25">
      <c r="B362" s="7" t="s">
        <v>273</v>
      </c>
      <c r="C362" s="17">
        <v>20878</v>
      </c>
      <c r="D362" s="7" t="s">
        <v>15</v>
      </c>
      <c r="E362" s="7" t="s">
        <v>337</v>
      </c>
      <c r="F362" s="7" t="s">
        <v>148</v>
      </c>
      <c r="G362" s="7" t="s">
        <v>35</v>
      </c>
      <c r="H362" s="7">
        <v>408659</v>
      </c>
      <c r="I362" s="7" t="s">
        <v>347</v>
      </c>
      <c r="J362" s="20">
        <v>8</v>
      </c>
      <c r="K362" s="20">
        <v>1</v>
      </c>
      <c r="L362" s="20">
        <v>12</v>
      </c>
      <c r="M362" s="8" t="s">
        <v>311</v>
      </c>
      <c r="N362" s="8" t="s">
        <v>311</v>
      </c>
      <c r="O362" s="8" t="s">
        <v>119</v>
      </c>
    </row>
    <row r="363" spans="2:15" x14ac:dyDescent="0.25">
      <c r="B363" s="7" t="s">
        <v>273</v>
      </c>
      <c r="C363" s="17">
        <v>26749</v>
      </c>
      <c r="D363" s="7" t="s">
        <v>6</v>
      </c>
      <c r="E363" s="7" t="s">
        <v>352</v>
      </c>
      <c r="F363" s="7" t="s">
        <v>89</v>
      </c>
      <c r="G363" s="7" t="s">
        <v>35</v>
      </c>
      <c r="H363" s="7">
        <v>107392</v>
      </c>
      <c r="I363" s="7" t="s">
        <v>355</v>
      </c>
      <c r="J363" s="20">
        <v>16</v>
      </c>
      <c r="K363" s="20">
        <v>2</v>
      </c>
      <c r="L363" s="20">
        <v>10</v>
      </c>
      <c r="M363" s="8" t="s">
        <v>310</v>
      </c>
      <c r="N363" s="8" t="s">
        <v>311</v>
      </c>
      <c r="O363" s="8" t="s">
        <v>119</v>
      </c>
    </row>
    <row r="364" spans="2:15" x14ac:dyDescent="0.25">
      <c r="B364" s="7" t="s">
        <v>273</v>
      </c>
      <c r="C364" s="17">
        <v>20879</v>
      </c>
      <c r="D364" s="7" t="s">
        <v>15</v>
      </c>
      <c r="E364" s="7" t="s">
        <v>337</v>
      </c>
      <c r="F364" s="7" t="s">
        <v>148</v>
      </c>
      <c r="G364" s="7" t="s">
        <v>35</v>
      </c>
      <c r="H364" s="7">
        <v>408659</v>
      </c>
      <c r="I364" s="7" t="s">
        <v>347</v>
      </c>
      <c r="J364" s="20">
        <v>8</v>
      </c>
      <c r="K364" s="20">
        <v>1</v>
      </c>
      <c r="L364" s="20">
        <v>12</v>
      </c>
      <c r="M364" s="8" t="s">
        <v>123</v>
      </c>
      <c r="N364" s="8" t="s">
        <v>123</v>
      </c>
      <c r="O364" s="8" t="s">
        <v>119</v>
      </c>
    </row>
    <row r="365" spans="2:15" x14ac:dyDescent="0.25">
      <c r="B365" s="7" t="s">
        <v>273</v>
      </c>
      <c r="C365" s="17">
        <v>20883</v>
      </c>
      <c r="D365" s="7" t="s">
        <v>15</v>
      </c>
      <c r="E365" s="7" t="s">
        <v>337</v>
      </c>
      <c r="F365" s="7" t="s">
        <v>148</v>
      </c>
      <c r="G365" s="7" t="s">
        <v>35</v>
      </c>
      <c r="H365" s="7">
        <v>408659</v>
      </c>
      <c r="I365" s="7" t="s">
        <v>347</v>
      </c>
      <c r="J365" s="20">
        <v>8</v>
      </c>
      <c r="K365" s="20">
        <v>1</v>
      </c>
      <c r="L365" s="20">
        <v>12</v>
      </c>
      <c r="M365" s="8" t="s">
        <v>121</v>
      </c>
      <c r="N365" s="8" t="s">
        <v>121</v>
      </c>
      <c r="O365" s="8" t="s">
        <v>119</v>
      </c>
    </row>
    <row r="366" spans="2:15" x14ac:dyDescent="0.25">
      <c r="B366" s="7" t="s">
        <v>273</v>
      </c>
      <c r="C366" s="17">
        <v>24384</v>
      </c>
      <c r="D366" s="7" t="s">
        <v>12</v>
      </c>
      <c r="E366" s="7" t="s">
        <v>349</v>
      </c>
      <c r="F366" s="7" t="s">
        <v>68</v>
      </c>
      <c r="G366" s="7" t="s">
        <v>35</v>
      </c>
      <c r="H366" s="7">
        <v>486686</v>
      </c>
      <c r="I366" s="7" t="s">
        <v>356</v>
      </c>
      <c r="J366" s="20">
        <v>24</v>
      </c>
      <c r="K366" s="20">
        <v>3</v>
      </c>
      <c r="L366" s="20">
        <v>7</v>
      </c>
      <c r="M366" s="8" t="s">
        <v>318</v>
      </c>
      <c r="N366" s="8" t="s">
        <v>130</v>
      </c>
      <c r="O366" s="8" t="s">
        <v>119</v>
      </c>
    </row>
    <row r="367" spans="2:15" x14ac:dyDescent="0.25">
      <c r="B367" s="7" t="s">
        <v>273</v>
      </c>
      <c r="C367" s="17">
        <v>20882</v>
      </c>
      <c r="D367" s="7" t="s">
        <v>15</v>
      </c>
      <c r="E367" s="7" t="s">
        <v>337</v>
      </c>
      <c r="F367" s="7" t="s">
        <v>148</v>
      </c>
      <c r="G367" s="7" t="s">
        <v>35</v>
      </c>
      <c r="H367" s="7">
        <v>408659</v>
      </c>
      <c r="I367" s="7" t="s">
        <v>347</v>
      </c>
      <c r="J367" s="20">
        <v>8</v>
      </c>
      <c r="K367" s="20">
        <v>1</v>
      </c>
      <c r="L367" s="20">
        <v>12</v>
      </c>
      <c r="M367" s="8" t="s">
        <v>357</v>
      </c>
      <c r="N367" s="8" t="s">
        <v>357</v>
      </c>
      <c r="O367" s="8" t="s">
        <v>119</v>
      </c>
    </row>
    <row r="368" spans="2:15" x14ac:dyDescent="0.25">
      <c r="B368" s="7" t="s">
        <v>273</v>
      </c>
      <c r="C368" s="17">
        <v>24402</v>
      </c>
      <c r="D368" s="7" t="s">
        <v>12</v>
      </c>
      <c r="E368" s="7" t="s">
        <v>349</v>
      </c>
      <c r="F368" s="7" t="s">
        <v>159</v>
      </c>
      <c r="G368" s="7" t="s">
        <v>35</v>
      </c>
      <c r="H368" s="7" t="s">
        <v>95</v>
      </c>
      <c r="I368" s="7" t="s">
        <v>96</v>
      </c>
      <c r="J368" s="20">
        <v>16</v>
      </c>
      <c r="K368" s="20">
        <v>2</v>
      </c>
      <c r="L368" s="20">
        <v>4</v>
      </c>
      <c r="M368" s="8" t="s">
        <v>137</v>
      </c>
      <c r="N368" s="8" t="s">
        <v>358</v>
      </c>
      <c r="O368" s="8" t="s">
        <v>119</v>
      </c>
    </row>
    <row r="369" spans="2:15" x14ac:dyDescent="0.25">
      <c r="B369" s="7" t="s">
        <v>273</v>
      </c>
      <c r="C369" s="17">
        <v>21242</v>
      </c>
      <c r="D369" s="7" t="s">
        <v>15</v>
      </c>
      <c r="E369" s="7" t="s">
        <v>337</v>
      </c>
      <c r="F369" s="7" t="s">
        <v>235</v>
      </c>
      <c r="G369" s="7" t="s">
        <v>35</v>
      </c>
      <c r="H369" s="7">
        <v>147188</v>
      </c>
      <c r="I369" s="7" t="s">
        <v>359</v>
      </c>
      <c r="J369" s="20">
        <v>8</v>
      </c>
      <c r="K369" s="20">
        <v>1</v>
      </c>
      <c r="L369" s="20">
        <v>19</v>
      </c>
      <c r="M369" s="8" t="s">
        <v>143</v>
      </c>
      <c r="N369" s="8" t="s">
        <v>143</v>
      </c>
      <c r="O369" s="8" t="s">
        <v>141</v>
      </c>
    </row>
    <row r="370" spans="2:15" x14ac:dyDescent="0.25">
      <c r="B370" s="7" t="s">
        <v>273</v>
      </c>
      <c r="C370" s="17">
        <v>24455</v>
      </c>
      <c r="D370" s="7" t="s">
        <v>12</v>
      </c>
      <c r="E370" s="7" t="s">
        <v>349</v>
      </c>
      <c r="F370" s="7" t="s">
        <v>317</v>
      </c>
      <c r="G370" s="7" t="s">
        <v>35</v>
      </c>
      <c r="H370" s="7">
        <v>226488</v>
      </c>
      <c r="I370" s="7" t="s">
        <v>341</v>
      </c>
      <c r="J370" s="20">
        <v>16</v>
      </c>
      <c r="K370" s="20">
        <v>2</v>
      </c>
      <c r="L370" s="20">
        <v>4</v>
      </c>
      <c r="M370" s="8" t="s">
        <v>145</v>
      </c>
      <c r="N370" s="8" t="s">
        <v>146</v>
      </c>
      <c r="O370" s="8" t="s">
        <v>141</v>
      </c>
    </row>
    <row r="371" spans="2:15" x14ac:dyDescent="0.25">
      <c r="B371" s="7" t="s">
        <v>273</v>
      </c>
      <c r="C371" s="17">
        <v>24983</v>
      </c>
      <c r="D371" s="7" t="s">
        <v>8</v>
      </c>
      <c r="E371" s="7" t="s">
        <v>142</v>
      </c>
      <c r="F371" s="7" t="s">
        <v>171</v>
      </c>
      <c r="G371" s="7" t="s">
        <v>35</v>
      </c>
      <c r="H371" s="7">
        <v>361756</v>
      </c>
      <c r="I371" s="7" t="s">
        <v>360</v>
      </c>
      <c r="J371" s="20">
        <v>8</v>
      </c>
      <c r="K371" s="20">
        <v>1</v>
      </c>
      <c r="L371" s="20">
        <v>3</v>
      </c>
      <c r="M371" s="8" t="s">
        <v>151</v>
      </c>
      <c r="N371" s="8" t="s">
        <v>151</v>
      </c>
      <c r="O371" s="8" t="s">
        <v>141</v>
      </c>
    </row>
    <row r="372" spans="2:15" x14ac:dyDescent="0.25">
      <c r="B372" s="7" t="s">
        <v>273</v>
      </c>
      <c r="C372" s="17">
        <v>20820</v>
      </c>
      <c r="D372" s="7" t="s">
        <v>15</v>
      </c>
      <c r="E372" s="7" t="s">
        <v>337</v>
      </c>
      <c r="F372" s="7" t="s">
        <v>302</v>
      </c>
      <c r="G372" s="7" t="s">
        <v>35</v>
      </c>
      <c r="H372" s="7">
        <v>196157</v>
      </c>
      <c r="I372" s="7" t="s">
        <v>338</v>
      </c>
      <c r="J372" s="20">
        <v>8</v>
      </c>
      <c r="K372" s="20">
        <v>1</v>
      </c>
      <c r="L372" s="20">
        <v>11</v>
      </c>
      <c r="M372" s="8" t="s">
        <v>154</v>
      </c>
      <c r="N372" s="8" t="s">
        <v>154</v>
      </c>
      <c r="O372" s="8" t="s">
        <v>141</v>
      </c>
    </row>
    <row r="373" spans="2:15" x14ac:dyDescent="0.25">
      <c r="B373" s="7" t="s">
        <v>273</v>
      </c>
      <c r="C373" s="17">
        <v>21243</v>
      </c>
      <c r="D373" s="7" t="s">
        <v>15</v>
      </c>
      <c r="E373" s="7" t="s">
        <v>337</v>
      </c>
      <c r="F373" s="7" t="s">
        <v>235</v>
      </c>
      <c r="G373" s="7" t="s">
        <v>35</v>
      </c>
      <c r="H373" s="7">
        <v>147188</v>
      </c>
      <c r="I373" s="7" t="s">
        <v>359</v>
      </c>
      <c r="J373" s="20">
        <v>8</v>
      </c>
      <c r="K373" s="20">
        <v>1</v>
      </c>
      <c r="L373" s="20">
        <v>20</v>
      </c>
      <c r="M373" s="8" t="s">
        <v>156</v>
      </c>
      <c r="N373" s="8" t="s">
        <v>156</v>
      </c>
      <c r="O373" s="8" t="s">
        <v>141</v>
      </c>
    </row>
    <row r="374" spans="2:15" x14ac:dyDescent="0.25">
      <c r="B374" s="7" t="s">
        <v>273</v>
      </c>
      <c r="C374" s="17">
        <v>26146</v>
      </c>
      <c r="D374" s="7" t="s">
        <v>8</v>
      </c>
      <c r="E374" s="7" t="s">
        <v>142</v>
      </c>
      <c r="F374" s="7" t="s">
        <v>331</v>
      </c>
      <c r="G374" s="7" t="s">
        <v>35</v>
      </c>
      <c r="H374" s="7">
        <v>361756</v>
      </c>
      <c r="I374" s="7" t="s">
        <v>360</v>
      </c>
      <c r="J374" s="20">
        <v>32</v>
      </c>
      <c r="K374" s="20">
        <v>4</v>
      </c>
      <c r="L374" s="20">
        <v>1</v>
      </c>
      <c r="M374" s="8" t="s">
        <v>154</v>
      </c>
      <c r="N374" s="8" t="s">
        <v>157</v>
      </c>
      <c r="O374" s="8" t="s">
        <v>141</v>
      </c>
    </row>
    <row r="375" spans="2:15" x14ac:dyDescent="0.25">
      <c r="B375" s="7" t="s">
        <v>273</v>
      </c>
      <c r="C375" s="17">
        <v>24385</v>
      </c>
      <c r="D375" s="7" t="s">
        <v>12</v>
      </c>
      <c r="E375" s="7" t="s">
        <v>349</v>
      </c>
      <c r="F375" s="7" t="s">
        <v>68</v>
      </c>
      <c r="G375" s="7" t="s">
        <v>35</v>
      </c>
      <c r="H375" s="7">
        <v>486686</v>
      </c>
      <c r="I375" s="7" t="s">
        <v>356</v>
      </c>
      <c r="J375" s="20">
        <v>24</v>
      </c>
      <c r="K375" s="20">
        <v>3</v>
      </c>
      <c r="L375" s="20">
        <v>5</v>
      </c>
      <c r="M375" s="8" t="s">
        <v>164</v>
      </c>
      <c r="N375" s="8" t="s">
        <v>166</v>
      </c>
      <c r="O375" s="8" t="s">
        <v>141</v>
      </c>
    </row>
    <row r="376" spans="2:15" x14ac:dyDescent="0.25">
      <c r="B376" s="7" t="s">
        <v>273</v>
      </c>
      <c r="C376" s="17">
        <v>21244</v>
      </c>
      <c r="D376" s="7" t="s">
        <v>15</v>
      </c>
      <c r="E376" s="7" t="s">
        <v>337</v>
      </c>
      <c r="F376" s="7" t="s">
        <v>235</v>
      </c>
      <c r="G376" s="7" t="s">
        <v>35</v>
      </c>
      <c r="H376" s="7">
        <v>147188</v>
      </c>
      <c r="I376" s="7" t="s">
        <v>359</v>
      </c>
      <c r="J376" s="20">
        <v>8</v>
      </c>
      <c r="K376" s="20">
        <v>1</v>
      </c>
      <c r="L376" s="20">
        <v>20</v>
      </c>
      <c r="M376" s="8" t="s">
        <v>170</v>
      </c>
      <c r="N376" s="8" t="s">
        <v>170</v>
      </c>
      <c r="O376" s="8" t="s">
        <v>173</v>
      </c>
    </row>
    <row r="377" spans="2:15" x14ac:dyDescent="0.25">
      <c r="B377" s="7" t="s">
        <v>273</v>
      </c>
      <c r="C377" s="17">
        <v>24386</v>
      </c>
      <c r="D377" s="7" t="s">
        <v>12</v>
      </c>
      <c r="E377" s="7" t="s">
        <v>349</v>
      </c>
      <c r="F377" s="7" t="s">
        <v>68</v>
      </c>
      <c r="G377" s="7" t="s">
        <v>35</v>
      </c>
      <c r="H377" s="7">
        <v>486686</v>
      </c>
      <c r="I377" s="7" t="s">
        <v>356</v>
      </c>
      <c r="J377" s="20">
        <v>24</v>
      </c>
      <c r="K377" s="20">
        <v>3</v>
      </c>
      <c r="L377" s="20">
        <v>11</v>
      </c>
      <c r="M377" s="8" t="s">
        <v>177</v>
      </c>
      <c r="N377" s="8" t="s">
        <v>179</v>
      </c>
      <c r="O377" s="8" t="s">
        <v>173</v>
      </c>
    </row>
    <row r="378" spans="2:15" x14ac:dyDescent="0.25">
      <c r="B378" s="7" t="s">
        <v>273</v>
      </c>
      <c r="C378" s="17">
        <v>26536</v>
      </c>
      <c r="D378" s="7" t="s">
        <v>6</v>
      </c>
      <c r="E378" s="7" t="s">
        <v>352</v>
      </c>
      <c r="F378" s="7" t="s">
        <v>84</v>
      </c>
      <c r="G378" s="7" t="s">
        <v>35</v>
      </c>
      <c r="H378" s="7">
        <v>196157</v>
      </c>
      <c r="I378" s="7" t="s">
        <v>338</v>
      </c>
      <c r="J378" s="20">
        <v>16</v>
      </c>
      <c r="K378" s="20">
        <v>2</v>
      </c>
      <c r="L378" s="20">
        <v>16</v>
      </c>
      <c r="M378" s="8" t="s">
        <v>181</v>
      </c>
      <c r="N378" s="8" t="s">
        <v>179</v>
      </c>
      <c r="O378" s="8" t="s">
        <v>173</v>
      </c>
    </row>
    <row r="379" spans="2:15" x14ac:dyDescent="0.25">
      <c r="B379" s="7" t="s">
        <v>273</v>
      </c>
      <c r="C379" s="17">
        <v>20808</v>
      </c>
      <c r="D379" s="7" t="s">
        <v>15</v>
      </c>
      <c r="E379" s="7" t="s">
        <v>337</v>
      </c>
      <c r="F379" s="7" t="s">
        <v>105</v>
      </c>
      <c r="G379" s="7" t="s">
        <v>35</v>
      </c>
      <c r="H379" s="7">
        <v>196157</v>
      </c>
      <c r="I379" s="7" t="s">
        <v>338</v>
      </c>
      <c r="J379" s="20">
        <v>16</v>
      </c>
      <c r="K379" s="20">
        <v>2</v>
      </c>
      <c r="L379" s="20">
        <v>12</v>
      </c>
      <c r="M379" s="8" t="s">
        <v>184</v>
      </c>
      <c r="N379" s="8" t="s">
        <v>185</v>
      </c>
      <c r="O379" s="8" t="s">
        <v>173</v>
      </c>
    </row>
    <row r="380" spans="2:15" x14ac:dyDescent="0.25">
      <c r="B380" s="7" t="s">
        <v>273</v>
      </c>
      <c r="C380" s="17">
        <v>21245</v>
      </c>
      <c r="D380" s="7" t="s">
        <v>15</v>
      </c>
      <c r="E380" s="7" t="s">
        <v>337</v>
      </c>
      <c r="F380" s="7" t="s">
        <v>235</v>
      </c>
      <c r="G380" s="7" t="s">
        <v>35</v>
      </c>
      <c r="H380" s="7">
        <v>147188</v>
      </c>
      <c r="I380" s="7" t="s">
        <v>359</v>
      </c>
      <c r="J380" s="20">
        <v>8</v>
      </c>
      <c r="K380" s="20">
        <v>1</v>
      </c>
      <c r="L380" s="20">
        <v>19</v>
      </c>
      <c r="M380" s="8" t="s">
        <v>185</v>
      </c>
      <c r="N380" s="8" t="s">
        <v>185</v>
      </c>
      <c r="O380" s="8" t="s">
        <v>173</v>
      </c>
    </row>
    <row r="381" spans="2:15" x14ac:dyDescent="0.25">
      <c r="B381" s="7" t="s">
        <v>273</v>
      </c>
      <c r="C381" s="17">
        <v>20880</v>
      </c>
      <c r="D381" s="7" t="s">
        <v>15</v>
      </c>
      <c r="E381" s="7" t="s">
        <v>337</v>
      </c>
      <c r="F381" s="7" t="s">
        <v>148</v>
      </c>
      <c r="G381" s="7" t="s">
        <v>35</v>
      </c>
      <c r="H381" s="7">
        <v>408659</v>
      </c>
      <c r="I381" s="7" t="s">
        <v>347</v>
      </c>
      <c r="J381" s="20">
        <v>8</v>
      </c>
      <c r="K381" s="20">
        <v>1</v>
      </c>
      <c r="L381" s="20">
        <v>12</v>
      </c>
      <c r="M381" s="8" t="s">
        <v>361</v>
      </c>
      <c r="N381" s="8" t="s">
        <v>361</v>
      </c>
      <c r="O381" s="8" t="s">
        <v>173</v>
      </c>
    </row>
    <row r="382" spans="2:15" x14ac:dyDescent="0.25">
      <c r="B382" s="7" t="s">
        <v>273</v>
      </c>
      <c r="C382" s="17">
        <v>24456</v>
      </c>
      <c r="D382" s="7" t="s">
        <v>12</v>
      </c>
      <c r="E382" s="7" t="s">
        <v>349</v>
      </c>
      <c r="F382" s="7" t="s">
        <v>317</v>
      </c>
      <c r="G382" s="7" t="s">
        <v>35</v>
      </c>
      <c r="H382" s="7">
        <v>226488</v>
      </c>
      <c r="I382" s="7" t="s">
        <v>341</v>
      </c>
      <c r="J382" s="20">
        <v>16</v>
      </c>
      <c r="K382" s="20">
        <v>2</v>
      </c>
      <c r="L382" s="20">
        <v>8</v>
      </c>
      <c r="M382" s="8" t="s">
        <v>192</v>
      </c>
      <c r="N382" s="8" t="s">
        <v>193</v>
      </c>
      <c r="O382" s="8" t="s">
        <v>173</v>
      </c>
    </row>
    <row r="383" spans="2:15" x14ac:dyDescent="0.25">
      <c r="B383" s="7" t="s">
        <v>273</v>
      </c>
      <c r="C383" s="17">
        <v>24877</v>
      </c>
      <c r="D383" s="7" t="s">
        <v>12</v>
      </c>
      <c r="E383" s="7" t="s">
        <v>349</v>
      </c>
      <c r="F383" s="7" t="s">
        <v>362</v>
      </c>
      <c r="G383" s="7" t="s">
        <v>72</v>
      </c>
      <c r="H383" s="7">
        <v>348492</v>
      </c>
      <c r="I383" s="7" t="s">
        <v>363</v>
      </c>
      <c r="J383" s="20">
        <v>24</v>
      </c>
      <c r="K383" s="20">
        <v>3</v>
      </c>
      <c r="L383" s="20">
        <v>5</v>
      </c>
      <c r="M383" s="8" t="s">
        <v>191</v>
      </c>
      <c r="N383" s="8" t="s">
        <v>197</v>
      </c>
      <c r="O383" s="8" t="s">
        <v>173</v>
      </c>
    </row>
    <row r="384" spans="2:15" x14ac:dyDescent="0.25">
      <c r="B384" s="7" t="s">
        <v>273</v>
      </c>
      <c r="C384" s="17">
        <v>24403</v>
      </c>
      <c r="D384" s="7" t="s">
        <v>12</v>
      </c>
      <c r="E384" s="7" t="s">
        <v>349</v>
      </c>
      <c r="F384" s="7" t="s">
        <v>159</v>
      </c>
      <c r="G384" s="7" t="s">
        <v>35</v>
      </c>
      <c r="H384" s="7" t="s">
        <v>95</v>
      </c>
      <c r="I384" s="7" t="s">
        <v>96</v>
      </c>
      <c r="J384" s="20">
        <v>16</v>
      </c>
      <c r="K384" s="20">
        <v>2</v>
      </c>
      <c r="L384" s="20">
        <v>7</v>
      </c>
      <c r="M384" s="8" t="s">
        <v>198</v>
      </c>
      <c r="N384" s="8" t="s">
        <v>200</v>
      </c>
      <c r="O384" s="8" t="s">
        <v>173</v>
      </c>
    </row>
    <row r="385" spans="2:15" x14ac:dyDescent="0.25">
      <c r="B385" s="7" t="s">
        <v>273</v>
      </c>
      <c r="C385" s="17">
        <v>21246</v>
      </c>
      <c r="D385" s="7" t="s">
        <v>15</v>
      </c>
      <c r="E385" s="7" t="s">
        <v>337</v>
      </c>
      <c r="F385" s="7" t="s">
        <v>235</v>
      </c>
      <c r="G385" s="7" t="s">
        <v>35</v>
      </c>
      <c r="H385" s="7">
        <v>147188</v>
      </c>
      <c r="I385" s="7" t="s">
        <v>359</v>
      </c>
      <c r="J385" s="20">
        <v>8</v>
      </c>
      <c r="K385" s="20">
        <v>1</v>
      </c>
      <c r="L385" s="20">
        <v>20</v>
      </c>
      <c r="M385" s="8" t="s">
        <v>204</v>
      </c>
      <c r="N385" s="8" t="s">
        <v>204</v>
      </c>
      <c r="O385" s="8" t="s">
        <v>202</v>
      </c>
    </row>
    <row r="386" spans="2:15" x14ac:dyDescent="0.25">
      <c r="B386" s="7" t="s">
        <v>273</v>
      </c>
      <c r="C386" s="17">
        <v>24387</v>
      </c>
      <c r="D386" s="7" t="s">
        <v>12</v>
      </c>
      <c r="E386" s="7" t="s">
        <v>349</v>
      </c>
      <c r="F386" s="7" t="s">
        <v>68</v>
      </c>
      <c r="G386" s="7" t="s">
        <v>35</v>
      </c>
      <c r="H386" s="7">
        <v>486686</v>
      </c>
      <c r="I386" s="7" t="s">
        <v>356</v>
      </c>
      <c r="J386" s="20">
        <v>24</v>
      </c>
      <c r="K386" s="20">
        <v>3</v>
      </c>
      <c r="L386" s="20">
        <v>4</v>
      </c>
      <c r="M386" s="8" t="s">
        <v>327</v>
      </c>
      <c r="N386" s="8" t="s">
        <v>204</v>
      </c>
      <c r="O386" s="8" t="s">
        <v>202</v>
      </c>
    </row>
    <row r="387" spans="2:15" x14ac:dyDescent="0.25">
      <c r="B387" s="7" t="s">
        <v>273</v>
      </c>
      <c r="C387" s="17">
        <v>24356</v>
      </c>
      <c r="D387" s="7" t="s">
        <v>12</v>
      </c>
      <c r="E387" s="7" t="s">
        <v>349</v>
      </c>
      <c r="F387" s="7" t="s">
        <v>171</v>
      </c>
      <c r="G387" s="7" t="s">
        <v>72</v>
      </c>
      <c r="H387" s="7">
        <v>332078</v>
      </c>
      <c r="I387" s="7" t="s">
        <v>364</v>
      </c>
      <c r="J387" s="20">
        <v>8</v>
      </c>
      <c r="K387" s="20">
        <v>1</v>
      </c>
      <c r="L387" s="20">
        <v>14</v>
      </c>
      <c r="M387" s="8" t="s">
        <v>209</v>
      </c>
      <c r="N387" s="8" t="s">
        <v>210</v>
      </c>
      <c r="O387" s="8" t="s">
        <v>202</v>
      </c>
    </row>
    <row r="388" spans="2:15" x14ac:dyDescent="0.25">
      <c r="B388" s="7" t="s">
        <v>273</v>
      </c>
      <c r="C388" s="17">
        <v>20819</v>
      </c>
      <c r="D388" s="7" t="s">
        <v>15</v>
      </c>
      <c r="E388" s="7" t="s">
        <v>337</v>
      </c>
      <c r="F388" s="7" t="s">
        <v>302</v>
      </c>
      <c r="G388" s="7" t="s">
        <v>35</v>
      </c>
      <c r="H388" s="7">
        <v>196157</v>
      </c>
      <c r="I388" s="7" t="s">
        <v>338</v>
      </c>
      <c r="J388" s="20">
        <v>8</v>
      </c>
      <c r="K388" s="20">
        <v>1</v>
      </c>
      <c r="L388" s="20">
        <v>10</v>
      </c>
      <c r="M388" s="8" t="s">
        <v>211</v>
      </c>
      <c r="N388" s="8" t="s">
        <v>211</v>
      </c>
      <c r="O388" s="8" t="s">
        <v>202</v>
      </c>
    </row>
    <row r="389" spans="2:15" x14ac:dyDescent="0.25">
      <c r="B389" s="7" t="s">
        <v>273</v>
      </c>
      <c r="C389" s="17">
        <v>21247</v>
      </c>
      <c r="D389" s="7" t="s">
        <v>15</v>
      </c>
      <c r="E389" s="7" t="s">
        <v>337</v>
      </c>
      <c r="F389" s="7" t="s">
        <v>235</v>
      </c>
      <c r="G389" s="7" t="s">
        <v>35</v>
      </c>
      <c r="H389" s="7">
        <v>147188</v>
      </c>
      <c r="I389" s="7" t="s">
        <v>359</v>
      </c>
      <c r="J389" s="20">
        <v>8</v>
      </c>
      <c r="K389" s="20">
        <v>1</v>
      </c>
      <c r="L389" s="20">
        <v>20</v>
      </c>
      <c r="M389" s="8" t="s">
        <v>215</v>
      </c>
      <c r="N389" s="8" t="s">
        <v>215</v>
      </c>
      <c r="O389" s="8" t="s">
        <v>202</v>
      </c>
    </row>
    <row r="390" spans="2:15" x14ac:dyDescent="0.25">
      <c r="B390" s="7" t="s">
        <v>273</v>
      </c>
      <c r="C390" s="17">
        <v>21248</v>
      </c>
      <c r="D390" s="7" t="s">
        <v>15</v>
      </c>
      <c r="E390" s="7" t="s">
        <v>337</v>
      </c>
      <c r="F390" s="7" t="s">
        <v>235</v>
      </c>
      <c r="G390" s="7" t="s">
        <v>35</v>
      </c>
      <c r="H390" s="7">
        <v>147188</v>
      </c>
      <c r="I390" s="7" t="s">
        <v>359</v>
      </c>
      <c r="J390" s="20">
        <v>8</v>
      </c>
      <c r="K390" s="20">
        <v>1</v>
      </c>
      <c r="L390" s="20">
        <v>20</v>
      </c>
      <c r="M390" s="8" t="s">
        <v>365</v>
      </c>
      <c r="N390" s="8" t="s">
        <v>365</v>
      </c>
      <c r="O390" s="8" t="s">
        <v>227</v>
      </c>
    </row>
    <row r="391" spans="2:15" x14ac:dyDescent="0.25">
      <c r="B391" s="7" t="s">
        <v>273</v>
      </c>
      <c r="C391" s="17">
        <v>24388</v>
      </c>
      <c r="D391" s="7" t="s">
        <v>12</v>
      </c>
      <c r="E391" s="7" t="s">
        <v>349</v>
      </c>
      <c r="F391" s="7" t="s">
        <v>68</v>
      </c>
      <c r="G391" s="7" t="s">
        <v>35</v>
      </c>
      <c r="H391" s="7">
        <v>486686</v>
      </c>
      <c r="I391" s="7" t="s">
        <v>356</v>
      </c>
      <c r="J391" s="20">
        <v>24</v>
      </c>
      <c r="K391" s="20">
        <v>3</v>
      </c>
      <c r="L391" s="20">
        <v>8</v>
      </c>
      <c r="M391" s="8" t="s">
        <v>230</v>
      </c>
      <c r="N391" s="8" t="s">
        <v>366</v>
      </c>
      <c r="O391" s="8" t="s">
        <v>227</v>
      </c>
    </row>
    <row r="392" spans="2:15" x14ac:dyDescent="0.25">
      <c r="B392" s="7" t="s">
        <v>273</v>
      </c>
      <c r="C392" s="17">
        <v>21249</v>
      </c>
      <c r="D392" s="7" t="s">
        <v>15</v>
      </c>
      <c r="E392" s="7" t="s">
        <v>337</v>
      </c>
      <c r="F392" s="7" t="s">
        <v>235</v>
      </c>
      <c r="G392" s="7" t="s">
        <v>35</v>
      </c>
      <c r="H392" s="7">
        <v>147188</v>
      </c>
      <c r="I392" s="7" t="s">
        <v>359</v>
      </c>
      <c r="J392" s="20">
        <v>8</v>
      </c>
      <c r="K392" s="20">
        <v>1</v>
      </c>
      <c r="L392" s="20">
        <v>19</v>
      </c>
      <c r="M392" s="8" t="s">
        <v>238</v>
      </c>
      <c r="N392" s="8" t="s">
        <v>238</v>
      </c>
      <c r="O392" s="8" t="s">
        <v>227</v>
      </c>
    </row>
    <row r="393" spans="2:15" x14ac:dyDescent="0.25">
      <c r="B393" s="7" t="s">
        <v>262</v>
      </c>
      <c r="C393" s="17">
        <v>23244</v>
      </c>
      <c r="D393" s="7" t="s">
        <v>15</v>
      </c>
      <c r="E393" s="7" t="s">
        <v>74</v>
      </c>
      <c r="F393" s="7" t="s">
        <v>34</v>
      </c>
      <c r="G393" s="7" t="s">
        <v>35</v>
      </c>
      <c r="H393" s="8">
        <v>352720</v>
      </c>
      <c r="I393" s="7" t="s">
        <v>373</v>
      </c>
      <c r="J393" s="38">
        <v>8</v>
      </c>
      <c r="K393" s="38">
        <v>1</v>
      </c>
      <c r="L393" s="38">
        <v>4</v>
      </c>
      <c r="M393" s="8">
        <v>44278</v>
      </c>
      <c r="N393" s="18">
        <v>44278</v>
      </c>
      <c r="O393" s="8" t="s">
        <v>50</v>
      </c>
    </row>
    <row r="394" spans="2:15" x14ac:dyDescent="0.25">
      <c r="B394" s="7" t="s">
        <v>262</v>
      </c>
      <c r="C394" s="17">
        <v>24460</v>
      </c>
      <c r="D394" s="7" t="s">
        <v>12</v>
      </c>
      <c r="E394" s="7" t="s">
        <v>349</v>
      </c>
      <c r="F394" s="7" t="s">
        <v>148</v>
      </c>
      <c r="G394" s="7" t="s">
        <v>35</v>
      </c>
      <c r="H394" s="8">
        <v>317687</v>
      </c>
      <c r="I394" s="7" t="s">
        <v>374</v>
      </c>
      <c r="J394" s="38">
        <v>8</v>
      </c>
      <c r="K394" s="38">
        <v>1</v>
      </c>
      <c r="L394" s="38">
        <v>12</v>
      </c>
      <c r="M394" s="8" t="s">
        <v>67</v>
      </c>
      <c r="N394" s="18">
        <v>44305</v>
      </c>
      <c r="O394" s="8" t="s">
        <v>60</v>
      </c>
    </row>
    <row r="395" spans="2:15" x14ac:dyDescent="0.25">
      <c r="B395" s="7" t="s">
        <v>262</v>
      </c>
      <c r="C395" s="17">
        <v>24432</v>
      </c>
      <c r="D395" s="7" t="s">
        <v>12</v>
      </c>
      <c r="E395" s="7" t="s">
        <v>349</v>
      </c>
      <c r="F395" s="7" t="s">
        <v>294</v>
      </c>
      <c r="G395" s="7" t="s">
        <v>35</v>
      </c>
      <c r="H395" s="8">
        <v>203860</v>
      </c>
      <c r="I395" s="7" t="s">
        <v>368</v>
      </c>
      <c r="J395" s="38">
        <v>8</v>
      </c>
      <c r="K395" s="38">
        <v>1</v>
      </c>
      <c r="L395" s="38">
        <v>9</v>
      </c>
      <c r="M395" s="8" t="s">
        <v>375</v>
      </c>
      <c r="N395" s="18">
        <v>44306</v>
      </c>
      <c r="O395" s="8" t="s">
        <v>60</v>
      </c>
    </row>
    <row r="396" spans="2:15" x14ac:dyDescent="0.25">
      <c r="B396" s="7" t="s">
        <v>262</v>
      </c>
      <c r="C396" s="17">
        <v>26479</v>
      </c>
      <c r="D396" s="7" t="s">
        <v>6</v>
      </c>
      <c r="E396" s="7" t="s">
        <v>352</v>
      </c>
      <c r="F396" s="7" t="s">
        <v>294</v>
      </c>
      <c r="G396" s="7" t="s">
        <v>35</v>
      </c>
      <c r="H396" s="8">
        <v>312224</v>
      </c>
      <c r="I396" s="7" t="s">
        <v>376</v>
      </c>
      <c r="J396" s="38">
        <v>8</v>
      </c>
      <c r="K396" s="38">
        <v>1</v>
      </c>
      <c r="L396" s="38">
        <v>11</v>
      </c>
      <c r="M396" s="8" t="s">
        <v>377</v>
      </c>
      <c r="N396" s="18">
        <v>44312</v>
      </c>
      <c r="O396" s="8" t="s">
        <v>60</v>
      </c>
    </row>
    <row r="397" spans="2:15" x14ac:dyDescent="0.25">
      <c r="B397" s="7" t="s">
        <v>262</v>
      </c>
      <c r="C397" s="17">
        <v>26774</v>
      </c>
      <c r="D397" s="7" t="s">
        <v>6</v>
      </c>
      <c r="E397" s="7" t="s">
        <v>352</v>
      </c>
      <c r="F397" s="7" t="s">
        <v>148</v>
      </c>
      <c r="G397" s="7" t="s">
        <v>35</v>
      </c>
      <c r="H397" s="8">
        <v>457409</v>
      </c>
      <c r="I397" s="7" t="s">
        <v>370</v>
      </c>
      <c r="J397" s="38">
        <v>8</v>
      </c>
      <c r="K397" s="38">
        <v>1</v>
      </c>
      <c r="L397" s="38">
        <v>8</v>
      </c>
      <c r="M397" s="8" t="s">
        <v>70</v>
      </c>
      <c r="N397" s="18">
        <v>44315</v>
      </c>
      <c r="O397" s="8" t="s">
        <v>60</v>
      </c>
    </row>
    <row r="398" spans="2:15" x14ac:dyDescent="0.25">
      <c r="B398" s="7" t="s">
        <v>262</v>
      </c>
      <c r="C398" s="17">
        <v>26775</v>
      </c>
      <c r="D398" s="7" t="s">
        <v>6</v>
      </c>
      <c r="E398" s="7" t="s">
        <v>352</v>
      </c>
      <c r="F398" s="7" t="s">
        <v>148</v>
      </c>
      <c r="G398" s="7" t="s">
        <v>35</v>
      </c>
      <c r="H398" s="8">
        <v>457409</v>
      </c>
      <c r="I398" s="7" t="s">
        <v>370</v>
      </c>
      <c r="J398" s="38">
        <v>8</v>
      </c>
      <c r="K398" s="38">
        <v>1</v>
      </c>
      <c r="L398" s="38">
        <v>8</v>
      </c>
      <c r="M398" s="8" t="s">
        <v>267</v>
      </c>
      <c r="N398" s="18">
        <v>44316</v>
      </c>
      <c r="O398" s="8" t="s">
        <v>60</v>
      </c>
    </row>
    <row r="399" spans="2:15" x14ac:dyDescent="0.25">
      <c r="B399" s="7" t="s">
        <v>262</v>
      </c>
      <c r="C399" s="17">
        <v>26743</v>
      </c>
      <c r="D399" s="7" t="s">
        <v>6</v>
      </c>
      <c r="E399" s="7" t="s">
        <v>352</v>
      </c>
      <c r="F399" s="7" t="s">
        <v>264</v>
      </c>
      <c r="G399" s="7" t="s">
        <v>35</v>
      </c>
      <c r="H399" s="8">
        <v>203860</v>
      </c>
      <c r="I399" s="7" t="s">
        <v>368</v>
      </c>
      <c r="J399" s="38">
        <v>8</v>
      </c>
      <c r="K399" s="38">
        <v>1</v>
      </c>
      <c r="L399" s="38">
        <v>7</v>
      </c>
      <c r="M399" s="8" t="s">
        <v>378</v>
      </c>
      <c r="N399" s="18">
        <v>44323</v>
      </c>
      <c r="O399" s="8" t="s">
        <v>77</v>
      </c>
    </row>
    <row r="400" spans="2:15" x14ac:dyDescent="0.25">
      <c r="B400" s="7" t="s">
        <v>262</v>
      </c>
      <c r="C400" s="17">
        <v>26540</v>
      </c>
      <c r="D400" s="7" t="s">
        <v>6</v>
      </c>
      <c r="E400" s="7" t="s">
        <v>352</v>
      </c>
      <c r="F400" s="7" t="s">
        <v>346</v>
      </c>
      <c r="G400" s="7" t="s">
        <v>35</v>
      </c>
      <c r="H400" s="8">
        <v>124389</v>
      </c>
      <c r="I400" s="7" t="s">
        <v>379</v>
      </c>
      <c r="J400" s="38">
        <v>16</v>
      </c>
      <c r="K400" s="38">
        <v>2</v>
      </c>
      <c r="L400" s="38">
        <v>11</v>
      </c>
      <c r="M400" s="8" t="s">
        <v>80</v>
      </c>
      <c r="N400" s="18">
        <v>44328</v>
      </c>
      <c r="O400" s="8" t="s">
        <v>77</v>
      </c>
    </row>
    <row r="401" spans="2:15" x14ac:dyDescent="0.25">
      <c r="B401" s="7" t="s">
        <v>262</v>
      </c>
      <c r="C401" s="17">
        <v>24473</v>
      </c>
      <c r="D401" s="7" t="s">
        <v>12</v>
      </c>
      <c r="E401" s="7" t="s">
        <v>349</v>
      </c>
      <c r="F401" s="7" t="s">
        <v>40</v>
      </c>
      <c r="G401" s="7" t="s">
        <v>35</v>
      </c>
      <c r="H401" s="8">
        <v>352720</v>
      </c>
      <c r="I401" s="7" t="s">
        <v>373</v>
      </c>
      <c r="J401" s="38">
        <v>24</v>
      </c>
      <c r="K401" s="38">
        <v>3</v>
      </c>
      <c r="L401" s="38">
        <v>8</v>
      </c>
      <c r="M401" s="8" t="s">
        <v>80</v>
      </c>
      <c r="N401" s="18">
        <v>44329</v>
      </c>
      <c r="O401" s="8" t="s">
        <v>77</v>
      </c>
    </row>
    <row r="402" spans="2:15" x14ac:dyDescent="0.25">
      <c r="B402" s="7" t="s">
        <v>262</v>
      </c>
      <c r="C402" s="17">
        <v>28078</v>
      </c>
      <c r="D402" s="7" t="s">
        <v>12</v>
      </c>
      <c r="E402" s="7" t="s">
        <v>349</v>
      </c>
      <c r="F402" s="7" t="s">
        <v>199</v>
      </c>
      <c r="G402" s="7" t="s">
        <v>35</v>
      </c>
      <c r="H402" s="8">
        <v>352720</v>
      </c>
      <c r="I402" s="7" t="s">
        <v>373</v>
      </c>
      <c r="J402" s="38">
        <v>8</v>
      </c>
      <c r="K402" s="38">
        <v>1</v>
      </c>
      <c r="L402" s="38">
        <v>13</v>
      </c>
      <c r="M402" s="8" t="s">
        <v>380</v>
      </c>
      <c r="N402" s="18">
        <v>44330</v>
      </c>
      <c r="O402" s="8" t="s">
        <v>77</v>
      </c>
    </row>
    <row r="403" spans="2:15" x14ac:dyDescent="0.25">
      <c r="B403" s="7" t="s">
        <v>262</v>
      </c>
      <c r="C403" s="17">
        <v>26541</v>
      </c>
      <c r="D403" s="7" t="s">
        <v>6</v>
      </c>
      <c r="E403" s="7" t="s">
        <v>352</v>
      </c>
      <c r="F403" s="7" t="s">
        <v>346</v>
      </c>
      <c r="G403" s="7" t="s">
        <v>35</v>
      </c>
      <c r="H403" s="8">
        <v>124389</v>
      </c>
      <c r="I403" s="7" t="s">
        <v>379</v>
      </c>
      <c r="J403" s="38">
        <v>16</v>
      </c>
      <c r="K403" s="38">
        <v>2</v>
      </c>
      <c r="L403" s="38">
        <v>11</v>
      </c>
      <c r="M403" s="8" t="s">
        <v>83</v>
      </c>
      <c r="N403" s="18">
        <v>44330</v>
      </c>
      <c r="O403" s="8" t="s">
        <v>77</v>
      </c>
    </row>
    <row r="404" spans="2:15" x14ac:dyDescent="0.25">
      <c r="B404" s="7" t="s">
        <v>262</v>
      </c>
      <c r="C404" s="17">
        <v>21403</v>
      </c>
      <c r="D404" s="7" t="s">
        <v>15</v>
      </c>
      <c r="E404" s="7" t="s">
        <v>74</v>
      </c>
      <c r="F404" s="7" t="s">
        <v>294</v>
      </c>
      <c r="G404" s="7" t="s">
        <v>35</v>
      </c>
      <c r="H404" s="8">
        <v>312224</v>
      </c>
      <c r="I404" s="7" t="s">
        <v>376</v>
      </c>
      <c r="J404" s="38">
        <v>8</v>
      </c>
      <c r="K404" s="38">
        <v>1</v>
      </c>
      <c r="L404" s="38">
        <v>11</v>
      </c>
      <c r="M404" s="8" t="s">
        <v>87</v>
      </c>
      <c r="N404" s="18">
        <v>44335</v>
      </c>
      <c r="O404" s="8" t="s">
        <v>77</v>
      </c>
    </row>
    <row r="405" spans="2:15" x14ac:dyDescent="0.25">
      <c r="B405" s="7" t="s">
        <v>262</v>
      </c>
      <c r="C405" s="17">
        <v>21402</v>
      </c>
      <c r="D405" s="7" t="s">
        <v>15</v>
      </c>
      <c r="E405" s="7" t="s">
        <v>74</v>
      </c>
      <c r="F405" s="7" t="s">
        <v>294</v>
      </c>
      <c r="G405" s="7" t="s">
        <v>35</v>
      </c>
      <c r="H405" s="8">
        <v>312224</v>
      </c>
      <c r="I405" s="7" t="s">
        <v>376</v>
      </c>
      <c r="J405" s="38">
        <v>8</v>
      </c>
      <c r="K405" s="38">
        <v>1</v>
      </c>
      <c r="L405" s="38">
        <v>11</v>
      </c>
      <c r="M405" s="8" t="s">
        <v>284</v>
      </c>
      <c r="N405" s="18">
        <v>44336</v>
      </c>
      <c r="O405" s="8" t="s">
        <v>77</v>
      </c>
    </row>
    <row r="406" spans="2:15" x14ac:dyDescent="0.25">
      <c r="B406" s="7" t="s">
        <v>262</v>
      </c>
      <c r="C406" s="17">
        <v>24404</v>
      </c>
      <c r="D406" s="7" t="s">
        <v>12</v>
      </c>
      <c r="E406" s="7" t="s">
        <v>349</v>
      </c>
      <c r="F406" s="7" t="s">
        <v>159</v>
      </c>
      <c r="G406" s="7" t="s">
        <v>35</v>
      </c>
      <c r="H406" s="8">
        <v>449433</v>
      </c>
      <c r="I406" s="7" t="s">
        <v>381</v>
      </c>
      <c r="J406" s="38">
        <v>16</v>
      </c>
      <c r="K406" s="38">
        <v>2</v>
      </c>
      <c r="L406" s="38">
        <v>6</v>
      </c>
      <c r="M406" s="8" t="s">
        <v>284</v>
      </c>
      <c r="N406" s="18">
        <v>44337</v>
      </c>
      <c r="O406" s="8" t="s">
        <v>77</v>
      </c>
    </row>
    <row r="407" spans="2:15" x14ac:dyDescent="0.25">
      <c r="B407" s="7" t="s">
        <v>262</v>
      </c>
      <c r="C407" s="17">
        <v>26553</v>
      </c>
      <c r="D407" s="7" t="s">
        <v>6</v>
      </c>
      <c r="E407" s="7" t="s">
        <v>352</v>
      </c>
      <c r="F407" s="7" t="s">
        <v>40</v>
      </c>
      <c r="G407" s="7" t="s">
        <v>35</v>
      </c>
      <c r="H407" s="8">
        <v>352720</v>
      </c>
      <c r="I407" s="7" t="s">
        <v>373</v>
      </c>
      <c r="J407" s="38">
        <v>24</v>
      </c>
      <c r="K407" s="38">
        <v>3</v>
      </c>
      <c r="L407" s="38">
        <v>6</v>
      </c>
      <c r="M407" s="8" t="s">
        <v>299</v>
      </c>
      <c r="N407" s="8" t="s">
        <v>107</v>
      </c>
      <c r="O407" s="8" t="s">
        <v>100</v>
      </c>
    </row>
    <row r="408" spans="2:15" x14ac:dyDescent="0.25">
      <c r="B408" s="7" t="s">
        <v>262</v>
      </c>
      <c r="C408" s="17">
        <v>22349</v>
      </c>
      <c r="D408" s="7" t="s">
        <v>15</v>
      </c>
      <c r="E408" s="7" t="s">
        <v>74</v>
      </c>
      <c r="F408" s="7" t="s">
        <v>264</v>
      </c>
      <c r="G408" s="7" t="s">
        <v>35</v>
      </c>
      <c r="H408" s="8">
        <v>449433</v>
      </c>
      <c r="I408" s="7" t="s">
        <v>381</v>
      </c>
      <c r="J408" s="38">
        <v>8</v>
      </c>
      <c r="K408" s="38">
        <v>1</v>
      </c>
      <c r="L408" s="38">
        <v>9</v>
      </c>
      <c r="M408" s="8" t="s">
        <v>311</v>
      </c>
      <c r="N408" s="8" t="s">
        <v>311</v>
      </c>
      <c r="O408" s="8" t="s">
        <v>119</v>
      </c>
    </row>
    <row r="409" spans="2:15" x14ac:dyDescent="0.25">
      <c r="B409" s="7" t="s">
        <v>262</v>
      </c>
      <c r="C409" s="17">
        <v>26754</v>
      </c>
      <c r="D409" s="7" t="s">
        <v>6</v>
      </c>
      <c r="E409" s="7" t="s">
        <v>352</v>
      </c>
      <c r="F409" s="7" t="s">
        <v>89</v>
      </c>
      <c r="G409" s="7" t="s">
        <v>35</v>
      </c>
      <c r="H409" s="8">
        <v>203860</v>
      </c>
      <c r="I409" s="7" t="s">
        <v>368</v>
      </c>
      <c r="J409" s="38">
        <v>16</v>
      </c>
      <c r="K409" s="38">
        <v>2</v>
      </c>
      <c r="L409" s="38">
        <v>2</v>
      </c>
      <c r="M409" s="8" t="s">
        <v>310</v>
      </c>
      <c r="N409" s="8" t="s">
        <v>311</v>
      </c>
      <c r="O409" s="8" t="s">
        <v>119</v>
      </c>
    </row>
    <row r="410" spans="2:15" x14ac:dyDescent="0.25">
      <c r="B410" s="7" t="s">
        <v>262</v>
      </c>
      <c r="C410" s="17">
        <v>22348</v>
      </c>
      <c r="D410" s="7" t="s">
        <v>15</v>
      </c>
      <c r="E410" s="7" t="s">
        <v>74</v>
      </c>
      <c r="F410" s="7" t="s">
        <v>264</v>
      </c>
      <c r="G410" s="7" t="s">
        <v>35</v>
      </c>
      <c r="H410" s="8">
        <v>449433</v>
      </c>
      <c r="I410" s="7" t="s">
        <v>381</v>
      </c>
      <c r="J410" s="38">
        <v>8</v>
      </c>
      <c r="K410" s="38">
        <v>1</v>
      </c>
      <c r="L410" s="38">
        <v>10</v>
      </c>
      <c r="M410" s="8" t="s">
        <v>123</v>
      </c>
      <c r="N410" s="8" t="s">
        <v>123</v>
      </c>
      <c r="O410" s="8" t="s">
        <v>119</v>
      </c>
    </row>
    <row r="411" spans="2:15" x14ac:dyDescent="0.25">
      <c r="B411" s="7" t="s">
        <v>262</v>
      </c>
      <c r="C411" s="17">
        <v>23729</v>
      </c>
      <c r="D411" s="7" t="s">
        <v>15</v>
      </c>
      <c r="E411" s="7" t="s">
        <v>74</v>
      </c>
      <c r="F411" s="7" t="s">
        <v>40</v>
      </c>
      <c r="G411" s="7" t="s">
        <v>35</v>
      </c>
      <c r="H411" s="8">
        <v>352720</v>
      </c>
      <c r="I411" s="7" t="s">
        <v>373</v>
      </c>
      <c r="J411" s="38">
        <v>24</v>
      </c>
      <c r="K411" s="38">
        <v>3</v>
      </c>
      <c r="L411" s="38">
        <v>4</v>
      </c>
      <c r="M411" s="8" t="s">
        <v>126</v>
      </c>
      <c r="N411" s="8" t="s">
        <v>128</v>
      </c>
      <c r="O411" s="8" t="s">
        <v>119</v>
      </c>
    </row>
    <row r="412" spans="2:15" x14ac:dyDescent="0.25">
      <c r="B412" s="7" t="s">
        <v>262</v>
      </c>
      <c r="C412" s="17">
        <v>26450</v>
      </c>
      <c r="D412" s="7" t="s">
        <v>6</v>
      </c>
      <c r="E412" s="7" t="s">
        <v>352</v>
      </c>
      <c r="F412" s="7" t="s">
        <v>279</v>
      </c>
      <c r="G412" s="7" t="s">
        <v>35</v>
      </c>
      <c r="H412" s="8">
        <v>457409</v>
      </c>
      <c r="I412" s="7" t="s">
        <v>370</v>
      </c>
      <c r="J412" s="38">
        <v>16</v>
      </c>
      <c r="K412" s="38">
        <v>2</v>
      </c>
      <c r="L412" s="38">
        <v>9</v>
      </c>
      <c r="M412" s="8" t="s">
        <v>154</v>
      </c>
      <c r="N412" s="8" t="s">
        <v>155</v>
      </c>
      <c r="O412" s="8" t="s">
        <v>141</v>
      </c>
    </row>
    <row r="413" spans="2:15" x14ac:dyDescent="0.25">
      <c r="B413" s="7" t="s">
        <v>262</v>
      </c>
      <c r="C413" s="17">
        <v>24395</v>
      </c>
      <c r="D413" s="7" t="s">
        <v>12</v>
      </c>
      <c r="E413" s="7" t="s">
        <v>349</v>
      </c>
      <c r="F413" s="7" t="s">
        <v>62</v>
      </c>
      <c r="G413" s="7" t="s">
        <v>35</v>
      </c>
      <c r="H413" s="8">
        <v>449433</v>
      </c>
      <c r="I413" s="7" t="s">
        <v>381</v>
      </c>
      <c r="J413" s="38">
        <v>24</v>
      </c>
      <c r="K413" s="38">
        <v>3</v>
      </c>
      <c r="L413" s="38">
        <v>9</v>
      </c>
      <c r="M413" s="8" t="s">
        <v>177</v>
      </c>
      <c r="N413" s="8" t="s">
        <v>179</v>
      </c>
      <c r="O413" s="8" t="s">
        <v>173</v>
      </c>
    </row>
    <row r="414" spans="2:15" x14ac:dyDescent="0.25">
      <c r="B414" s="7" t="s">
        <v>262</v>
      </c>
      <c r="C414" s="17">
        <v>24351</v>
      </c>
      <c r="D414" s="7" t="s">
        <v>12</v>
      </c>
      <c r="E414" s="7" t="s">
        <v>349</v>
      </c>
      <c r="F414" s="7" t="s">
        <v>223</v>
      </c>
      <c r="G414" s="7" t="s">
        <v>35</v>
      </c>
      <c r="H414" s="8">
        <v>352720</v>
      </c>
      <c r="I414" s="7" t="s">
        <v>373</v>
      </c>
      <c r="J414" s="38">
        <v>16</v>
      </c>
      <c r="K414" s="38">
        <v>2</v>
      </c>
      <c r="L414" s="38">
        <v>5</v>
      </c>
      <c r="M414" s="8" t="s">
        <v>185</v>
      </c>
      <c r="N414" s="8" t="s">
        <v>187</v>
      </c>
      <c r="O414" s="8" t="s">
        <v>173</v>
      </c>
    </row>
    <row r="415" spans="2:15" x14ac:dyDescent="0.25">
      <c r="B415" s="7" t="s">
        <v>262</v>
      </c>
      <c r="C415" s="17">
        <v>23617</v>
      </c>
      <c r="D415" s="7" t="s">
        <v>15</v>
      </c>
      <c r="E415" s="7" t="s">
        <v>74</v>
      </c>
      <c r="F415" s="7" t="s">
        <v>89</v>
      </c>
      <c r="G415" s="7" t="s">
        <v>35</v>
      </c>
      <c r="H415" s="8">
        <v>449433</v>
      </c>
      <c r="I415" s="7" t="s">
        <v>381</v>
      </c>
      <c r="J415" s="38">
        <v>16</v>
      </c>
      <c r="K415" s="38">
        <v>2</v>
      </c>
      <c r="L415" s="38">
        <v>11</v>
      </c>
      <c r="M415" s="8" t="s">
        <v>196</v>
      </c>
      <c r="N415" s="8" t="s">
        <v>197</v>
      </c>
      <c r="O415" s="8" t="s">
        <v>173</v>
      </c>
    </row>
    <row r="416" spans="2:15" x14ac:dyDescent="0.25">
      <c r="B416" s="7" t="s">
        <v>262</v>
      </c>
      <c r="C416" s="17">
        <v>23618</v>
      </c>
      <c r="D416" s="7" t="s">
        <v>15</v>
      </c>
      <c r="E416" s="7" t="s">
        <v>74</v>
      </c>
      <c r="F416" s="7" t="s">
        <v>89</v>
      </c>
      <c r="G416" s="7" t="s">
        <v>35</v>
      </c>
      <c r="H416" s="8">
        <v>449433</v>
      </c>
      <c r="I416" s="7" t="s">
        <v>381</v>
      </c>
      <c r="J416" s="38">
        <v>16</v>
      </c>
      <c r="K416" s="38">
        <v>2</v>
      </c>
      <c r="L416" s="38">
        <v>12</v>
      </c>
      <c r="M416" s="8" t="s">
        <v>198</v>
      </c>
      <c r="N416" s="8" t="s">
        <v>200</v>
      </c>
      <c r="O416" s="8" t="s">
        <v>173</v>
      </c>
    </row>
    <row r="417" spans="2:15" x14ac:dyDescent="0.25">
      <c r="B417" s="7" t="s">
        <v>262</v>
      </c>
      <c r="C417" s="17">
        <v>24471</v>
      </c>
      <c r="D417" s="7" t="s">
        <v>12</v>
      </c>
      <c r="E417" s="7" t="s">
        <v>349</v>
      </c>
      <c r="F417" s="7" t="s">
        <v>235</v>
      </c>
      <c r="G417" s="7" t="s">
        <v>35</v>
      </c>
      <c r="H417" s="8">
        <v>352720</v>
      </c>
      <c r="I417" s="7" t="s">
        <v>373</v>
      </c>
      <c r="J417" s="38">
        <v>8</v>
      </c>
      <c r="K417" s="38">
        <v>1</v>
      </c>
      <c r="L417" s="38">
        <v>8</v>
      </c>
      <c r="M417" s="8" t="s">
        <v>327</v>
      </c>
      <c r="N417" s="8" t="s">
        <v>327</v>
      </c>
      <c r="O417" s="8" t="s">
        <v>202</v>
      </c>
    </row>
    <row r="418" spans="2:15" x14ac:dyDescent="0.25">
      <c r="B418" s="7" t="s">
        <v>262</v>
      </c>
      <c r="C418" s="17">
        <v>23619</v>
      </c>
      <c r="D418" s="7" t="s">
        <v>15</v>
      </c>
      <c r="E418" s="7" t="s">
        <v>74</v>
      </c>
      <c r="F418" s="7" t="s">
        <v>89</v>
      </c>
      <c r="G418" s="7" t="s">
        <v>35</v>
      </c>
      <c r="H418" s="8">
        <v>449433</v>
      </c>
      <c r="I418" s="7" t="s">
        <v>381</v>
      </c>
      <c r="J418" s="38">
        <v>16</v>
      </c>
      <c r="K418" s="38">
        <v>2</v>
      </c>
      <c r="L418" s="38">
        <v>12</v>
      </c>
      <c r="M418" s="8" t="s">
        <v>203</v>
      </c>
      <c r="N418" s="8" t="s">
        <v>204</v>
      </c>
      <c r="O418" s="8" t="s">
        <v>202</v>
      </c>
    </row>
    <row r="419" spans="2:15" x14ac:dyDescent="0.25">
      <c r="B419" s="7" t="s">
        <v>262</v>
      </c>
      <c r="C419" s="17">
        <v>26467</v>
      </c>
      <c r="D419" s="7" t="s">
        <v>6</v>
      </c>
      <c r="E419" s="7" t="s">
        <v>352</v>
      </c>
      <c r="F419" s="7" t="s">
        <v>331</v>
      </c>
      <c r="G419" s="7" t="s">
        <v>35</v>
      </c>
      <c r="H419" s="8">
        <v>413244</v>
      </c>
      <c r="I419" s="7" t="s">
        <v>382</v>
      </c>
      <c r="J419" s="38">
        <v>32</v>
      </c>
      <c r="K419" s="38">
        <v>4</v>
      </c>
      <c r="L419" s="38">
        <v>3</v>
      </c>
      <c r="M419" s="8" t="s">
        <v>327</v>
      </c>
      <c r="N419" s="8" t="s">
        <v>205</v>
      </c>
      <c r="O419" s="8" t="s">
        <v>202</v>
      </c>
    </row>
    <row r="420" spans="2:15" x14ac:dyDescent="0.25">
      <c r="B420" s="7" t="s">
        <v>262</v>
      </c>
      <c r="C420" s="17">
        <v>23620</v>
      </c>
      <c r="D420" s="7" t="s">
        <v>15</v>
      </c>
      <c r="E420" s="7" t="s">
        <v>74</v>
      </c>
      <c r="F420" s="7" t="s">
        <v>89</v>
      </c>
      <c r="G420" s="7" t="s">
        <v>35</v>
      </c>
      <c r="H420" s="8">
        <v>449433</v>
      </c>
      <c r="I420" s="7" t="s">
        <v>381</v>
      </c>
      <c r="J420" s="38">
        <v>16</v>
      </c>
      <c r="K420" s="38">
        <v>2</v>
      </c>
      <c r="L420" s="38">
        <v>12</v>
      </c>
      <c r="M420" s="8" t="s">
        <v>205</v>
      </c>
      <c r="N420" s="8" t="s">
        <v>206</v>
      </c>
      <c r="O420" s="8" t="s">
        <v>202</v>
      </c>
    </row>
    <row r="421" spans="2:15" x14ac:dyDescent="0.25">
      <c r="B421" s="7" t="s">
        <v>262</v>
      </c>
      <c r="C421" s="17">
        <v>23616</v>
      </c>
      <c r="D421" s="7" t="s">
        <v>15</v>
      </c>
      <c r="E421" s="7" t="s">
        <v>74</v>
      </c>
      <c r="F421" s="7" t="s">
        <v>89</v>
      </c>
      <c r="G421" s="7" t="s">
        <v>35</v>
      </c>
      <c r="H421" s="8">
        <v>449433</v>
      </c>
      <c r="I421" s="7" t="s">
        <v>381</v>
      </c>
      <c r="J421" s="38">
        <v>16</v>
      </c>
      <c r="K421" s="38">
        <v>2</v>
      </c>
      <c r="L421" s="38">
        <v>11</v>
      </c>
      <c r="M421" s="8" t="s">
        <v>208</v>
      </c>
      <c r="N421" s="8" t="s">
        <v>330</v>
      </c>
      <c r="O421" s="8" t="s">
        <v>202</v>
      </c>
    </row>
    <row r="422" spans="2:15" x14ac:dyDescent="0.25">
      <c r="B422" s="7" t="s">
        <v>262</v>
      </c>
      <c r="C422" s="17">
        <v>23615</v>
      </c>
      <c r="D422" s="7" t="s">
        <v>15</v>
      </c>
      <c r="E422" s="7" t="s">
        <v>74</v>
      </c>
      <c r="F422" s="7" t="s">
        <v>89</v>
      </c>
      <c r="G422" s="7" t="s">
        <v>35</v>
      </c>
      <c r="H422" s="8">
        <v>449433</v>
      </c>
      <c r="I422" s="7" t="s">
        <v>381</v>
      </c>
      <c r="J422" s="38">
        <v>16</v>
      </c>
      <c r="K422" s="38">
        <v>2</v>
      </c>
      <c r="L422" s="38">
        <v>12</v>
      </c>
      <c r="M422" s="8" t="s">
        <v>209</v>
      </c>
      <c r="N422" s="8" t="s">
        <v>210</v>
      </c>
      <c r="O422" s="8" t="s">
        <v>202</v>
      </c>
    </row>
    <row r="423" spans="2:15" x14ac:dyDescent="0.25">
      <c r="B423" s="7" t="s">
        <v>262</v>
      </c>
      <c r="C423" s="17">
        <v>23614</v>
      </c>
      <c r="D423" s="7" t="s">
        <v>15</v>
      </c>
      <c r="E423" s="7" t="s">
        <v>74</v>
      </c>
      <c r="F423" s="7" t="s">
        <v>89</v>
      </c>
      <c r="G423" s="7" t="s">
        <v>35</v>
      </c>
      <c r="H423" s="8">
        <v>449433</v>
      </c>
      <c r="I423" s="7" t="s">
        <v>381</v>
      </c>
      <c r="J423" s="38">
        <v>16</v>
      </c>
      <c r="K423" s="38">
        <v>2</v>
      </c>
      <c r="L423" s="38">
        <v>11</v>
      </c>
      <c r="M423" s="8" t="s">
        <v>333</v>
      </c>
      <c r="N423" s="8" t="s">
        <v>217</v>
      </c>
      <c r="O423" s="8" t="s">
        <v>202</v>
      </c>
    </row>
    <row r="424" spans="2:15" x14ac:dyDescent="0.25">
      <c r="B424" s="7" t="s">
        <v>262</v>
      </c>
      <c r="C424" s="17">
        <v>24438</v>
      </c>
      <c r="D424" s="7" t="s">
        <v>12</v>
      </c>
      <c r="E424" s="7" t="s">
        <v>349</v>
      </c>
      <c r="F424" s="7" t="s">
        <v>84</v>
      </c>
      <c r="G424" s="7" t="s">
        <v>35</v>
      </c>
      <c r="H424" s="8">
        <v>203860</v>
      </c>
      <c r="I424" s="7" t="s">
        <v>368</v>
      </c>
      <c r="J424" s="38">
        <v>16</v>
      </c>
      <c r="K424" s="38">
        <v>2</v>
      </c>
      <c r="L424" s="38">
        <v>11</v>
      </c>
      <c r="M424" s="8" t="s">
        <v>230</v>
      </c>
      <c r="N424" s="8" t="s">
        <v>231</v>
      </c>
      <c r="O424" s="8" t="s">
        <v>227</v>
      </c>
    </row>
    <row r="425" spans="2:15" x14ac:dyDescent="0.25">
      <c r="B425" s="7" t="s">
        <v>262</v>
      </c>
      <c r="C425" s="17">
        <v>21112</v>
      </c>
      <c r="D425" s="7" t="s">
        <v>12</v>
      </c>
      <c r="E425" s="7" t="s">
        <v>349</v>
      </c>
      <c r="F425" s="7" t="s">
        <v>302</v>
      </c>
      <c r="G425" s="7" t="s">
        <v>35</v>
      </c>
      <c r="H425" s="8">
        <v>203860</v>
      </c>
      <c r="I425" s="7" t="s">
        <v>368</v>
      </c>
      <c r="J425" s="38">
        <v>8</v>
      </c>
      <c r="K425" s="38">
        <v>1</v>
      </c>
      <c r="L425" s="38">
        <v>10</v>
      </c>
      <c r="M425" s="8" t="s">
        <v>237</v>
      </c>
      <c r="N425" s="8" t="s">
        <v>237</v>
      </c>
      <c r="O425" s="8" t="s">
        <v>227</v>
      </c>
    </row>
    <row r="426" spans="2:15" x14ac:dyDescent="0.25">
      <c r="B426" s="7" t="s">
        <v>262</v>
      </c>
      <c r="C426" s="17">
        <v>26546</v>
      </c>
      <c r="D426" s="7" t="s">
        <v>6</v>
      </c>
      <c r="E426" s="7" t="s">
        <v>352</v>
      </c>
      <c r="F426" s="7" t="s">
        <v>317</v>
      </c>
      <c r="G426" s="7" t="s">
        <v>35</v>
      </c>
      <c r="H426" s="8">
        <v>520919</v>
      </c>
      <c r="I426" s="7" t="s">
        <v>383</v>
      </c>
      <c r="J426" s="38">
        <v>16</v>
      </c>
      <c r="K426" s="38">
        <v>2</v>
      </c>
      <c r="L426" s="38">
        <v>10</v>
      </c>
      <c r="M426" s="8" t="s">
        <v>384</v>
      </c>
      <c r="N426" s="8" t="s">
        <v>246</v>
      </c>
      <c r="O426" s="8" t="s">
        <v>227</v>
      </c>
    </row>
    <row r="427" spans="2:15" x14ac:dyDescent="0.25">
      <c r="B427" s="7" t="s">
        <v>262</v>
      </c>
      <c r="C427" s="17">
        <v>26537</v>
      </c>
      <c r="D427" s="7" t="s">
        <v>6</v>
      </c>
      <c r="E427" s="7" t="s">
        <v>352</v>
      </c>
      <c r="F427" s="7" t="s">
        <v>84</v>
      </c>
      <c r="G427" s="7" t="s">
        <v>35</v>
      </c>
      <c r="H427" s="8">
        <v>457409</v>
      </c>
      <c r="I427" s="7" t="s">
        <v>370</v>
      </c>
      <c r="J427" s="38">
        <v>16</v>
      </c>
      <c r="K427" s="38">
        <v>2</v>
      </c>
      <c r="L427" s="38">
        <v>5</v>
      </c>
      <c r="M427" s="8" t="s">
        <v>247</v>
      </c>
      <c r="N427" s="8" t="s">
        <v>385</v>
      </c>
      <c r="O427" s="8" t="s">
        <v>249</v>
      </c>
    </row>
    <row r="428" spans="2:15" x14ac:dyDescent="0.25">
      <c r="B428" s="7" t="s">
        <v>386</v>
      </c>
      <c r="C428" s="17">
        <v>24476</v>
      </c>
      <c r="D428" s="7" t="s">
        <v>12</v>
      </c>
      <c r="E428" s="7" t="s">
        <v>349</v>
      </c>
      <c r="F428" s="7" t="s">
        <v>40</v>
      </c>
      <c r="G428" s="7" t="s">
        <v>35</v>
      </c>
      <c r="H428" s="8">
        <v>352720</v>
      </c>
      <c r="I428" s="7" t="s">
        <v>373</v>
      </c>
      <c r="J428" s="40">
        <v>24</v>
      </c>
      <c r="K428" s="40">
        <v>3</v>
      </c>
      <c r="L428" s="40">
        <v>11</v>
      </c>
      <c r="M428" s="8" t="s">
        <v>371</v>
      </c>
      <c r="N428" s="18">
        <v>44295</v>
      </c>
      <c r="O428" s="8" t="s">
        <v>60</v>
      </c>
    </row>
    <row r="429" spans="2:15" x14ac:dyDescent="0.25">
      <c r="B429" s="7" t="s">
        <v>388</v>
      </c>
      <c r="C429" s="17">
        <v>26773</v>
      </c>
      <c r="D429" s="7" t="s">
        <v>6</v>
      </c>
      <c r="E429" s="7" t="s">
        <v>352</v>
      </c>
      <c r="F429" s="7" t="s">
        <v>148</v>
      </c>
      <c r="G429" s="7" t="s">
        <v>35</v>
      </c>
      <c r="H429" s="8">
        <v>228486</v>
      </c>
      <c r="I429" s="7" t="s">
        <v>389</v>
      </c>
      <c r="J429" s="40">
        <v>8</v>
      </c>
      <c r="K429" s="40">
        <v>1</v>
      </c>
      <c r="L429" s="40">
        <v>12</v>
      </c>
      <c r="M429" s="8" t="s">
        <v>67</v>
      </c>
      <c r="N429" s="18">
        <v>44305</v>
      </c>
      <c r="O429" s="8" t="s">
        <v>60</v>
      </c>
    </row>
    <row r="430" spans="2:15" x14ac:dyDescent="0.25">
      <c r="B430" s="7" t="s">
        <v>386</v>
      </c>
      <c r="C430" s="17">
        <v>26477</v>
      </c>
      <c r="D430" s="7" t="s">
        <v>6</v>
      </c>
      <c r="E430" s="7" t="s">
        <v>352</v>
      </c>
      <c r="F430" s="7" t="s">
        <v>294</v>
      </c>
      <c r="G430" s="7" t="s">
        <v>35</v>
      </c>
      <c r="H430" s="8">
        <v>352720</v>
      </c>
      <c r="I430" s="7" t="s">
        <v>373</v>
      </c>
      <c r="J430" s="40">
        <v>8</v>
      </c>
      <c r="K430" s="40">
        <v>1</v>
      </c>
      <c r="L430" s="40">
        <v>9</v>
      </c>
      <c r="M430" s="8" t="s">
        <v>391</v>
      </c>
      <c r="N430" s="18">
        <v>44307</v>
      </c>
      <c r="O430" s="8" t="s">
        <v>60</v>
      </c>
    </row>
    <row r="431" spans="2:15" x14ac:dyDescent="0.25">
      <c r="B431" s="7" t="s">
        <v>386</v>
      </c>
      <c r="C431" s="17">
        <v>24377</v>
      </c>
      <c r="D431" s="7" t="s">
        <v>12</v>
      </c>
      <c r="E431" s="7" t="s">
        <v>349</v>
      </c>
      <c r="F431" s="7" t="s">
        <v>89</v>
      </c>
      <c r="G431" s="7" t="s">
        <v>35</v>
      </c>
      <c r="H431" s="8">
        <v>372624</v>
      </c>
      <c r="I431" s="7" t="s">
        <v>392</v>
      </c>
      <c r="J431" s="40">
        <v>16</v>
      </c>
      <c r="K431" s="40">
        <v>2</v>
      </c>
      <c r="L431" s="40">
        <v>11</v>
      </c>
      <c r="M431" s="8" t="s">
        <v>70</v>
      </c>
      <c r="N431" s="18">
        <v>44316</v>
      </c>
      <c r="O431" s="8" t="s">
        <v>60</v>
      </c>
    </row>
    <row r="432" spans="2:15" x14ac:dyDescent="0.25">
      <c r="B432" s="7" t="s">
        <v>386</v>
      </c>
      <c r="C432" s="17">
        <v>24466</v>
      </c>
      <c r="D432" s="7" t="s">
        <v>12</v>
      </c>
      <c r="E432" s="7" t="s">
        <v>349</v>
      </c>
      <c r="F432" s="7" t="s">
        <v>235</v>
      </c>
      <c r="G432" s="7" t="s">
        <v>35</v>
      </c>
      <c r="H432" s="8">
        <v>372624</v>
      </c>
      <c r="I432" s="7" t="s">
        <v>392</v>
      </c>
      <c r="J432" s="40">
        <v>8</v>
      </c>
      <c r="K432" s="40">
        <v>1</v>
      </c>
      <c r="L432" s="40">
        <v>8</v>
      </c>
      <c r="M432" s="8" t="s">
        <v>271</v>
      </c>
      <c r="N432" s="18">
        <v>44319</v>
      </c>
      <c r="O432" s="8" t="s">
        <v>77</v>
      </c>
    </row>
    <row r="433" spans="2:15" x14ac:dyDescent="0.25">
      <c r="B433" s="7" t="s">
        <v>386</v>
      </c>
      <c r="C433" s="17">
        <v>24378</v>
      </c>
      <c r="D433" s="7" t="s">
        <v>12</v>
      </c>
      <c r="E433" s="7" t="s">
        <v>349</v>
      </c>
      <c r="F433" s="7" t="s">
        <v>89</v>
      </c>
      <c r="G433" s="7" t="s">
        <v>35</v>
      </c>
      <c r="H433" s="8">
        <v>196853</v>
      </c>
      <c r="I433" s="7" t="s">
        <v>353</v>
      </c>
      <c r="J433" s="40">
        <v>16</v>
      </c>
      <c r="K433" s="40">
        <v>2</v>
      </c>
      <c r="L433" s="40">
        <v>10</v>
      </c>
      <c r="M433" s="8" t="s">
        <v>275</v>
      </c>
      <c r="N433" s="18">
        <v>44323</v>
      </c>
      <c r="O433" s="8" t="s">
        <v>77</v>
      </c>
    </row>
    <row r="434" spans="2:15" x14ac:dyDescent="0.25">
      <c r="B434" s="7" t="s">
        <v>386</v>
      </c>
      <c r="C434" s="17">
        <v>26480</v>
      </c>
      <c r="D434" s="7" t="s">
        <v>6</v>
      </c>
      <c r="E434" s="7" t="s">
        <v>352</v>
      </c>
      <c r="F434" s="7" t="s">
        <v>294</v>
      </c>
      <c r="G434" s="7" t="s">
        <v>35</v>
      </c>
      <c r="H434" s="8">
        <v>352720</v>
      </c>
      <c r="I434" s="7" t="s">
        <v>373</v>
      </c>
      <c r="J434" s="40">
        <v>8</v>
      </c>
      <c r="K434" s="40">
        <v>1</v>
      </c>
      <c r="L434" s="40">
        <v>6</v>
      </c>
      <c r="M434" s="8" t="s">
        <v>378</v>
      </c>
      <c r="N434" s="18">
        <v>44323</v>
      </c>
      <c r="O434" s="8" t="s">
        <v>77</v>
      </c>
    </row>
    <row r="435" spans="2:15" x14ac:dyDescent="0.25">
      <c r="B435" s="7" t="s">
        <v>393</v>
      </c>
      <c r="C435" s="17">
        <v>25133</v>
      </c>
      <c r="D435" s="7" t="s">
        <v>15</v>
      </c>
      <c r="E435" s="7" t="s">
        <v>369</v>
      </c>
      <c r="F435" s="7" t="s">
        <v>89</v>
      </c>
      <c r="G435" s="7" t="s">
        <v>35</v>
      </c>
      <c r="H435" s="8">
        <v>372624</v>
      </c>
      <c r="I435" s="7" t="s">
        <v>392</v>
      </c>
      <c r="J435" s="40">
        <v>16</v>
      </c>
      <c r="K435" s="40">
        <v>2</v>
      </c>
      <c r="L435" s="40">
        <v>10</v>
      </c>
      <c r="M435" s="8" t="s">
        <v>76</v>
      </c>
      <c r="N435" s="18">
        <v>44329</v>
      </c>
      <c r="O435" s="8" t="s">
        <v>77</v>
      </c>
    </row>
    <row r="436" spans="2:15" x14ac:dyDescent="0.25">
      <c r="B436" s="7" t="s">
        <v>386</v>
      </c>
      <c r="C436" s="17">
        <v>24469</v>
      </c>
      <c r="D436" s="7" t="s">
        <v>12</v>
      </c>
      <c r="E436" s="7" t="s">
        <v>349</v>
      </c>
      <c r="F436" s="7" t="s">
        <v>235</v>
      </c>
      <c r="G436" s="7" t="s">
        <v>35</v>
      </c>
      <c r="H436" s="8">
        <v>372624</v>
      </c>
      <c r="I436" s="7" t="s">
        <v>392</v>
      </c>
      <c r="J436" s="40">
        <v>8</v>
      </c>
      <c r="K436" s="40">
        <v>1</v>
      </c>
      <c r="L436" s="40">
        <v>7</v>
      </c>
      <c r="M436" s="8" t="s">
        <v>380</v>
      </c>
      <c r="N436" s="18">
        <v>44330</v>
      </c>
      <c r="O436" s="8" t="s">
        <v>77</v>
      </c>
    </row>
    <row r="437" spans="2:15" x14ac:dyDescent="0.25">
      <c r="B437" s="7" t="s">
        <v>386</v>
      </c>
      <c r="C437" s="17">
        <v>23612</v>
      </c>
      <c r="D437" s="7" t="s">
        <v>15</v>
      </c>
      <c r="E437" s="7" t="s">
        <v>74</v>
      </c>
      <c r="F437" s="7" t="s">
        <v>89</v>
      </c>
      <c r="G437" s="7" t="s">
        <v>35</v>
      </c>
      <c r="H437" s="8">
        <v>372624</v>
      </c>
      <c r="I437" s="7" t="s">
        <v>392</v>
      </c>
      <c r="J437" s="40">
        <v>16</v>
      </c>
      <c r="K437" s="40">
        <v>2</v>
      </c>
      <c r="L437" s="40">
        <v>10</v>
      </c>
      <c r="M437" s="8" t="s">
        <v>281</v>
      </c>
      <c r="N437" s="18">
        <v>44334</v>
      </c>
      <c r="O437" s="8" t="s">
        <v>77</v>
      </c>
    </row>
    <row r="438" spans="2:15" x14ac:dyDescent="0.25">
      <c r="B438" s="7" t="s">
        <v>388</v>
      </c>
      <c r="C438" s="17">
        <v>23613</v>
      </c>
      <c r="D438" s="7" t="s">
        <v>15</v>
      </c>
      <c r="E438" s="7" t="s">
        <v>74</v>
      </c>
      <c r="F438" s="7" t="s">
        <v>89</v>
      </c>
      <c r="G438" s="7" t="s">
        <v>35</v>
      </c>
      <c r="H438" s="8">
        <v>196853</v>
      </c>
      <c r="I438" s="7" t="s">
        <v>353</v>
      </c>
      <c r="J438" s="40">
        <v>16</v>
      </c>
      <c r="K438" s="40">
        <v>2</v>
      </c>
      <c r="L438" s="40">
        <v>10</v>
      </c>
      <c r="M438" s="8" t="s">
        <v>281</v>
      </c>
      <c r="N438" s="18">
        <v>44334</v>
      </c>
      <c r="O438" s="8" t="s">
        <v>77</v>
      </c>
    </row>
    <row r="439" spans="2:15" x14ac:dyDescent="0.25">
      <c r="B439" s="7" t="s">
        <v>393</v>
      </c>
      <c r="C439" s="17">
        <v>24551</v>
      </c>
      <c r="D439" s="7" t="s">
        <v>15</v>
      </c>
      <c r="E439" s="7" t="s">
        <v>369</v>
      </c>
      <c r="F439" s="7" t="s">
        <v>264</v>
      </c>
      <c r="G439" s="7" t="s">
        <v>35</v>
      </c>
      <c r="H439" s="8">
        <v>372624</v>
      </c>
      <c r="I439" s="7" t="s">
        <v>392</v>
      </c>
      <c r="J439" s="40">
        <v>8</v>
      </c>
      <c r="K439" s="40">
        <v>1</v>
      </c>
      <c r="L439" s="40">
        <v>4</v>
      </c>
      <c r="M439" s="8" t="s">
        <v>90</v>
      </c>
      <c r="N439" s="18">
        <v>44337</v>
      </c>
      <c r="O439" s="8" t="s">
        <v>77</v>
      </c>
    </row>
    <row r="440" spans="2:15" x14ac:dyDescent="0.25">
      <c r="B440" s="7" t="s">
        <v>393</v>
      </c>
      <c r="C440" s="17">
        <v>25136</v>
      </c>
      <c r="D440" s="7" t="s">
        <v>15</v>
      </c>
      <c r="E440" s="7" t="s">
        <v>369</v>
      </c>
      <c r="F440" s="7" t="s">
        <v>89</v>
      </c>
      <c r="G440" s="7" t="s">
        <v>35</v>
      </c>
      <c r="H440" s="8">
        <v>372624</v>
      </c>
      <c r="I440" s="7" t="s">
        <v>392</v>
      </c>
      <c r="J440" s="40">
        <v>16</v>
      </c>
      <c r="K440" s="40">
        <v>2</v>
      </c>
      <c r="L440" s="40">
        <v>7</v>
      </c>
      <c r="M440" s="8" t="s">
        <v>91</v>
      </c>
      <c r="N440" s="18">
        <v>44341</v>
      </c>
      <c r="O440" s="8" t="s">
        <v>77</v>
      </c>
    </row>
    <row r="441" spans="2:15" x14ac:dyDescent="0.25">
      <c r="B441" s="7" t="s">
        <v>393</v>
      </c>
      <c r="C441" s="17">
        <v>24549</v>
      </c>
      <c r="D441" s="7" t="s">
        <v>15</v>
      </c>
      <c r="E441" s="7" t="s">
        <v>369</v>
      </c>
      <c r="F441" s="7" t="s">
        <v>264</v>
      </c>
      <c r="G441" s="7" t="s">
        <v>35</v>
      </c>
      <c r="H441" s="8">
        <v>372624</v>
      </c>
      <c r="I441" s="7" t="s">
        <v>392</v>
      </c>
      <c r="J441" s="40">
        <v>8</v>
      </c>
      <c r="K441" s="40">
        <v>1</v>
      </c>
      <c r="L441" s="40">
        <v>10</v>
      </c>
      <c r="M441" s="8" t="s">
        <v>97</v>
      </c>
      <c r="N441" s="18">
        <v>44343</v>
      </c>
      <c r="O441" s="8" t="s">
        <v>77</v>
      </c>
    </row>
    <row r="442" spans="2:15" x14ac:dyDescent="0.25">
      <c r="B442" s="7" t="s">
        <v>388</v>
      </c>
      <c r="C442" s="17">
        <v>24391</v>
      </c>
      <c r="D442" s="7" t="s">
        <v>12</v>
      </c>
      <c r="E442" s="7" t="s">
        <v>349</v>
      </c>
      <c r="F442" s="7" t="s">
        <v>68</v>
      </c>
      <c r="G442" s="7" t="s">
        <v>35</v>
      </c>
      <c r="H442" s="8">
        <v>196853</v>
      </c>
      <c r="I442" s="7" t="s">
        <v>353</v>
      </c>
      <c r="J442" s="40">
        <v>24</v>
      </c>
      <c r="K442" s="40">
        <v>3</v>
      </c>
      <c r="L442" s="40">
        <v>6</v>
      </c>
      <c r="M442" s="8" t="s">
        <v>99</v>
      </c>
      <c r="N442" s="8" t="s">
        <v>289</v>
      </c>
      <c r="O442" s="8" t="s">
        <v>100</v>
      </c>
    </row>
    <row r="443" spans="2:15" x14ac:dyDescent="0.25">
      <c r="B443" s="7" t="s">
        <v>386</v>
      </c>
      <c r="C443" s="17">
        <v>24470</v>
      </c>
      <c r="D443" s="7" t="s">
        <v>12</v>
      </c>
      <c r="E443" s="7" t="s">
        <v>349</v>
      </c>
      <c r="F443" s="7" t="s">
        <v>235</v>
      </c>
      <c r="G443" s="7" t="s">
        <v>35</v>
      </c>
      <c r="H443" s="8">
        <v>372624</v>
      </c>
      <c r="I443" s="7" t="s">
        <v>392</v>
      </c>
      <c r="J443" s="40">
        <v>8</v>
      </c>
      <c r="K443" s="40">
        <v>1</v>
      </c>
      <c r="L443" s="40">
        <v>7</v>
      </c>
      <c r="M443" s="8" t="s">
        <v>290</v>
      </c>
      <c r="N443" s="8" t="s">
        <v>290</v>
      </c>
      <c r="O443" s="8" t="s">
        <v>100</v>
      </c>
    </row>
    <row r="444" spans="2:15" x14ac:dyDescent="0.25">
      <c r="B444" s="7" t="s">
        <v>386</v>
      </c>
      <c r="C444" s="17">
        <v>24433</v>
      </c>
      <c r="D444" s="7" t="s">
        <v>12</v>
      </c>
      <c r="E444" s="7" t="s">
        <v>349</v>
      </c>
      <c r="F444" s="7" t="s">
        <v>294</v>
      </c>
      <c r="G444" s="7" t="s">
        <v>35</v>
      </c>
      <c r="H444" s="8">
        <v>372624</v>
      </c>
      <c r="I444" s="7" t="s">
        <v>392</v>
      </c>
      <c r="J444" s="40">
        <v>8</v>
      </c>
      <c r="K444" s="40">
        <v>1</v>
      </c>
      <c r="L444" s="40">
        <v>6</v>
      </c>
      <c r="M444" s="8" t="s">
        <v>303</v>
      </c>
      <c r="N444" s="8" t="s">
        <v>303</v>
      </c>
      <c r="O444" s="8" t="s">
        <v>100</v>
      </c>
    </row>
    <row r="445" spans="2:15" x14ac:dyDescent="0.25">
      <c r="B445" s="7" t="s">
        <v>388</v>
      </c>
      <c r="C445" s="17">
        <v>23730</v>
      </c>
      <c r="D445" s="7" t="s">
        <v>15</v>
      </c>
      <c r="E445" s="7" t="s">
        <v>74</v>
      </c>
      <c r="F445" s="7" t="s">
        <v>40</v>
      </c>
      <c r="G445" s="7" t="s">
        <v>35</v>
      </c>
      <c r="H445" s="8">
        <v>352720</v>
      </c>
      <c r="I445" s="7" t="s">
        <v>373</v>
      </c>
      <c r="J445" s="40">
        <v>24</v>
      </c>
      <c r="K445" s="40">
        <v>3</v>
      </c>
      <c r="L445" s="40">
        <v>11</v>
      </c>
      <c r="M445" s="8" t="s">
        <v>306</v>
      </c>
      <c r="N445" s="8" t="s">
        <v>116</v>
      </c>
      <c r="O445" s="8" t="s">
        <v>100</v>
      </c>
    </row>
    <row r="446" spans="2:15" x14ac:dyDescent="0.25">
      <c r="B446" s="7" t="s">
        <v>388</v>
      </c>
      <c r="C446" s="17">
        <v>24396</v>
      </c>
      <c r="D446" s="7" t="s">
        <v>12</v>
      </c>
      <c r="E446" s="7" t="s">
        <v>349</v>
      </c>
      <c r="F446" s="7" t="s">
        <v>62</v>
      </c>
      <c r="G446" s="7" t="s">
        <v>35</v>
      </c>
      <c r="H446" s="8">
        <v>196853</v>
      </c>
      <c r="I446" s="7" t="s">
        <v>353</v>
      </c>
      <c r="J446" s="40">
        <v>24</v>
      </c>
      <c r="K446" s="40">
        <v>3</v>
      </c>
      <c r="L446" s="40">
        <v>8</v>
      </c>
      <c r="M446" s="8" t="s">
        <v>306</v>
      </c>
      <c r="N446" s="8" t="s">
        <v>116</v>
      </c>
      <c r="O446" s="8" t="s">
        <v>100</v>
      </c>
    </row>
    <row r="447" spans="2:15" x14ac:dyDescent="0.25">
      <c r="B447" s="7" t="s">
        <v>386</v>
      </c>
      <c r="C447" s="17">
        <v>24440</v>
      </c>
      <c r="D447" s="7" t="s">
        <v>12</v>
      </c>
      <c r="E447" s="7" t="s">
        <v>349</v>
      </c>
      <c r="F447" s="7" t="s">
        <v>84</v>
      </c>
      <c r="G447" s="7" t="s">
        <v>35</v>
      </c>
      <c r="H447" s="8">
        <v>196853</v>
      </c>
      <c r="I447" s="7" t="s">
        <v>353</v>
      </c>
      <c r="J447" s="40">
        <v>16</v>
      </c>
      <c r="K447" s="40">
        <v>2</v>
      </c>
      <c r="L447" s="40">
        <v>10</v>
      </c>
      <c r="M447" s="8" t="s">
        <v>308</v>
      </c>
      <c r="N447" s="8" t="s">
        <v>117</v>
      </c>
      <c r="O447" s="8" t="s">
        <v>119</v>
      </c>
    </row>
    <row r="448" spans="2:15" x14ac:dyDescent="0.25">
      <c r="B448" s="7" t="s">
        <v>388</v>
      </c>
      <c r="C448" s="17">
        <v>24405</v>
      </c>
      <c r="D448" s="7" t="s">
        <v>12</v>
      </c>
      <c r="E448" s="7" t="s">
        <v>349</v>
      </c>
      <c r="F448" s="7" t="s">
        <v>159</v>
      </c>
      <c r="G448" s="7" t="s">
        <v>35</v>
      </c>
      <c r="H448" s="8">
        <v>196853</v>
      </c>
      <c r="I448" s="7" t="s">
        <v>353</v>
      </c>
      <c r="J448" s="40">
        <v>16</v>
      </c>
      <c r="K448" s="40">
        <v>2</v>
      </c>
      <c r="L448" s="40">
        <v>7</v>
      </c>
      <c r="M448" s="8" t="s">
        <v>311</v>
      </c>
      <c r="N448" s="8" t="s">
        <v>123</v>
      </c>
      <c r="O448" s="8" t="s">
        <v>119</v>
      </c>
    </row>
    <row r="449" spans="2:15" x14ac:dyDescent="0.25">
      <c r="B449" s="7" t="s">
        <v>388</v>
      </c>
      <c r="C449" s="17">
        <v>24406</v>
      </c>
      <c r="D449" s="7" t="s">
        <v>12</v>
      </c>
      <c r="E449" s="7" t="s">
        <v>349</v>
      </c>
      <c r="F449" s="7" t="s">
        <v>159</v>
      </c>
      <c r="G449" s="7" t="s">
        <v>35</v>
      </c>
      <c r="H449" s="8">
        <v>372624</v>
      </c>
      <c r="I449" s="7" t="s">
        <v>392</v>
      </c>
      <c r="J449" s="40">
        <v>16</v>
      </c>
      <c r="K449" s="40">
        <v>2</v>
      </c>
      <c r="L449" s="40">
        <v>5</v>
      </c>
      <c r="M449" s="8" t="s">
        <v>120</v>
      </c>
      <c r="N449" s="8" t="s">
        <v>121</v>
      </c>
      <c r="O449" s="8" t="s">
        <v>119</v>
      </c>
    </row>
    <row r="450" spans="2:15" x14ac:dyDescent="0.25">
      <c r="B450" s="7" t="s">
        <v>386</v>
      </c>
      <c r="C450" s="17">
        <v>24442</v>
      </c>
      <c r="D450" s="7" t="s">
        <v>12</v>
      </c>
      <c r="E450" s="7" t="s">
        <v>349</v>
      </c>
      <c r="F450" s="7" t="s">
        <v>84</v>
      </c>
      <c r="G450" s="7" t="s">
        <v>35</v>
      </c>
      <c r="H450" s="8">
        <v>372624</v>
      </c>
      <c r="I450" s="7" t="s">
        <v>392</v>
      </c>
      <c r="J450" s="40">
        <v>16</v>
      </c>
      <c r="K450" s="40">
        <v>2</v>
      </c>
      <c r="L450" s="40">
        <v>9</v>
      </c>
      <c r="M450" s="8" t="s">
        <v>315</v>
      </c>
      <c r="N450" s="8" t="s">
        <v>128</v>
      </c>
      <c r="O450" s="8" t="s">
        <v>119</v>
      </c>
    </row>
    <row r="451" spans="2:15" x14ac:dyDescent="0.25">
      <c r="B451" s="7" t="s">
        <v>386</v>
      </c>
      <c r="C451" s="17">
        <v>24443</v>
      </c>
      <c r="D451" s="7" t="s">
        <v>12</v>
      </c>
      <c r="E451" s="7" t="s">
        <v>349</v>
      </c>
      <c r="F451" s="7" t="s">
        <v>84</v>
      </c>
      <c r="G451" s="7" t="s">
        <v>35</v>
      </c>
      <c r="H451" s="8">
        <v>372624</v>
      </c>
      <c r="I451" s="7" t="s">
        <v>392</v>
      </c>
      <c r="J451" s="40">
        <v>16</v>
      </c>
      <c r="K451" s="40">
        <v>2</v>
      </c>
      <c r="L451" s="40">
        <v>8</v>
      </c>
      <c r="M451" s="8" t="s">
        <v>318</v>
      </c>
      <c r="N451" s="8" t="s">
        <v>129</v>
      </c>
      <c r="O451" s="8" t="s">
        <v>119</v>
      </c>
    </row>
    <row r="452" spans="2:15" x14ac:dyDescent="0.25">
      <c r="B452" s="7" t="s">
        <v>312</v>
      </c>
      <c r="C452" s="17">
        <v>26475</v>
      </c>
      <c r="D452" s="7" t="s">
        <v>6</v>
      </c>
      <c r="E452" s="7" t="s">
        <v>352</v>
      </c>
      <c r="F452" s="7" t="s">
        <v>294</v>
      </c>
      <c r="G452" s="7" t="s">
        <v>35</v>
      </c>
      <c r="H452" s="8">
        <v>352720</v>
      </c>
      <c r="I452" s="7" t="s">
        <v>373</v>
      </c>
      <c r="J452" s="40">
        <v>8</v>
      </c>
      <c r="K452" s="40">
        <v>1</v>
      </c>
      <c r="L452" s="40">
        <v>10</v>
      </c>
      <c r="M452" s="8" t="s">
        <v>344</v>
      </c>
      <c r="N452" s="18">
        <v>44298</v>
      </c>
      <c r="O452" s="8" t="s">
        <v>60</v>
      </c>
    </row>
    <row r="453" spans="2:15" x14ac:dyDescent="0.25">
      <c r="B453" s="7" t="s">
        <v>312</v>
      </c>
      <c r="C453" s="17">
        <v>25521</v>
      </c>
      <c r="D453" s="7" t="s">
        <v>12</v>
      </c>
      <c r="E453" s="7" t="s">
        <v>349</v>
      </c>
      <c r="F453" s="7" t="s">
        <v>279</v>
      </c>
      <c r="G453" s="7" t="s">
        <v>35</v>
      </c>
      <c r="H453" s="8">
        <v>352720</v>
      </c>
      <c r="I453" s="7" t="s">
        <v>373</v>
      </c>
      <c r="J453" s="40">
        <v>16</v>
      </c>
      <c r="K453" s="40">
        <v>2</v>
      </c>
      <c r="L453" s="40">
        <v>10</v>
      </c>
      <c r="M453" s="8" t="s">
        <v>59</v>
      </c>
      <c r="N453" s="18">
        <v>44302</v>
      </c>
      <c r="O453" s="8" t="s">
        <v>60</v>
      </c>
    </row>
    <row r="454" spans="2:15" x14ac:dyDescent="0.25">
      <c r="B454" s="7" t="s">
        <v>312</v>
      </c>
      <c r="C454" s="17">
        <v>30761</v>
      </c>
      <c r="D454" s="7" t="s">
        <v>8</v>
      </c>
      <c r="E454" s="7" t="s">
        <v>398</v>
      </c>
      <c r="F454" s="7" t="s">
        <v>235</v>
      </c>
      <c r="G454" s="7" t="s">
        <v>35</v>
      </c>
      <c r="H454" s="8">
        <v>354951</v>
      </c>
      <c r="I454" s="7" t="s">
        <v>63</v>
      </c>
      <c r="J454" s="40">
        <v>8</v>
      </c>
      <c r="K454" s="40">
        <v>2</v>
      </c>
      <c r="L454" s="40">
        <v>12</v>
      </c>
      <c r="M454" s="8" t="s">
        <v>67</v>
      </c>
      <c r="N454" s="18">
        <v>44306</v>
      </c>
      <c r="O454" s="8" t="s">
        <v>60</v>
      </c>
    </row>
    <row r="455" spans="2:15" x14ac:dyDescent="0.25">
      <c r="B455" s="7" t="s">
        <v>312</v>
      </c>
      <c r="C455" s="17">
        <v>24430</v>
      </c>
      <c r="D455" s="7" t="s">
        <v>12</v>
      </c>
      <c r="E455" s="7" t="s">
        <v>349</v>
      </c>
      <c r="F455" s="7" t="s">
        <v>127</v>
      </c>
      <c r="G455" s="7" t="s">
        <v>72</v>
      </c>
      <c r="H455" s="8">
        <v>374123</v>
      </c>
      <c r="I455" s="7" t="s">
        <v>412</v>
      </c>
      <c r="J455" s="40">
        <v>16</v>
      </c>
      <c r="K455" s="40">
        <v>2</v>
      </c>
      <c r="L455" s="40">
        <v>13</v>
      </c>
      <c r="M455" s="8" t="s">
        <v>375</v>
      </c>
      <c r="N455" s="18">
        <v>44309</v>
      </c>
      <c r="O455" s="8" t="s">
        <v>60</v>
      </c>
    </row>
    <row r="456" spans="2:15" x14ac:dyDescent="0.25">
      <c r="B456" s="7" t="s">
        <v>312</v>
      </c>
      <c r="C456" s="17">
        <v>26772</v>
      </c>
      <c r="D456" s="7" t="s">
        <v>6</v>
      </c>
      <c r="E456" s="7" t="s">
        <v>352</v>
      </c>
      <c r="F456" s="7" t="s">
        <v>148</v>
      </c>
      <c r="G456" s="7" t="s">
        <v>35</v>
      </c>
      <c r="H456" s="8">
        <v>228486</v>
      </c>
      <c r="I456" s="7" t="s">
        <v>389</v>
      </c>
      <c r="J456" s="40">
        <v>8</v>
      </c>
      <c r="K456" s="40">
        <v>1</v>
      </c>
      <c r="L456" s="40">
        <v>12</v>
      </c>
      <c r="M456" s="8" t="s">
        <v>413</v>
      </c>
      <c r="N456" s="18">
        <v>44313</v>
      </c>
      <c r="O456" s="8" t="s">
        <v>60</v>
      </c>
    </row>
    <row r="457" spans="2:15" x14ac:dyDescent="0.25">
      <c r="B457" s="7" t="s">
        <v>312</v>
      </c>
      <c r="C457" s="17">
        <v>26552</v>
      </c>
      <c r="D457" s="7" t="s">
        <v>6</v>
      </c>
      <c r="E457" s="7" t="s">
        <v>352</v>
      </c>
      <c r="F457" s="7" t="s">
        <v>40</v>
      </c>
      <c r="G457" s="7" t="s">
        <v>35</v>
      </c>
      <c r="H457" s="8">
        <v>352720</v>
      </c>
      <c r="I457" s="7" t="s">
        <v>373</v>
      </c>
      <c r="J457" s="40">
        <v>24</v>
      </c>
      <c r="K457" s="40">
        <v>3</v>
      </c>
      <c r="L457" s="40">
        <v>11</v>
      </c>
      <c r="M457" s="8" t="s">
        <v>281</v>
      </c>
      <c r="N457" s="18">
        <v>44335</v>
      </c>
      <c r="O457" s="8" t="s">
        <v>77</v>
      </c>
    </row>
    <row r="458" spans="2:15" x14ac:dyDescent="0.25">
      <c r="B458" s="7" t="s">
        <v>312</v>
      </c>
      <c r="C458" s="17">
        <v>25132</v>
      </c>
      <c r="D458" s="7" t="s">
        <v>15</v>
      </c>
      <c r="E458" s="7" t="s">
        <v>369</v>
      </c>
      <c r="F458" s="7" t="s">
        <v>89</v>
      </c>
      <c r="G458" s="7" t="s">
        <v>35</v>
      </c>
      <c r="H458" s="8">
        <v>226483</v>
      </c>
      <c r="I458" s="7" t="s">
        <v>406</v>
      </c>
      <c r="J458" s="40">
        <v>16</v>
      </c>
      <c r="K458" s="40">
        <v>2</v>
      </c>
      <c r="L458" s="40">
        <v>10</v>
      </c>
      <c r="M458" s="8" t="s">
        <v>91</v>
      </c>
      <c r="N458" s="18">
        <v>44341</v>
      </c>
      <c r="O458" s="8" t="s">
        <v>77</v>
      </c>
    </row>
    <row r="459" spans="2:15" x14ac:dyDescent="0.25">
      <c r="B459" s="7" t="s">
        <v>312</v>
      </c>
      <c r="C459" s="17">
        <v>24439</v>
      </c>
      <c r="D459" s="7" t="s">
        <v>12</v>
      </c>
      <c r="E459" s="7" t="s">
        <v>349</v>
      </c>
      <c r="F459" s="7" t="s">
        <v>84</v>
      </c>
      <c r="G459" s="7" t="s">
        <v>35</v>
      </c>
      <c r="H459" s="8">
        <v>136596</v>
      </c>
      <c r="I459" s="7" t="s">
        <v>414</v>
      </c>
      <c r="J459" s="40">
        <v>16</v>
      </c>
      <c r="K459" s="40">
        <v>2</v>
      </c>
      <c r="L459" s="40">
        <v>13</v>
      </c>
      <c r="M459" s="8" t="s">
        <v>91</v>
      </c>
      <c r="N459" s="18">
        <v>44341</v>
      </c>
      <c r="O459" s="8" t="s">
        <v>77</v>
      </c>
    </row>
    <row r="460" spans="2:15" x14ac:dyDescent="0.25">
      <c r="B460" s="7" t="s">
        <v>312</v>
      </c>
      <c r="C460" s="17">
        <v>25524</v>
      </c>
      <c r="D460" s="7" t="s">
        <v>12</v>
      </c>
      <c r="E460" s="7" t="s">
        <v>349</v>
      </c>
      <c r="F460" s="7" t="s">
        <v>279</v>
      </c>
      <c r="G460" s="7" t="s">
        <v>35</v>
      </c>
      <c r="H460" s="8">
        <v>352720</v>
      </c>
      <c r="I460" s="7" t="s">
        <v>373</v>
      </c>
      <c r="J460" s="40">
        <v>16</v>
      </c>
      <c r="K460" s="40">
        <v>2</v>
      </c>
      <c r="L460" s="40">
        <v>9</v>
      </c>
      <c r="M460" s="8" t="s">
        <v>91</v>
      </c>
      <c r="N460" s="18">
        <v>44341</v>
      </c>
      <c r="O460" s="8" t="s">
        <v>77</v>
      </c>
    </row>
    <row r="461" spans="2:15" x14ac:dyDescent="0.25">
      <c r="B461" s="7" t="s">
        <v>312</v>
      </c>
      <c r="C461" s="17">
        <v>25525</v>
      </c>
      <c r="D461" s="7" t="s">
        <v>12</v>
      </c>
      <c r="E461" s="7" t="s">
        <v>349</v>
      </c>
      <c r="F461" s="7" t="s">
        <v>279</v>
      </c>
      <c r="G461" s="7" t="s">
        <v>35</v>
      </c>
      <c r="H461" s="8">
        <v>352720</v>
      </c>
      <c r="I461" s="7" t="s">
        <v>373</v>
      </c>
      <c r="J461" s="40">
        <v>16</v>
      </c>
      <c r="K461" s="40">
        <v>2</v>
      </c>
      <c r="L461" s="40">
        <v>7</v>
      </c>
      <c r="M461" s="8" t="s">
        <v>93</v>
      </c>
      <c r="N461" s="18">
        <v>44343</v>
      </c>
      <c r="O461" s="8" t="s">
        <v>77</v>
      </c>
    </row>
    <row r="462" spans="2:15" x14ac:dyDescent="0.25">
      <c r="B462" s="7" t="s">
        <v>312</v>
      </c>
      <c r="C462" s="17">
        <v>25523</v>
      </c>
      <c r="D462" s="7" t="s">
        <v>12</v>
      </c>
      <c r="E462" s="7" t="s">
        <v>349</v>
      </c>
      <c r="F462" s="7" t="s">
        <v>279</v>
      </c>
      <c r="G462" s="7" t="s">
        <v>35</v>
      </c>
      <c r="H462" s="8">
        <v>352720</v>
      </c>
      <c r="I462" s="7" t="s">
        <v>373</v>
      </c>
      <c r="J462" s="40">
        <v>16</v>
      </c>
      <c r="K462" s="40">
        <v>2</v>
      </c>
      <c r="L462" s="40">
        <v>8</v>
      </c>
      <c r="M462" s="8" t="s">
        <v>99</v>
      </c>
      <c r="N462" s="8" t="s">
        <v>101</v>
      </c>
      <c r="O462" s="8" t="s">
        <v>100</v>
      </c>
    </row>
    <row r="463" spans="2:15" x14ac:dyDescent="0.25">
      <c r="B463" s="7" t="s">
        <v>312</v>
      </c>
      <c r="C463" s="17">
        <v>24465</v>
      </c>
      <c r="D463" s="7" t="s">
        <v>12</v>
      </c>
      <c r="E463" s="7" t="s">
        <v>349</v>
      </c>
      <c r="F463" s="7" t="s">
        <v>235</v>
      </c>
      <c r="G463" s="7" t="s">
        <v>35</v>
      </c>
      <c r="H463" s="8">
        <v>352720</v>
      </c>
      <c r="I463" s="7" t="s">
        <v>373</v>
      </c>
      <c r="J463" s="40">
        <v>8</v>
      </c>
      <c r="K463" s="40">
        <v>1</v>
      </c>
      <c r="L463" s="40">
        <v>7</v>
      </c>
      <c r="M463" s="8" t="s">
        <v>102</v>
      </c>
      <c r="N463" s="8" t="s">
        <v>102</v>
      </c>
      <c r="O463" s="8" t="s">
        <v>100</v>
      </c>
    </row>
    <row r="464" spans="2:15" x14ac:dyDescent="0.25">
      <c r="B464" s="7" t="s">
        <v>312</v>
      </c>
      <c r="C464" s="17">
        <v>24468</v>
      </c>
      <c r="D464" s="7" t="s">
        <v>12</v>
      </c>
      <c r="E464" s="7" t="s">
        <v>349</v>
      </c>
      <c r="F464" s="7" t="s">
        <v>235</v>
      </c>
      <c r="G464" s="7" t="s">
        <v>35</v>
      </c>
      <c r="H464" s="8">
        <v>352720</v>
      </c>
      <c r="I464" s="7" t="s">
        <v>373</v>
      </c>
      <c r="J464" s="40">
        <v>8</v>
      </c>
      <c r="K464" s="40">
        <v>1</v>
      </c>
      <c r="L464" s="40">
        <v>6</v>
      </c>
      <c r="M464" s="8" t="s">
        <v>103</v>
      </c>
      <c r="N464" s="8" t="s">
        <v>103</v>
      </c>
      <c r="O464" s="8" t="s">
        <v>100</v>
      </c>
    </row>
    <row r="465" spans="2:15" x14ac:dyDescent="0.25">
      <c r="B465" s="7" t="s">
        <v>312</v>
      </c>
      <c r="C465" s="17">
        <v>24399</v>
      </c>
      <c r="D465" s="7" t="s">
        <v>12</v>
      </c>
      <c r="E465" s="7" t="s">
        <v>349</v>
      </c>
      <c r="F465" s="7" t="s">
        <v>62</v>
      </c>
      <c r="G465" s="7" t="s">
        <v>35</v>
      </c>
      <c r="H465" s="8">
        <v>228486</v>
      </c>
      <c r="I465" s="7" t="s">
        <v>389</v>
      </c>
      <c r="J465" s="40">
        <v>24</v>
      </c>
      <c r="K465" s="40">
        <v>3</v>
      </c>
      <c r="L465" s="40">
        <v>9</v>
      </c>
      <c r="M465" s="8" t="s">
        <v>295</v>
      </c>
      <c r="N465" s="8" t="s">
        <v>103</v>
      </c>
      <c r="O465" s="8" t="s">
        <v>100</v>
      </c>
    </row>
    <row r="466" spans="2:15" x14ac:dyDescent="0.25">
      <c r="B466" s="7" t="s">
        <v>312</v>
      </c>
      <c r="C466" s="17">
        <v>24380</v>
      </c>
      <c r="D466" s="7" t="s">
        <v>12</v>
      </c>
      <c r="E466" s="7" t="s">
        <v>349</v>
      </c>
      <c r="F466" s="7" t="s">
        <v>89</v>
      </c>
      <c r="G466" s="7" t="s">
        <v>35</v>
      </c>
      <c r="H466" s="8">
        <v>352720</v>
      </c>
      <c r="I466" s="7" t="s">
        <v>373</v>
      </c>
      <c r="J466" s="40">
        <v>16</v>
      </c>
      <c r="K466" s="40">
        <v>2</v>
      </c>
      <c r="L466" s="40">
        <v>10</v>
      </c>
      <c r="M466" s="8" t="s">
        <v>104</v>
      </c>
      <c r="N466" s="8" t="s">
        <v>298</v>
      </c>
      <c r="O466" s="8" t="s">
        <v>100</v>
      </c>
    </row>
    <row r="467" spans="2:15" x14ac:dyDescent="0.25">
      <c r="B467" s="7" t="s">
        <v>312</v>
      </c>
      <c r="C467" s="17">
        <v>23731</v>
      </c>
      <c r="D467" s="7" t="s">
        <v>15</v>
      </c>
      <c r="E467" s="7" t="s">
        <v>74</v>
      </c>
      <c r="F467" s="7" t="s">
        <v>40</v>
      </c>
      <c r="G467" s="7" t="s">
        <v>35</v>
      </c>
      <c r="H467" s="8">
        <v>226483</v>
      </c>
      <c r="I467" s="7" t="s">
        <v>406</v>
      </c>
      <c r="J467" s="40">
        <v>24</v>
      </c>
      <c r="K467" s="40">
        <v>3</v>
      </c>
      <c r="L467" s="40">
        <v>3</v>
      </c>
      <c r="M467" s="8" t="s">
        <v>299</v>
      </c>
      <c r="N467" s="8" t="s">
        <v>107</v>
      </c>
      <c r="O467" s="8" t="s">
        <v>100</v>
      </c>
    </row>
    <row r="468" spans="2:15" x14ac:dyDescent="0.25">
      <c r="B468" s="7" t="s">
        <v>312</v>
      </c>
      <c r="C468" s="17">
        <v>25522</v>
      </c>
      <c r="D468" s="7" t="s">
        <v>12</v>
      </c>
      <c r="E468" s="7" t="s">
        <v>349</v>
      </c>
      <c r="F468" s="7" t="s">
        <v>279</v>
      </c>
      <c r="G468" s="7" t="s">
        <v>35</v>
      </c>
      <c r="H468" s="8">
        <v>352720</v>
      </c>
      <c r="I468" s="7" t="s">
        <v>373</v>
      </c>
      <c r="J468" s="40">
        <v>16</v>
      </c>
      <c r="K468" s="40">
        <v>2</v>
      </c>
      <c r="L468" s="40">
        <v>8</v>
      </c>
      <c r="M468" s="8" t="s">
        <v>108</v>
      </c>
      <c r="N468" s="8" t="s">
        <v>304</v>
      </c>
      <c r="O468" s="8" t="s">
        <v>100</v>
      </c>
    </row>
    <row r="469" spans="2:15" x14ac:dyDescent="0.25">
      <c r="B469" s="7" t="s">
        <v>312</v>
      </c>
      <c r="C469" s="17">
        <v>24390</v>
      </c>
      <c r="D469" s="7" t="s">
        <v>12</v>
      </c>
      <c r="E469" s="7" t="s">
        <v>349</v>
      </c>
      <c r="F469" s="7" t="s">
        <v>68</v>
      </c>
      <c r="G469" s="7" t="s">
        <v>35</v>
      </c>
      <c r="H469" s="8">
        <v>228486</v>
      </c>
      <c r="I469" s="7" t="s">
        <v>389</v>
      </c>
      <c r="J469" s="40">
        <v>24</v>
      </c>
      <c r="K469" s="40">
        <v>3</v>
      </c>
      <c r="L469" s="40">
        <v>2</v>
      </c>
      <c r="M469" s="8" t="s">
        <v>108</v>
      </c>
      <c r="N469" s="8" t="s">
        <v>305</v>
      </c>
      <c r="O469" s="8" t="s">
        <v>100</v>
      </c>
    </row>
    <row r="470" spans="2:15" x14ac:dyDescent="0.25">
      <c r="B470" s="7" t="s">
        <v>312</v>
      </c>
      <c r="C470" s="17">
        <v>21357</v>
      </c>
      <c r="D470" s="7" t="s">
        <v>15</v>
      </c>
      <c r="E470" s="7" t="s">
        <v>186</v>
      </c>
      <c r="F470" s="7" t="s">
        <v>331</v>
      </c>
      <c r="G470" s="7" t="s">
        <v>35</v>
      </c>
      <c r="H470" s="8">
        <v>374123</v>
      </c>
      <c r="I470" s="7" t="s">
        <v>412</v>
      </c>
      <c r="J470" s="40">
        <v>32</v>
      </c>
      <c r="K470" s="40">
        <v>4</v>
      </c>
      <c r="L470" s="40">
        <v>1</v>
      </c>
      <c r="M470" s="8" t="s">
        <v>108</v>
      </c>
      <c r="N470" s="8" t="s">
        <v>110</v>
      </c>
      <c r="O470" s="8" t="s">
        <v>100</v>
      </c>
    </row>
    <row r="471" spans="2:15" x14ac:dyDescent="0.25">
      <c r="B471" s="7" t="s">
        <v>312</v>
      </c>
      <c r="C471" s="17">
        <v>25125</v>
      </c>
      <c r="D471" s="7" t="s">
        <v>15</v>
      </c>
      <c r="E471" s="7" t="s">
        <v>369</v>
      </c>
      <c r="F471" s="7" t="s">
        <v>89</v>
      </c>
      <c r="G471" s="7" t="s">
        <v>35</v>
      </c>
      <c r="H471" s="8">
        <v>455484</v>
      </c>
      <c r="I471" s="7" t="s">
        <v>409</v>
      </c>
      <c r="J471" s="40">
        <v>16</v>
      </c>
      <c r="K471" s="40">
        <v>2</v>
      </c>
      <c r="L471" s="40">
        <v>9</v>
      </c>
      <c r="M471" s="8" t="s">
        <v>305</v>
      </c>
      <c r="N471" s="8" t="s">
        <v>110</v>
      </c>
      <c r="O471" s="8" t="s">
        <v>100</v>
      </c>
    </row>
    <row r="472" spans="2:15" x14ac:dyDescent="0.25">
      <c r="B472" s="7" t="s">
        <v>312</v>
      </c>
      <c r="C472" s="17">
        <v>24394</v>
      </c>
      <c r="D472" s="7" t="s">
        <v>12</v>
      </c>
      <c r="E472" s="7" t="s">
        <v>349</v>
      </c>
      <c r="F472" s="7" t="s">
        <v>68</v>
      </c>
      <c r="G472" s="7" t="s">
        <v>35</v>
      </c>
      <c r="H472" s="8">
        <v>228486</v>
      </c>
      <c r="I472" s="7" t="s">
        <v>389</v>
      </c>
      <c r="J472" s="40">
        <v>24</v>
      </c>
      <c r="K472" s="40">
        <v>3</v>
      </c>
      <c r="L472" s="40">
        <v>13</v>
      </c>
      <c r="M472" s="8" t="s">
        <v>110</v>
      </c>
      <c r="N472" s="8" t="s">
        <v>111</v>
      </c>
      <c r="O472" s="8" t="s">
        <v>100</v>
      </c>
    </row>
    <row r="473" spans="2:15" x14ac:dyDescent="0.25">
      <c r="B473" s="7" t="s">
        <v>312</v>
      </c>
      <c r="C473" s="17">
        <v>25118</v>
      </c>
      <c r="D473" s="7" t="s">
        <v>15</v>
      </c>
      <c r="E473" s="7" t="s">
        <v>369</v>
      </c>
      <c r="F473" s="7" t="s">
        <v>89</v>
      </c>
      <c r="G473" s="7" t="s">
        <v>35</v>
      </c>
      <c r="H473" s="8">
        <v>455484</v>
      </c>
      <c r="I473" s="7" t="s">
        <v>409</v>
      </c>
      <c r="J473" s="40">
        <v>16</v>
      </c>
      <c r="K473" s="40">
        <v>2</v>
      </c>
      <c r="L473" s="40">
        <v>10</v>
      </c>
      <c r="M473" s="8" t="s">
        <v>310</v>
      </c>
      <c r="N473" s="8" t="s">
        <v>311</v>
      </c>
      <c r="O473" s="8" t="s">
        <v>119</v>
      </c>
    </row>
    <row r="474" spans="2:15" x14ac:dyDescent="0.25">
      <c r="B474" s="7" t="s">
        <v>312</v>
      </c>
      <c r="C474" s="17">
        <v>24389</v>
      </c>
      <c r="D474" s="7" t="s">
        <v>12</v>
      </c>
      <c r="E474" s="7" t="s">
        <v>349</v>
      </c>
      <c r="F474" s="7" t="s">
        <v>68</v>
      </c>
      <c r="G474" s="7" t="s">
        <v>35</v>
      </c>
      <c r="H474" s="8">
        <v>228486</v>
      </c>
      <c r="I474" s="7" t="s">
        <v>389</v>
      </c>
      <c r="J474" s="40">
        <v>24</v>
      </c>
      <c r="K474" s="40">
        <v>3</v>
      </c>
      <c r="L474" s="40">
        <v>7</v>
      </c>
      <c r="M474" s="8" t="s">
        <v>310</v>
      </c>
      <c r="N474" s="8" t="s">
        <v>123</v>
      </c>
      <c r="O474" s="8" t="s">
        <v>119</v>
      </c>
    </row>
    <row r="475" spans="2:15" x14ac:dyDescent="0.25">
      <c r="B475" s="7" t="s">
        <v>312</v>
      </c>
      <c r="C475" s="17">
        <v>25117</v>
      </c>
      <c r="D475" s="7" t="s">
        <v>15</v>
      </c>
      <c r="E475" s="7" t="s">
        <v>369</v>
      </c>
      <c r="F475" s="7" t="s">
        <v>89</v>
      </c>
      <c r="G475" s="7" t="s">
        <v>35</v>
      </c>
      <c r="H475" s="8">
        <v>455484</v>
      </c>
      <c r="I475" s="7" t="s">
        <v>409</v>
      </c>
      <c r="J475" s="40">
        <v>16</v>
      </c>
      <c r="K475" s="40">
        <v>2</v>
      </c>
      <c r="L475" s="40">
        <v>10</v>
      </c>
      <c r="M475" s="8" t="s">
        <v>123</v>
      </c>
      <c r="N475" s="8" t="s">
        <v>120</v>
      </c>
      <c r="O475" s="8" t="s">
        <v>119</v>
      </c>
    </row>
    <row r="476" spans="2:15" x14ac:dyDescent="0.25">
      <c r="B476" s="7" t="s">
        <v>312</v>
      </c>
      <c r="C476" s="17">
        <v>25128</v>
      </c>
      <c r="D476" s="7" t="s">
        <v>15</v>
      </c>
      <c r="E476" s="7" t="s">
        <v>369</v>
      </c>
      <c r="F476" s="7" t="s">
        <v>89</v>
      </c>
      <c r="G476" s="7" t="s">
        <v>35</v>
      </c>
      <c r="H476" s="8">
        <v>226483</v>
      </c>
      <c r="I476" s="7" t="s">
        <v>406</v>
      </c>
      <c r="J476" s="40">
        <v>16</v>
      </c>
      <c r="K476" s="40">
        <v>2</v>
      </c>
      <c r="L476" s="40">
        <v>13</v>
      </c>
      <c r="M476" s="8" t="s">
        <v>120</v>
      </c>
      <c r="N476" s="8" t="s">
        <v>121</v>
      </c>
      <c r="O476" s="8" t="s">
        <v>119</v>
      </c>
    </row>
    <row r="477" spans="2:15" x14ac:dyDescent="0.25">
      <c r="B477" s="7" t="s">
        <v>312</v>
      </c>
      <c r="C477" s="17">
        <v>24344</v>
      </c>
      <c r="D477" s="7" t="s">
        <v>12</v>
      </c>
      <c r="E477" s="7" t="s">
        <v>349</v>
      </c>
      <c r="F477" s="7" t="s">
        <v>71</v>
      </c>
      <c r="G477" s="7" t="s">
        <v>35</v>
      </c>
      <c r="H477" s="8">
        <v>315738</v>
      </c>
      <c r="I477" s="7" t="s">
        <v>415</v>
      </c>
      <c r="J477" s="40">
        <v>16</v>
      </c>
      <c r="K477" s="40">
        <v>2</v>
      </c>
      <c r="L477" s="40">
        <v>14</v>
      </c>
      <c r="M477" s="8" t="s">
        <v>311</v>
      </c>
      <c r="N477" s="8" t="s">
        <v>121</v>
      </c>
      <c r="O477" s="8" t="s">
        <v>119</v>
      </c>
    </row>
    <row r="478" spans="2:15" x14ac:dyDescent="0.25">
      <c r="B478" s="7" t="s">
        <v>312</v>
      </c>
      <c r="C478" s="17">
        <v>24398</v>
      </c>
      <c r="D478" s="7" t="s">
        <v>12</v>
      </c>
      <c r="E478" s="7" t="s">
        <v>349</v>
      </c>
      <c r="F478" s="7" t="s">
        <v>62</v>
      </c>
      <c r="G478" s="7" t="s">
        <v>35</v>
      </c>
      <c r="H478" s="8">
        <v>228486</v>
      </c>
      <c r="I478" s="7" t="s">
        <v>389</v>
      </c>
      <c r="J478" s="40">
        <v>24</v>
      </c>
      <c r="K478" s="40">
        <v>3</v>
      </c>
      <c r="L478" s="40">
        <v>10</v>
      </c>
      <c r="M478" s="8" t="s">
        <v>120</v>
      </c>
      <c r="N478" s="8" t="s">
        <v>124</v>
      </c>
      <c r="O478" s="8" t="s">
        <v>119</v>
      </c>
    </row>
    <row r="479" spans="2:15" x14ac:dyDescent="0.25">
      <c r="B479" s="7" t="s">
        <v>312</v>
      </c>
      <c r="C479" s="17">
        <v>25116</v>
      </c>
      <c r="D479" s="7" t="s">
        <v>15</v>
      </c>
      <c r="E479" s="7" t="s">
        <v>369</v>
      </c>
      <c r="F479" s="7" t="s">
        <v>89</v>
      </c>
      <c r="G479" s="7" t="s">
        <v>35</v>
      </c>
      <c r="H479" s="8">
        <v>455484</v>
      </c>
      <c r="I479" s="7" t="s">
        <v>409</v>
      </c>
      <c r="J479" s="40">
        <v>16</v>
      </c>
      <c r="K479" s="40">
        <v>2</v>
      </c>
      <c r="L479" s="40">
        <v>11</v>
      </c>
      <c r="M479" s="8" t="s">
        <v>126</v>
      </c>
      <c r="N479" s="8" t="s">
        <v>315</v>
      </c>
      <c r="O479" s="8" t="s">
        <v>119</v>
      </c>
    </row>
    <row r="480" spans="2:15" x14ac:dyDescent="0.25">
      <c r="B480" s="7" t="s">
        <v>312</v>
      </c>
      <c r="C480" s="17">
        <v>24408</v>
      </c>
      <c r="D480" s="7" t="s">
        <v>12</v>
      </c>
      <c r="E480" s="7" t="s">
        <v>349</v>
      </c>
      <c r="F480" s="7" t="s">
        <v>159</v>
      </c>
      <c r="G480" s="7" t="s">
        <v>35</v>
      </c>
      <c r="H480" s="8">
        <v>228486</v>
      </c>
      <c r="I480" s="7" t="s">
        <v>389</v>
      </c>
      <c r="J480" s="40">
        <v>16</v>
      </c>
      <c r="K480" s="40">
        <v>2</v>
      </c>
      <c r="L480" s="40">
        <v>10</v>
      </c>
      <c r="M480" s="8" t="s">
        <v>126</v>
      </c>
      <c r="N480" s="8" t="s">
        <v>315</v>
      </c>
      <c r="O480" s="8" t="s">
        <v>119</v>
      </c>
    </row>
    <row r="481" spans="2:15" x14ac:dyDescent="0.25">
      <c r="B481" s="7" t="s">
        <v>312</v>
      </c>
      <c r="C481" s="17">
        <v>24410</v>
      </c>
      <c r="D481" s="7" t="s">
        <v>12</v>
      </c>
      <c r="E481" s="7" t="s">
        <v>349</v>
      </c>
      <c r="F481" s="7" t="s">
        <v>159</v>
      </c>
      <c r="G481" s="7" t="s">
        <v>35</v>
      </c>
      <c r="H481" s="8">
        <v>228486</v>
      </c>
      <c r="I481" s="7" t="s">
        <v>389</v>
      </c>
      <c r="J481" s="40">
        <v>16</v>
      </c>
      <c r="K481" s="40">
        <v>2</v>
      </c>
      <c r="L481" s="40">
        <v>3</v>
      </c>
      <c r="M481" s="8" t="s">
        <v>128</v>
      </c>
      <c r="N481" s="8" t="s">
        <v>318</v>
      </c>
      <c r="O481" s="8" t="s">
        <v>119</v>
      </c>
    </row>
    <row r="482" spans="2:15" x14ac:dyDescent="0.25">
      <c r="B482" s="7" t="s">
        <v>312</v>
      </c>
      <c r="C482" s="17">
        <v>24409</v>
      </c>
      <c r="D482" s="7" t="s">
        <v>12</v>
      </c>
      <c r="E482" s="7" t="s">
        <v>349</v>
      </c>
      <c r="F482" s="7" t="s">
        <v>159</v>
      </c>
      <c r="G482" s="7" t="s">
        <v>35</v>
      </c>
      <c r="H482" s="8">
        <v>228486</v>
      </c>
      <c r="I482" s="7" t="s">
        <v>389</v>
      </c>
      <c r="J482" s="40">
        <v>16</v>
      </c>
      <c r="K482" s="40">
        <v>2</v>
      </c>
      <c r="L482" s="40">
        <v>10</v>
      </c>
      <c r="M482" s="8" t="s">
        <v>129</v>
      </c>
      <c r="N482" s="8" t="s">
        <v>130</v>
      </c>
      <c r="O482" s="8" t="s">
        <v>119</v>
      </c>
    </row>
    <row r="483" spans="2:15" x14ac:dyDescent="0.25">
      <c r="B483" s="7" t="s">
        <v>312</v>
      </c>
      <c r="C483" s="17">
        <v>25123</v>
      </c>
      <c r="D483" s="7" t="s">
        <v>15</v>
      </c>
      <c r="E483" s="7" t="s">
        <v>369</v>
      </c>
      <c r="F483" s="7" t="s">
        <v>89</v>
      </c>
      <c r="G483" s="7" t="s">
        <v>35</v>
      </c>
      <c r="H483" s="8">
        <v>455484</v>
      </c>
      <c r="I483" s="7" t="s">
        <v>409</v>
      </c>
      <c r="J483" s="40">
        <v>16</v>
      </c>
      <c r="K483" s="40">
        <v>2</v>
      </c>
      <c r="L483" s="40">
        <v>15</v>
      </c>
      <c r="M483" s="8" t="s">
        <v>134</v>
      </c>
      <c r="N483" s="8" t="s">
        <v>135</v>
      </c>
      <c r="O483" s="8" t="s">
        <v>119</v>
      </c>
    </row>
    <row r="484" spans="2:15" x14ac:dyDescent="0.25">
      <c r="B484" s="7" t="s">
        <v>312</v>
      </c>
      <c r="C484" s="17">
        <v>21560</v>
      </c>
      <c r="D484" s="7" t="s">
        <v>15</v>
      </c>
      <c r="E484" s="7" t="s">
        <v>74</v>
      </c>
      <c r="F484" s="7" t="s">
        <v>171</v>
      </c>
      <c r="G484" s="7" t="s">
        <v>72</v>
      </c>
      <c r="H484" s="8">
        <v>374123</v>
      </c>
      <c r="I484" s="7" t="s">
        <v>412</v>
      </c>
      <c r="J484" s="40">
        <v>8</v>
      </c>
      <c r="K484" s="40">
        <v>1</v>
      </c>
      <c r="L484" s="40">
        <v>10</v>
      </c>
      <c r="M484" s="8" t="s">
        <v>136</v>
      </c>
      <c r="N484" s="8" t="s">
        <v>136</v>
      </c>
      <c r="O484" s="8" t="s">
        <v>119</v>
      </c>
    </row>
    <row r="485" spans="2:15" x14ac:dyDescent="0.25">
      <c r="B485" s="7" t="s">
        <v>312</v>
      </c>
      <c r="C485" s="17">
        <v>22096</v>
      </c>
      <c r="D485" s="7" t="s">
        <v>15</v>
      </c>
      <c r="E485" s="7" t="s">
        <v>74</v>
      </c>
      <c r="F485" s="7" t="s">
        <v>148</v>
      </c>
      <c r="G485" s="7" t="s">
        <v>35</v>
      </c>
      <c r="H485" s="8">
        <v>226483</v>
      </c>
      <c r="I485" s="7" t="s">
        <v>406</v>
      </c>
      <c r="J485" s="40">
        <v>8</v>
      </c>
      <c r="K485" s="40">
        <v>1</v>
      </c>
      <c r="L485" s="40">
        <v>3</v>
      </c>
      <c r="M485" s="8" t="s">
        <v>154</v>
      </c>
      <c r="N485" s="8" t="s">
        <v>154</v>
      </c>
      <c r="O485" s="8" t="s">
        <v>141</v>
      </c>
    </row>
    <row r="486" spans="2:15" x14ac:dyDescent="0.25">
      <c r="B486" s="7" t="s">
        <v>312</v>
      </c>
      <c r="C486" s="17">
        <v>21987</v>
      </c>
      <c r="D486" s="7" t="s">
        <v>8</v>
      </c>
      <c r="E486" s="7" t="s">
        <v>142</v>
      </c>
      <c r="F486" s="7" t="s">
        <v>105</v>
      </c>
      <c r="G486" s="7" t="s">
        <v>35</v>
      </c>
      <c r="H486" s="8">
        <v>343036</v>
      </c>
      <c r="I486" s="7" t="s">
        <v>416</v>
      </c>
      <c r="J486" s="40">
        <v>16</v>
      </c>
      <c r="K486" s="40">
        <v>2</v>
      </c>
      <c r="L486" s="40">
        <v>6</v>
      </c>
      <c r="M486" s="8" t="s">
        <v>154</v>
      </c>
      <c r="N486" s="8" t="s">
        <v>155</v>
      </c>
      <c r="O486" s="8" t="s">
        <v>141</v>
      </c>
    </row>
    <row r="487" spans="2:15" x14ac:dyDescent="0.25">
      <c r="B487" s="7" t="s">
        <v>312</v>
      </c>
      <c r="C487" s="17">
        <v>26145</v>
      </c>
      <c r="D487" s="7" t="s">
        <v>8</v>
      </c>
      <c r="E487" s="7" t="s">
        <v>142</v>
      </c>
      <c r="F487" s="7" t="s">
        <v>331</v>
      </c>
      <c r="G487" s="7" t="s">
        <v>35</v>
      </c>
      <c r="H487" s="8">
        <v>279089</v>
      </c>
      <c r="I487" s="7" t="s">
        <v>417</v>
      </c>
      <c r="J487" s="40">
        <v>32</v>
      </c>
      <c r="K487" s="40">
        <v>4</v>
      </c>
      <c r="L487" s="40">
        <v>1</v>
      </c>
      <c r="M487" s="8" t="s">
        <v>155</v>
      </c>
      <c r="N487" s="8" t="s">
        <v>158</v>
      </c>
      <c r="O487" s="8" t="s">
        <v>141</v>
      </c>
    </row>
    <row r="488" spans="2:15" x14ac:dyDescent="0.25">
      <c r="B488" s="7" t="s">
        <v>312</v>
      </c>
      <c r="C488" s="17">
        <v>24350</v>
      </c>
      <c r="D488" s="7" t="s">
        <v>12</v>
      </c>
      <c r="E488" s="7" t="s">
        <v>349</v>
      </c>
      <c r="F488" s="7" t="s">
        <v>223</v>
      </c>
      <c r="G488" s="7" t="s">
        <v>35</v>
      </c>
      <c r="H488" s="8">
        <v>812346</v>
      </c>
      <c r="I488" s="7" t="s">
        <v>418</v>
      </c>
      <c r="J488" s="40">
        <v>16</v>
      </c>
      <c r="K488" s="40">
        <v>2</v>
      </c>
      <c r="L488" s="40">
        <v>2</v>
      </c>
      <c r="M488" s="8" t="s">
        <v>166</v>
      </c>
      <c r="N488" s="8" t="s">
        <v>167</v>
      </c>
      <c r="O488" s="8" t="s">
        <v>141</v>
      </c>
    </row>
    <row r="489" spans="2:15" x14ac:dyDescent="0.25">
      <c r="B489" s="7" t="s">
        <v>312</v>
      </c>
      <c r="C489" s="17">
        <v>24543</v>
      </c>
      <c r="D489" s="7" t="s">
        <v>15</v>
      </c>
      <c r="E489" s="7" t="s">
        <v>369</v>
      </c>
      <c r="F489" s="7" t="s">
        <v>264</v>
      </c>
      <c r="G489" s="7" t="s">
        <v>35</v>
      </c>
      <c r="H489" s="8">
        <v>226483</v>
      </c>
      <c r="I489" s="7" t="s">
        <v>406</v>
      </c>
      <c r="J489" s="40">
        <v>8</v>
      </c>
      <c r="K489" s="40">
        <v>1</v>
      </c>
      <c r="L489" s="40">
        <v>12</v>
      </c>
      <c r="M489" s="8" t="s">
        <v>177</v>
      </c>
      <c r="N489" s="8" t="s">
        <v>177</v>
      </c>
      <c r="O489" s="8" t="s">
        <v>173</v>
      </c>
    </row>
    <row r="490" spans="2:15" x14ac:dyDescent="0.25">
      <c r="B490" s="7" t="s">
        <v>312</v>
      </c>
      <c r="C490" s="17">
        <v>24423</v>
      </c>
      <c r="D490" s="7" t="s">
        <v>12</v>
      </c>
      <c r="E490" s="7" t="s">
        <v>349</v>
      </c>
      <c r="F490" s="7" t="s">
        <v>401</v>
      </c>
      <c r="G490" s="7" t="s">
        <v>72</v>
      </c>
      <c r="H490" s="8">
        <v>812346</v>
      </c>
      <c r="I490" s="7" t="s">
        <v>418</v>
      </c>
      <c r="J490" s="40">
        <v>16</v>
      </c>
      <c r="K490" s="40">
        <v>2</v>
      </c>
      <c r="L490" s="40">
        <v>7</v>
      </c>
      <c r="M490" s="8" t="s">
        <v>190</v>
      </c>
      <c r="N490" s="8" t="s">
        <v>193</v>
      </c>
      <c r="O490" s="8" t="s">
        <v>173</v>
      </c>
    </row>
    <row r="491" spans="2:15" x14ac:dyDescent="0.25">
      <c r="B491" s="7" t="s">
        <v>312</v>
      </c>
      <c r="C491" s="17">
        <v>21404</v>
      </c>
      <c r="D491" s="7" t="s">
        <v>15</v>
      </c>
      <c r="E491" s="7" t="s">
        <v>74</v>
      </c>
      <c r="F491" s="7" t="s">
        <v>294</v>
      </c>
      <c r="G491" s="7" t="s">
        <v>35</v>
      </c>
      <c r="H491" s="8">
        <v>226483</v>
      </c>
      <c r="I491" s="7" t="s">
        <v>406</v>
      </c>
      <c r="J491" s="40">
        <v>8</v>
      </c>
      <c r="K491" s="40">
        <v>1</v>
      </c>
      <c r="L491" s="40">
        <v>3</v>
      </c>
      <c r="M491" s="8" t="s">
        <v>203</v>
      </c>
      <c r="N491" s="8" t="s">
        <v>203</v>
      </c>
      <c r="O491" s="8" t="s">
        <v>202</v>
      </c>
    </row>
    <row r="492" spans="2:15" x14ac:dyDescent="0.25">
      <c r="B492" s="7" t="s">
        <v>312</v>
      </c>
      <c r="C492" s="17">
        <v>29127</v>
      </c>
      <c r="D492" s="7" t="s">
        <v>12</v>
      </c>
      <c r="E492" s="7" t="s">
        <v>349</v>
      </c>
      <c r="F492" s="7" t="s">
        <v>288</v>
      </c>
      <c r="G492" s="7" t="s">
        <v>35</v>
      </c>
      <c r="H492" s="8">
        <v>352720</v>
      </c>
      <c r="I492" s="7" t="s">
        <v>373</v>
      </c>
      <c r="J492" s="40">
        <v>16</v>
      </c>
      <c r="K492" s="40">
        <v>2</v>
      </c>
      <c r="L492" s="40">
        <v>6</v>
      </c>
      <c r="M492" s="8" t="s">
        <v>210</v>
      </c>
      <c r="N492" s="8" t="s">
        <v>211</v>
      </c>
      <c r="O492" s="8" t="s">
        <v>202</v>
      </c>
    </row>
    <row r="493" spans="2:15" x14ac:dyDescent="0.25">
      <c r="B493" s="7" t="s">
        <v>312</v>
      </c>
      <c r="C493" s="17">
        <v>21603</v>
      </c>
      <c r="D493" s="7" t="s">
        <v>15</v>
      </c>
      <c r="E493" s="7" t="s">
        <v>74</v>
      </c>
      <c r="F493" s="7" t="s">
        <v>199</v>
      </c>
      <c r="G493" s="7" t="s">
        <v>35</v>
      </c>
      <c r="H493" s="8">
        <v>226483</v>
      </c>
      <c r="I493" s="7" t="s">
        <v>406</v>
      </c>
      <c r="J493" s="40">
        <v>8</v>
      </c>
      <c r="K493" s="40">
        <v>1</v>
      </c>
      <c r="L493" s="40">
        <v>1</v>
      </c>
      <c r="M493" s="8" t="s">
        <v>217</v>
      </c>
      <c r="N493" s="8" t="s">
        <v>217</v>
      </c>
      <c r="O493" s="8" t="s">
        <v>202</v>
      </c>
    </row>
    <row r="494" spans="2:15" x14ac:dyDescent="0.25">
      <c r="B494" s="7" t="s">
        <v>312</v>
      </c>
      <c r="C494" s="17">
        <v>23608</v>
      </c>
      <c r="D494" s="7" t="s">
        <v>15</v>
      </c>
      <c r="E494" s="7" t="s">
        <v>74</v>
      </c>
      <c r="F494" s="7" t="s">
        <v>302</v>
      </c>
      <c r="G494" s="7" t="s">
        <v>35</v>
      </c>
      <c r="H494" s="8">
        <v>226483</v>
      </c>
      <c r="I494" s="7" t="s">
        <v>406</v>
      </c>
      <c r="J494" s="40">
        <v>8</v>
      </c>
      <c r="K494" s="40">
        <v>1</v>
      </c>
      <c r="L494" s="40">
        <v>1</v>
      </c>
      <c r="M494" s="8" t="s">
        <v>236</v>
      </c>
      <c r="N494" s="8" t="s">
        <v>236</v>
      </c>
      <c r="O494" s="8" t="s">
        <v>227</v>
      </c>
    </row>
    <row r="495" spans="2:15" x14ac:dyDescent="0.25">
      <c r="B495" s="7" t="s">
        <v>312</v>
      </c>
      <c r="C495" s="17">
        <v>24355</v>
      </c>
      <c r="D495" s="7" t="s">
        <v>12</v>
      </c>
      <c r="E495" s="7" t="s">
        <v>349</v>
      </c>
      <c r="F495" s="7" t="s">
        <v>171</v>
      </c>
      <c r="G495" s="7" t="s">
        <v>72</v>
      </c>
      <c r="H495" s="8">
        <v>332078</v>
      </c>
      <c r="I495" s="7" t="s">
        <v>364</v>
      </c>
      <c r="J495" s="40">
        <v>8</v>
      </c>
      <c r="K495" s="40">
        <v>1</v>
      </c>
      <c r="L495" s="40">
        <v>14</v>
      </c>
      <c r="M495" s="8" t="s">
        <v>243</v>
      </c>
      <c r="N495" s="8" t="s">
        <v>242</v>
      </c>
      <c r="O495" s="8" t="s">
        <v>227</v>
      </c>
    </row>
    <row r="496" spans="2:15" x14ac:dyDescent="0.25">
      <c r="B496" s="7" t="s">
        <v>312</v>
      </c>
      <c r="C496" s="17">
        <v>24445</v>
      </c>
      <c r="D496" s="7" t="s">
        <v>12</v>
      </c>
      <c r="E496" s="7" t="s">
        <v>349</v>
      </c>
      <c r="F496" s="7" t="s">
        <v>84</v>
      </c>
      <c r="G496" s="7" t="s">
        <v>35</v>
      </c>
      <c r="H496" s="8">
        <v>352720</v>
      </c>
      <c r="I496" s="7" t="s">
        <v>373</v>
      </c>
      <c r="J496" s="40">
        <v>16</v>
      </c>
      <c r="K496" s="40">
        <v>2</v>
      </c>
      <c r="L496" s="40">
        <v>10</v>
      </c>
      <c r="M496" s="8" t="s">
        <v>242</v>
      </c>
      <c r="N496" s="8" t="s">
        <v>244</v>
      </c>
      <c r="O496" s="8" t="s">
        <v>227</v>
      </c>
    </row>
    <row r="497" spans="2:15" x14ac:dyDescent="0.25">
      <c r="B497" s="7" t="s">
        <v>312</v>
      </c>
      <c r="C497" s="17">
        <v>24447</v>
      </c>
      <c r="D497" s="7" t="s">
        <v>12</v>
      </c>
      <c r="E497" s="7" t="s">
        <v>349</v>
      </c>
      <c r="F497" s="7" t="s">
        <v>346</v>
      </c>
      <c r="G497" s="7" t="s">
        <v>35</v>
      </c>
      <c r="H497" s="8">
        <v>352720</v>
      </c>
      <c r="I497" s="7" t="s">
        <v>373</v>
      </c>
      <c r="J497" s="40">
        <v>16</v>
      </c>
      <c r="K497" s="40">
        <v>2</v>
      </c>
      <c r="L497" s="40">
        <v>2</v>
      </c>
      <c r="M497" s="8" t="s">
        <v>385</v>
      </c>
      <c r="N497" s="8" t="s">
        <v>248</v>
      </c>
      <c r="O497" s="8" t="s">
        <v>249</v>
      </c>
    </row>
    <row r="498" spans="2:15" x14ac:dyDescent="0.25">
      <c r="B498" s="7" t="s">
        <v>297</v>
      </c>
      <c r="C498" s="17">
        <v>23349</v>
      </c>
      <c r="D498" s="7" t="s">
        <v>15</v>
      </c>
      <c r="E498" s="7" t="s">
        <v>420</v>
      </c>
      <c r="F498" s="7" t="s">
        <v>40</v>
      </c>
      <c r="G498" s="7" t="s">
        <v>35</v>
      </c>
      <c r="H498" s="42">
        <v>520213</v>
      </c>
      <c r="I498" s="7" t="s">
        <v>421</v>
      </c>
      <c r="J498" s="40">
        <v>24</v>
      </c>
      <c r="K498" s="40">
        <v>3</v>
      </c>
      <c r="L498" s="40">
        <v>6</v>
      </c>
      <c r="M498" s="8" t="s">
        <v>266</v>
      </c>
      <c r="N498" s="18">
        <v>44293</v>
      </c>
      <c r="O498" s="8" t="s">
        <v>60</v>
      </c>
    </row>
    <row r="499" spans="2:15" x14ac:dyDescent="0.25">
      <c r="B499" s="7" t="s">
        <v>297</v>
      </c>
      <c r="C499" s="17">
        <v>24341</v>
      </c>
      <c r="D499" s="7" t="s">
        <v>12</v>
      </c>
      <c r="E499" s="7" t="s">
        <v>349</v>
      </c>
      <c r="F499" s="7" t="s">
        <v>264</v>
      </c>
      <c r="G499" s="7" t="s">
        <v>35</v>
      </c>
      <c r="H499" s="42">
        <v>463384</v>
      </c>
      <c r="I499" s="7" t="s">
        <v>422</v>
      </c>
      <c r="J499" s="40">
        <v>8</v>
      </c>
      <c r="K499" s="40">
        <v>1</v>
      </c>
      <c r="L499" s="40">
        <v>3</v>
      </c>
      <c r="M499" s="8" t="s">
        <v>64</v>
      </c>
      <c r="N499" s="18">
        <v>44300</v>
      </c>
      <c r="O499" s="8" t="s">
        <v>60</v>
      </c>
    </row>
    <row r="500" spans="2:15" x14ac:dyDescent="0.25">
      <c r="B500" s="7" t="s">
        <v>297</v>
      </c>
      <c r="C500" s="17">
        <v>24392</v>
      </c>
      <c r="D500" s="7" t="s">
        <v>12</v>
      </c>
      <c r="E500" s="7" t="s">
        <v>349</v>
      </c>
      <c r="F500" s="7" t="s">
        <v>68</v>
      </c>
      <c r="G500" s="7" t="s">
        <v>35</v>
      </c>
      <c r="H500" s="42">
        <v>463384</v>
      </c>
      <c r="I500" s="7" t="s">
        <v>422</v>
      </c>
      <c r="J500" s="40">
        <v>24</v>
      </c>
      <c r="K500" s="40">
        <v>3</v>
      </c>
      <c r="L500" s="40">
        <v>6</v>
      </c>
      <c r="M500" s="8" t="s">
        <v>59</v>
      </c>
      <c r="N500" s="18">
        <v>44303</v>
      </c>
      <c r="O500" s="8" t="s">
        <v>60</v>
      </c>
    </row>
    <row r="501" spans="2:15" x14ac:dyDescent="0.25">
      <c r="B501" s="7" t="s">
        <v>297</v>
      </c>
      <c r="C501" s="17">
        <v>24444</v>
      </c>
      <c r="D501" s="7" t="s">
        <v>12</v>
      </c>
      <c r="E501" s="7" t="s">
        <v>349</v>
      </c>
      <c r="F501" s="7" t="s">
        <v>84</v>
      </c>
      <c r="G501" s="7" t="s">
        <v>35</v>
      </c>
      <c r="H501" s="42">
        <v>463384</v>
      </c>
      <c r="I501" s="7" t="s">
        <v>422</v>
      </c>
      <c r="J501" s="40">
        <v>16</v>
      </c>
      <c r="K501" s="40">
        <v>2</v>
      </c>
      <c r="L501" s="40">
        <v>7</v>
      </c>
      <c r="M501" s="8" t="s">
        <v>67</v>
      </c>
      <c r="N501" s="18">
        <v>44306</v>
      </c>
      <c r="O501" s="8" t="s">
        <v>60</v>
      </c>
    </row>
    <row r="502" spans="2:15" x14ac:dyDescent="0.25">
      <c r="B502" s="7" t="s">
        <v>297</v>
      </c>
      <c r="C502" s="17">
        <v>23348</v>
      </c>
      <c r="D502" s="7" t="s">
        <v>15</v>
      </c>
      <c r="E502" s="7" t="s">
        <v>420</v>
      </c>
      <c r="F502" s="7" t="s">
        <v>40</v>
      </c>
      <c r="G502" s="7" t="s">
        <v>35</v>
      </c>
      <c r="H502" s="42">
        <v>520213</v>
      </c>
      <c r="I502" s="7" t="s">
        <v>421</v>
      </c>
      <c r="J502" s="40">
        <v>24</v>
      </c>
      <c r="K502" s="40">
        <v>3</v>
      </c>
      <c r="L502" s="40">
        <v>7</v>
      </c>
      <c r="M502" s="8" t="s">
        <v>67</v>
      </c>
      <c r="N502" s="18">
        <v>44307</v>
      </c>
      <c r="O502" s="8" t="s">
        <v>60</v>
      </c>
    </row>
    <row r="503" spans="2:15" x14ac:dyDescent="0.25">
      <c r="B503" s="7" t="s">
        <v>297</v>
      </c>
      <c r="C503" s="17">
        <v>24407</v>
      </c>
      <c r="D503" s="7" t="s">
        <v>12</v>
      </c>
      <c r="E503" s="7" t="s">
        <v>349</v>
      </c>
      <c r="F503" s="7" t="s">
        <v>159</v>
      </c>
      <c r="G503" s="7" t="s">
        <v>35</v>
      </c>
      <c r="H503" s="42">
        <v>463384</v>
      </c>
      <c r="I503" s="7" t="s">
        <v>422</v>
      </c>
      <c r="J503" s="40">
        <v>16</v>
      </c>
      <c r="K503" s="40">
        <v>2</v>
      </c>
      <c r="L503" s="40">
        <v>6</v>
      </c>
      <c r="M503" s="8" t="s">
        <v>391</v>
      </c>
      <c r="N503" s="18">
        <v>44308</v>
      </c>
      <c r="O503" s="8" t="s">
        <v>60</v>
      </c>
    </row>
    <row r="504" spans="2:15" x14ac:dyDescent="0.25">
      <c r="B504" s="7" t="s">
        <v>297</v>
      </c>
      <c r="C504" s="17">
        <v>23344</v>
      </c>
      <c r="D504" s="7" t="s">
        <v>15</v>
      </c>
      <c r="E504" s="7" t="s">
        <v>420</v>
      </c>
      <c r="F504" s="7" t="s">
        <v>40</v>
      </c>
      <c r="G504" s="7" t="s">
        <v>35</v>
      </c>
      <c r="H504" s="42">
        <v>520213</v>
      </c>
      <c r="I504" s="7" t="s">
        <v>421</v>
      </c>
      <c r="J504" s="40">
        <v>24</v>
      </c>
      <c r="K504" s="40">
        <v>3</v>
      </c>
      <c r="L504" s="40">
        <v>8</v>
      </c>
      <c r="M504" s="8" t="s">
        <v>423</v>
      </c>
      <c r="N504" s="18">
        <v>44310</v>
      </c>
      <c r="O504" s="8" t="s">
        <v>60</v>
      </c>
    </row>
    <row r="505" spans="2:15" x14ac:dyDescent="0.25">
      <c r="B505" s="7" t="s">
        <v>297</v>
      </c>
      <c r="C505" s="17">
        <v>24449</v>
      </c>
      <c r="D505" s="7" t="s">
        <v>12</v>
      </c>
      <c r="E505" s="7" t="s">
        <v>349</v>
      </c>
      <c r="F505" s="7" t="s">
        <v>346</v>
      </c>
      <c r="G505" s="7" t="s">
        <v>35</v>
      </c>
      <c r="H505" s="42">
        <v>463384</v>
      </c>
      <c r="I505" s="7" t="s">
        <v>422</v>
      </c>
      <c r="J505" s="40">
        <v>16</v>
      </c>
      <c r="K505" s="40">
        <v>2</v>
      </c>
      <c r="L505" s="40">
        <v>7</v>
      </c>
      <c r="M505" s="8" t="s">
        <v>424</v>
      </c>
      <c r="N505" s="18">
        <v>44310</v>
      </c>
      <c r="O505" s="8" t="s">
        <v>60</v>
      </c>
    </row>
    <row r="506" spans="2:15" x14ac:dyDescent="0.25">
      <c r="B506" s="7" t="s">
        <v>297</v>
      </c>
      <c r="C506" s="17">
        <v>23351</v>
      </c>
      <c r="D506" s="7" t="s">
        <v>15</v>
      </c>
      <c r="E506" s="7" t="s">
        <v>420</v>
      </c>
      <c r="F506" s="7" t="s">
        <v>199</v>
      </c>
      <c r="G506" s="7" t="s">
        <v>35</v>
      </c>
      <c r="H506" s="42">
        <v>520213</v>
      </c>
      <c r="I506" s="7" t="s">
        <v>421</v>
      </c>
      <c r="J506" s="40">
        <v>8</v>
      </c>
      <c r="K506" s="40">
        <v>1</v>
      </c>
      <c r="L506" s="40">
        <v>5</v>
      </c>
      <c r="M506" s="8" t="s">
        <v>377</v>
      </c>
      <c r="N506" s="18">
        <v>44312</v>
      </c>
      <c r="O506" s="8" t="s">
        <v>60</v>
      </c>
    </row>
    <row r="507" spans="2:15" x14ac:dyDescent="0.25">
      <c r="B507" s="7" t="s">
        <v>297</v>
      </c>
      <c r="C507" s="17">
        <v>23343</v>
      </c>
      <c r="D507" s="7" t="s">
        <v>15</v>
      </c>
      <c r="E507" s="7" t="s">
        <v>420</v>
      </c>
      <c r="F507" s="7" t="s">
        <v>235</v>
      </c>
      <c r="G507" s="7" t="s">
        <v>35</v>
      </c>
      <c r="H507" s="42">
        <v>520213</v>
      </c>
      <c r="I507" s="7" t="s">
        <v>421</v>
      </c>
      <c r="J507" s="40">
        <v>8</v>
      </c>
      <c r="K507" s="40">
        <v>1</v>
      </c>
      <c r="L507" s="40">
        <v>1</v>
      </c>
      <c r="M507" s="8" t="s">
        <v>271</v>
      </c>
      <c r="N507" s="18">
        <v>44319</v>
      </c>
      <c r="O507" s="8" t="s">
        <v>77</v>
      </c>
    </row>
    <row r="508" spans="2:15" x14ac:dyDescent="0.25">
      <c r="B508" s="7" t="s">
        <v>297</v>
      </c>
      <c r="C508" s="17">
        <v>23333</v>
      </c>
      <c r="D508" s="7" t="s">
        <v>15</v>
      </c>
      <c r="E508" s="7" t="s">
        <v>420</v>
      </c>
      <c r="F508" s="7" t="s">
        <v>89</v>
      </c>
      <c r="G508" s="7" t="s">
        <v>35</v>
      </c>
      <c r="H508" s="42">
        <v>520213</v>
      </c>
      <c r="I508" s="7" t="s">
        <v>421</v>
      </c>
      <c r="J508" s="40">
        <v>16</v>
      </c>
      <c r="K508" s="40">
        <v>2</v>
      </c>
      <c r="L508" s="40">
        <v>4</v>
      </c>
      <c r="M508" s="8" t="s">
        <v>275</v>
      </c>
      <c r="N508" s="18">
        <v>44323</v>
      </c>
      <c r="O508" s="8" t="s">
        <v>77</v>
      </c>
    </row>
    <row r="509" spans="2:15" x14ac:dyDescent="0.25">
      <c r="B509" s="7" t="s">
        <v>297</v>
      </c>
      <c r="C509" s="17">
        <v>24353</v>
      </c>
      <c r="D509" s="7" t="s">
        <v>12</v>
      </c>
      <c r="E509" s="7" t="s">
        <v>349</v>
      </c>
      <c r="F509" s="7" t="s">
        <v>223</v>
      </c>
      <c r="G509" s="7" t="s">
        <v>35</v>
      </c>
      <c r="H509" s="42">
        <v>441106</v>
      </c>
      <c r="I509" s="7" t="s">
        <v>163</v>
      </c>
      <c r="J509" s="40">
        <v>16</v>
      </c>
      <c r="K509" s="40">
        <v>2</v>
      </c>
      <c r="L509" s="40">
        <v>6</v>
      </c>
      <c r="M509" s="8" t="s">
        <v>425</v>
      </c>
      <c r="N509" s="18">
        <v>44327</v>
      </c>
      <c r="O509" s="8" t="s">
        <v>77</v>
      </c>
    </row>
    <row r="510" spans="2:15" x14ac:dyDescent="0.25">
      <c r="B510" s="7" t="s">
        <v>297</v>
      </c>
      <c r="C510" s="17">
        <v>23332</v>
      </c>
      <c r="D510" s="7" t="s">
        <v>15</v>
      </c>
      <c r="E510" s="7" t="s">
        <v>420</v>
      </c>
      <c r="F510" s="7" t="s">
        <v>89</v>
      </c>
      <c r="G510" s="7" t="s">
        <v>35</v>
      </c>
      <c r="H510" s="42">
        <v>520213</v>
      </c>
      <c r="I510" s="7" t="s">
        <v>421</v>
      </c>
      <c r="J510" s="40">
        <v>16</v>
      </c>
      <c r="K510" s="40">
        <v>2</v>
      </c>
      <c r="L510" s="40">
        <v>4</v>
      </c>
      <c r="M510" s="8" t="s">
        <v>80</v>
      </c>
      <c r="N510" s="18">
        <v>44328</v>
      </c>
      <c r="O510" s="8" t="s">
        <v>77</v>
      </c>
    </row>
    <row r="511" spans="2:15" x14ac:dyDescent="0.25">
      <c r="B511" s="7" t="s">
        <v>297</v>
      </c>
      <c r="C511" s="17">
        <v>23331</v>
      </c>
      <c r="D511" s="7" t="s">
        <v>15</v>
      </c>
      <c r="E511" s="7" t="s">
        <v>420</v>
      </c>
      <c r="F511" s="7" t="s">
        <v>89</v>
      </c>
      <c r="G511" s="7" t="s">
        <v>35</v>
      </c>
      <c r="H511" s="42">
        <v>520213</v>
      </c>
      <c r="I511" s="7" t="s">
        <v>421</v>
      </c>
      <c r="J511" s="40">
        <v>16</v>
      </c>
      <c r="K511" s="40">
        <v>2</v>
      </c>
      <c r="L511" s="40">
        <v>5</v>
      </c>
      <c r="M511" s="8" t="s">
        <v>83</v>
      </c>
      <c r="N511" s="18">
        <v>44330</v>
      </c>
      <c r="O511" s="8" t="s">
        <v>77</v>
      </c>
    </row>
    <row r="512" spans="2:15" x14ac:dyDescent="0.25">
      <c r="B512" s="7" t="s">
        <v>297</v>
      </c>
      <c r="C512" s="17">
        <v>29128</v>
      </c>
      <c r="D512" s="7" t="s">
        <v>12</v>
      </c>
      <c r="E512" s="7" t="s">
        <v>349</v>
      </c>
      <c r="F512" s="7" t="s">
        <v>288</v>
      </c>
      <c r="G512" s="7" t="s">
        <v>35</v>
      </c>
      <c r="H512" s="42">
        <v>441106</v>
      </c>
      <c r="I512" s="7" t="s">
        <v>163</v>
      </c>
      <c r="J512" s="40">
        <v>16</v>
      </c>
      <c r="K512" s="40">
        <v>2</v>
      </c>
      <c r="L512" s="40">
        <v>3</v>
      </c>
      <c r="M512" s="8" t="s">
        <v>380</v>
      </c>
      <c r="N512" s="18">
        <v>44331</v>
      </c>
      <c r="O512" s="8" t="s">
        <v>77</v>
      </c>
    </row>
    <row r="513" spans="2:15" x14ac:dyDescent="0.25">
      <c r="B513" s="7" t="s">
        <v>297</v>
      </c>
      <c r="C513" s="17">
        <v>23342</v>
      </c>
      <c r="D513" s="7" t="s">
        <v>15</v>
      </c>
      <c r="E513" s="7" t="s">
        <v>420</v>
      </c>
      <c r="F513" s="7" t="s">
        <v>235</v>
      </c>
      <c r="G513" s="7" t="s">
        <v>35</v>
      </c>
      <c r="H513" s="42">
        <v>520213</v>
      </c>
      <c r="I513" s="7" t="s">
        <v>421</v>
      </c>
      <c r="J513" s="40">
        <v>8</v>
      </c>
      <c r="K513" s="40">
        <v>1</v>
      </c>
      <c r="L513" s="40">
        <v>2</v>
      </c>
      <c r="M513" s="8" t="s">
        <v>281</v>
      </c>
      <c r="N513" s="18">
        <v>44333</v>
      </c>
      <c r="O513" s="8" t="s">
        <v>77</v>
      </c>
    </row>
    <row r="514" spans="2:15" x14ac:dyDescent="0.25">
      <c r="B514" s="7" t="s">
        <v>297</v>
      </c>
      <c r="C514" s="17">
        <v>24434</v>
      </c>
      <c r="D514" s="7" t="s">
        <v>12</v>
      </c>
      <c r="E514" s="7" t="s">
        <v>349</v>
      </c>
      <c r="F514" s="7" t="s">
        <v>294</v>
      </c>
      <c r="G514" s="7" t="s">
        <v>35</v>
      </c>
      <c r="H514" s="42">
        <v>441106</v>
      </c>
      <c r="I514" s="7" t="s">
        <v>163</v>
      </c>
      <c r="J514" s="40">
        <v>8</v>
      </c>
      <c r="K514" s="40">
        <v>1</v>
      </c>
      <c r="L514" s="40">
        <v>5</v>
      </c>
      <c r="M514" s="8" t="s">
        <v>281</v>
      </c>
      <c r="N514" s="18">
        <v>44333</v>
      </c>
      <c r="O514" s="8" t="s">
        <v>77</v>
      </c>
    </row>
    <row r="515" spans="2:15" x14ac:dyDescent="0.25">
      <c r="B515" s="7" t="s">
        <v>297</v>
      </c>
      <c r="C515" s="17">
        <v>23341</v>
      </c>
      <c r="D515" s="7" t="s">
        <v>15</v>
      </c>
      <c r="E515" s="7" t="s">
        <v>420</v>
      </c>
      <c r="F515" s="7" t="s">
        <v>346</v>
      </c>
      <c r="G515" s="7" t="s">
        <v>35</v>
      </c>
      <c r="H515" s="42">
        <v>520213</v>
      </c>
      <c r="I515" s="7" t="s">
        <v>421</v>
      </c>
      <c r="J515" s="40">
        <v>16</v>
      </c>
      <c r="K515" s="40">
        <v>2</v>
      </c>
      <c r="L515" s="40">
        <v>4</v>
      </c>
      <c r="M515" s="8" t="s">
        <v>284</v>
      </c>
      <c r="N515" s="18">
        <v>44337</v>
      </c>
      <c r="O515" s="8" t="s">
        <v>77</v>
      </c>
    </row>
    <row r="516" spans="2:15" x14ac:dyDescent="0.25">
      <c r="B516" s="7" t="s">
        <v>297</v>
      </c>
      <c r="C516" s="17">
        <v>24393</v>
      </c>
      <c r="D516" s="7" t="s">
        <v>12</v>
      </c>
      <c r="E516" s="7" t="s">
        <v>349</v>
      </c>
      <c r="F516" s="7" t="s">
        <v>68</v>
      </c>
      <c r="G516" s="7" t="s">
        <v>35</v>
      </c>
      <c r="H516" s="42">
        <v>441106</v>
      </c>
      <c r="I516" s="7" t="s">
        <v>163</v>
      </c>
      <c r="J516" s="40">
        <v>24</v>
      </c>
      <c r="K516" s="40">
        <v>3</v>
      </c>
      <c r="L516" s="40">
        <v>7</v>
      </c>
      <c r="M516" s="8" t="s">
        <v>87</v>
      </c>
      <c r="N516" s="18">
        <v>44337</v>
      </c>
      <c r="O516" s="8" t="s">
        <v>77</v>
      </c>
    </row>
    <row r="517" spans="2:15" x14ac:dyDescent="0.25">
      <c r="B517" s="7" t="s">
        <v>297</v>
      </c>
      <c r="C517" s="17">
        <v>23340</v>
      </c>
      <c r="D517" s="7" t="s">
        <v>15</v>
      </c>
      <c r="E517" s="7" t="s">
        <v>420</v>
      </c>
      <c r="F517" s="7" t="s">
        <v>346</v>
      </c>
      <c r="G517" s="7" t="s">
        <v>35</v>
      </c>
      <c r="H517" s="42">
        <v>520213</v>
      </c>
      <c r="I517" s="7" t="s">
        <v>421</v>
      </c>
      <c r="J517" s="40">
        <v>16</v>
      </c>
      <c r="K517" s="40">
        <v>2</v>
      </c>
      <c r="L517" s="40">
        <v>4</v>
      </c>
      <c r="M517" s="8" t="s">
        <v>91</v>
      </c>
      <c r="N517" s="18">
        <v>44341</v>
      </c>
      <c r="O517" s="8" t="s">
        <v>77</v>
      </c>
    </row>
    <row r="518" spans="2:15" x14ac:dyDescent="0.25">
      <c r="B518" s="7" t="s">
        <v>297</v>
      </c>
      <c r="C518" s="17">
        <v>26777</v>
      </c>
      <c r="D518" s="7" t="s">
        <v>6</v>
      </c>
      <c r="E518" s="7" t="s">
        <v>352</v>
      </c>
      <c r="F518" s="7" t="s">
        <v>34</v>
      </c>
      <c r="G518" s="7" t="s">
        <v>35</v>
      </c>
      <c r="H518" s="42">
        <v>307531</v>
      </c>
      <c r="I518" s="7" t="s">
        <v>427</v>
      </c>
      <c r="J518" s="40">
        <v>8</v>
      </c>
      <c r="K518" s="40">
        <v>1</v>
      </c>
      <c r="L518" s="40">
        <v>1</v>
      </c>
      <c r="M518" s="8" t="s">
        <v>93</v>
      </c>
      <c r="N518" s="18">
        <v>44342</v>
      </c>
      <c r="O518" s="8" t="s">
        <v>77</v>
      </c>
    </row>
    <row r="519" spans="2:15" x14ac:dyDescent="0.25">
      <c r="B519" s="7" t="s">
        <v>297</v>
      </c>
      <c r="C519" s="17">
        <v>23339</v>
      </c>
      <c r="D519" s="7" t="s">
        <v>15</v>
      </c>
      <c r="E519" s="7" t="s">
        <v>420</v>
      </c>
      <c r="F519" s="7" t="s">
        <v>346</v>
      </c>
      <c r="G519" s="7" t="s">
        <v>35</v>
      </c>
      <c r="H519" s="42">
        <v>520213</v>
      </c>
      <c r="I519" s="7" t="s">
        <v>421</v>
      </c>
      <c r="J519" s="40">
        <v>16</v>
      </c>
      <c r="K519" s="40">
        <v>2</v>
      </c>
      <c r="L519" s="40">
        <v>5</v>
      </c>
      <c r="M519" s="8" t="s">
        <v>97</v>
      </c>
      <c r="N519" s="18">
        <v>44344</v>
      </c>
      <c r="O519" s="8" t="s">
        <v>77</v>
      </c>
    </row>
    <row r="520" spans="2:15" x14ac:dyDescent="0.25">
      <c r="B520" s="7" t="s">
        <v>297</v>
      </c>
      <c r="C520" s="17">
        <v>23334</v>
      </c>
      <c r="D520" s="7" t="s">
        <v>15</v>
      </c>
      <c r="E520" s="7" t="s">
        <v>420</v>
      </c>
      <c r="F520" s="7" t="s">
        <v>294</v>
      </c>
      <c r="G520" s="7" t="s">
        <v>35</v>
      </c>
      <c r="H520" s="42">
        <v>520213</v>
      </c>
      <c r="I520" s="7" t="s">
        <v>421</v>
      </c>
      <c r="J520" s="40">
        <v>8</v>
      </c>
      <c r="K520" s="40">
        <v>1</v>
      </c>
      <c r="L520" s="40">
        <v>1</v>
      </c>
      <c r="M520" s="8" t="s">
        <v>350</v>
      </c>
      <c r="N520" s="18">
        <v>44347</v>
      </c>
      <c r="O520" s="8" t="s">
        <v>77</v>
      </c>
    </row>
    <row r="521" spans="2:15" x14ac:dyDescent="0.25">
      <c r="B521" s="7" t="s">
        <v>297</v>
      </c>
      <c r="C521" s="17">
        <v>25005</v>
      </c>
      <c r="D521" s="7" t="s">
        <v>15</v>
      </c>
      <c r="E521" s="7" t="s">
        <v>420</v>
      </c>
      <c r="F521" s="7" t="s">
        <v>264</v>
      </c>
      <c r="G521" s="7" t="s">
        <v>35</v>
      </c>
      <c r="H521" s="42">
        <v>520213</v>
      </c>
      <c r="I521" s="7" t="s">
        <v>421</v>
      </c>
      <c r="J521" s="40">
        <v>8</v>
      </c>
      <c r="K521" s="40">
        <v>1</v>
      </c>
      <c r="L521" s="40">
        <v>4</v>
      </c>
      <c r="M521" s="8" t="s">
        <v>99</v>
      </c>
      <c r="N521" s="18">
        <v>44348</v>
      </c>
      <c r="O521" s="8" t="s">
        <v>100</v>
      </c>
    </row>
    <row r="522" spans="2:15" x14ac:dyDescent="0.25">
      <c r="B522" s="7" t="s">
        <v>297</v>
      </c>
      <c r="C522" s="17">
        <v>25004</v>
      </c>
      <c r="D522" s="7" t="s">
        <v>15</v>
      </c>
      <c r="E522" s="7" t="s">
        <v>420</v>
      </c>
      <c r="F522" s="7" t="s">
        <v>264</v>
      </c>
      <c r="G522" s="7" t="s">
        <v>35</v>
      </c>
      <c r="H522" s="42">
        <v>520213</v>
      </c>
      <c r="I522" s="7" t="s">
        <v>421</v>
      </c>
      <c r="J522" s="40">
        <v>8</v>
      </c>
      <c r="K522" s="40">
        <v>1</v>
      </c>
      <c r="L522" s="40">
        <v>4</v>
      </c>
      <c r="M522" s="8" t="s">
        <v>101</v>
      </c>
      <c r="N522" s="18">
        <v>44349</v>
      </c>
      <c r="O522" s="8" t="s">
        <v>100</v>
      </c>
    </row>
    <row r="523" spans="2:15" x14ac:dyDescent="0.25">
      <c r="B523" s="7" t="s">
        <v>297</v>
      </c>
      <c r="C523" s="17">
        <v>25007</v>
      </c>
      <c r="D523" s="7" t="s">
        <v>15</v>
      </c>
      <c r="E523" s="7" t="s">
        <v>420</v>
      </c>
      <c r="F523" s="7" t="s">
        <v>34</v>
      </c>
      <c r="G523" s="7" t="s">
        <v>35</v>
      </c>
      <c r="H523" s="42">
        <v>520213</v>
      </c>
      <c r="I523" s="7" t="s">
        <v>421</v>
      </c>
      <c r="J523" s="40">
        <v>8</v>
      </c>
      <c r="K523" s="40">
        <v>1</v>
      </c>
      <c r="L523" s="40">
        <v>3</v>
      </c>
      <c r="M523" s="8" t="s">
        <v>289</v>
      </c>
      <c r="N523" s="18">
        <v>44350</v>
      </c>
      <c r="O523" s="8" t="s">
        <v>100</v>
      </c>
    </row>
    <row r="524" spans="2:15" x14ac:dyDescent="0.25">
      <c r="B524" s="7" t="s">
        <v>297</v>
      </c>
      <c r="C524" s="17">
        <v>23336</v>
      </c>
      <c r="D524" s="7" t="s">
        <v>15</v>
      </c>
      <c r="E524" s="7" t="s">
        <v>420</v>
      </c>
      <c r="F524" s="7" t="s">
        <v>84</v>
      </c>
      <c r="G524" s="7" t="s">
        <v>35</v>
      </c>
      <c r="H524" s="42">
        <v>520213</v>
      </c>
      <c r="I524" s="7" t="s">
        <v>421</v>
      </c>
      <c r="J524" s="40">
        <v>16</v>
      </c>
      <c r="K524" s="40">
        <v>2</v>
      </c>
      <c r="L524" s="40">
        <v>4</v>
      </c>
      <c r="M524" s="8" t="s">
        <v>295</v>
      </c>
      <c r="N524" s="18">
        <v>44355</v>
      </c>
      <c r="O524" s="8" t="s">
        <v>100</v>
      </c>
    </row>
    <row r="525" spans="2:15" x14ac:dyDescent="0.25">
      <c r="B525" s="7" t="s">
        <v>297</v>
      </c>
      <c r="C525" s="17">
        <v>23335</v>
      </c>
      <c r="D525" s="7" t="s">
        <v>15</v>
      </c>
      <c r="E525" s="7" t="s">
        <v>420</v>
      </c>
      <c r="F525" s="7" t="s">
        <v>84</v>
      </c>
      <c r="G525" s="7" t="s">
        <v>35</v>
      </c>
      <c r="H525" s="42">
        <v>520213</v>
      </c>
      <c r="I525" s="7" t="s">
        <v>421</v>
      </c>
      <c r="J525" s="40">
        <v>16</v>
      </c>
      <c r="K525" s="40">
        <v>2</v>
      </c>
      <c r="L525" s="40">
        <v>3</v>
      </c>
      <c r="M525" s="8" t="s">
        <v>299</v>
      </c>
      <c r="N525" s="18">
        <v>44362</v>
      </c>
      <c r="O525" s="8" t="s">
        <v>100</v>
      </c>
    </row>
    <row r="526" spans="2:15" x14ac:dyDescent="0.25">
      <c r="B526" s="7" t="s">
        <v>297</v>
      </c>
      <c r="C526" s="17">
        <v>24441</v>
      </c>
      <c r="D526" s="7" t="s">
        <v>12</v>
      </c>
      <c r="E526" s="7" t="s">
        <v>349</v>
      </c>
      <c r="F526" s="7" t="s">
        <v>84</v>
      </c>
      <c r="G526" s="7" t="s">
        <v>35</v>
      </c>
      <c r="H526" s="42">
        <v>463384</v>
      </c>
      <c r="I526" s="7" t="s">
        <v>422</v>
      </c>
      <c r="J526" s="40">
        <v>16</v>
      </c>
      <c r="K526" s="40">
        <v>2</v>
      </c>
      <c r="L526" s="40">
        <v>2</v>
      </c>
      <c r="M526" s="8" t="s">
        <v>299</v>
      </c>
      <c r="N526" s="18">
        <v>44362</v>
      </c>
      <c r="O526" s="8" t="s">
        <v>100</v>
      </c>
    </row>
    <row r="527" spans="2:15" x14ac:dyDescent="0.25">
      <c r="B527" s="7" t="s">
        <v>297</v>
      </c>
      <c r="C527" s="17">
        <v>24352</v>
      </c>
      <c r="D527" s="7" t="s">
        <v>12</v>
      </c>
      <c r="E527" s="7" t="s">
        <v>349</v>
      </c>
      <c r="F527" s="7" t="s">
        <v>223</v>
      </c>
      <c r="G527" s="7" t="s">
        <v>35</v>
      </c>
      <c r="H527" s="42">
        <v>463384</v>
      </c>
      <c r="I527" s="7" t="s">
        <v>422</v>
      </c>
      <c r="J527" s="40">
        <v>16</v>
      </c>
      <c r="K527" s="40">
        <v>2</v>
      </c>
      <c r="L527" s="40">
        <v>5</v>
      </c>
      <c r="M527" s="8" t="s">
        <v>107</v>
      </c>
      <c r="N527" s="18">
        <v>44364</v>
      </c>
      <c r="O527" s="8" t="s">
        <v>100</v>
      </c>
    </row>
    <row r="528" spans="2:15" x14ac:dyDescent="0.25">
      <c r="B528" s="7" t="s">
        <v>297</v>
      </c>
      <c r="C528" s="17">
        <v>24379</v>
      </c>
      <c r="D528" s="7" t="s">
        <v>12</v>
      </c>
      <c r="E528" s="7" t="s">
        <v>349</v>
      </c>
      <c r="F528" s="7" t="s">
        <v>89</v>
      </c>
      <c r="G528" s="7" t="s">
        <v>35</v>
      </c>
      <c r="H528" s="42">
        <v>463384</v>
      </c>
      <c r="I528" s="7" t="s">
        <v>422</v>
      </c>
      <c r="J528" s="40">
        <v>16</v>
      </c>
      <c r="K528" s="40">
        <v>2</v>
      </c>
      <c r="L528" s="40">
        <v>2</v>
      </c>
      <c r="M528" s="8" t="s">
        <v>303</v>
      </c>
      <c r="N528" s="18">
        <v>44366</v>
      </c>
      <c r="O528" s="8" t="s">
        <v>100</v>
      </c>
    </row>
    <row r="529" spans="2:15" x14ac:dyDescent="0.25">
      <c r="B529" s="7" t="s">
        <v>297</v>
      </c>
      <c r="C529" s="17">
        <v>28079</v>
      </c>
      <c r="D529" s="7" t="s">
        <v>12</v>
      </c>
      <c r="E529" s="7" t="s">
        <v>349</v>
      </c>
      <c r="F529" s="7" t="s">
        <v>199</v>
      </c>
      <c r="G529" s="7" t="s">
        <v>35</v>
      </c>
      <c r="H529" s="42">
        <v>520213</v>
      </c>
      <c r="I529" s="7" t="s">
        <v>421</v>
      </c>
      <c r="J529" s="40">
        <v>8</v>
      </c>
      <c r="K529" s="40">
        <v>1</v>
      </c>
      <c r="L529" s="40">
        <v>3</v>
      </c>
      <c r="M529" s="8" t="s">
        <v>128</v>
      </c>
      <c r="N529" s="18">
        <v>44391</v>
      </c>
      <c r="O529" s="8" t="s">
        <v>119</v>
      </c>
    </row>
    <row r="530" spans="2:15" x14ac:dyDescent="0.25">
      <c r="B530" s="7" t="s">
        <v>297</v>
      </c>
      <c r="C530" s="17">
        <v>24477</v>
      </c>
      <c r="D530" s="7" t="s">
        <v>12</v>
      </c>
      <c r="E530" s="7" t="s">
        <v>349</v>
      </c>
      <c r="F530" s="7" t="s">
        <v>40</v>
      </c>
      <c r="G530" s="7" t="s">
        <v>35</v>
      </c>
      <c r="H530" s="42">
        <v>520213</v>
      </c>
      <c r="I530" s="7" t="s">
        <v>421</v>
      </c>
      <c r="J530" s="40">
        <v>24</v>
      </c>
      <c r="K530" s="40">
        <v>3</v>
      </c>
      <c r="L530" s="40">
        <v>3</v>
      </c>
      <c r="M530" s="8" t="s">
        <v>318</v>
      </c>
      <c r="N530" s="18">
        <v>44394</v>
      </c>
      <c r="O530" s="8" t="s">
        <v>119</v>
      </c>
    </row>
    <row r="531" spans="2:15" x14ac:dyDescent="0.25">
      <c r="B531" s="7" t="s">
        <v>297</v>
      </c>
      <c r="C531" s="17">
        <v>24397</v>
      </c>
      <c r="D531" s="7" t="s">
        <v>12</v>
      </c>
      <c r="E531" s="7" t="s">
        <v>349</v>
      </c>
      <c r="F531" s="7" t="s">
        <v>62</v>
      </c>
      <c r="G531" s="7" t="s">
        <v>35</v>
      </c>
      <c r="H531" s="42">
        <v>520213</v>
      </c>
      <c r="I531" s="7" t="s">
        <v>421</v>
      </c>
      <c r="J531" s="40">
        <v>24</v>
      </c>
      <c r="K531" s="40">
        <v>3</v>
      </c>
      <c r="L531" s="40">
        <v>6</v>
      </c>
      <c r="M531" s="8" t="s">
        <v>149</v>
      </c>
      <c r="N531" s="18">
        <v>44419</v>
      </c>
      <c r="O531" s="8" t="s">
        <v>141</v>
      </c>
    </row>
    <row r="532" spans="2:15" x14ac:dyDescent="0.25">
      <c r="B532" s="7" t="s">
        <v>297</v>
      </c>
      <c r="C532" s="17">
        <v>24467</v>
      </c>
      <c r="D532" s="7" t="s">
        <v>12</v>
      </c>
      <c r="E532" s="7" t="s">
        <v>349</v>
      </c>
      <c r="F532" s="7" t="s">
        <v>235</v>
      </c>
      <c r="G532" s="7" t="s">
        <v>35</v>
      </c>
      <c r="H532" s="42">
        <v>520213</v>
      </c>
      <c r="I532" s="7" t="s">
        <v>421</v>
      </c>
      <c r="J532" s="40">
        <v>8</v>
      </c>
      <c r="K532" s="40">
        <v>1</v>
      </c>
      <c r="L532" s="40">
        <v>5</v>
      </c>
      <c r="M532" s="8" t="s">
        <v>153</v>
      </c>
      <c r="N532" s="18">
        <v>44420</v>
      </c>
      <c r="O532" s="8" t="s">
        <v>141</v>
      </c>
    </row>
    <row r="533" spans="2:15" x14ac:dyDescent="0.25">
      <c r="B533" s="7" t="s">
        <v>297</v>
      </c>
      <c r="C533" s="17">
        <v>24459</v>
      </c>
      <c r="D533" s="7" t="s">
        <v>12</v>
      </c>
      <c r="E533" s="7" t="s">
        <v>349</v>
      </c>
      <c r="F533" s="7" t="s">
        <v>317</v>
      </c>
      <c r="G533" s="7" t="s">
        <v>35</v>
      </c>
      <c r="H533" s="42">
        <v>520213</v>
      </c>
      <c r="I533" s="7" t="s">
        <v>421</v>
      </c>
      <c r="J533" s="40">
        <v>16</v>
      </c>
      <c r="K533" s="40">
        <v>2</v>
      </c>
      <c r="L533" s="40">
        <v>1</v>
      </c>
      <c r="M533" s="8" t="s">
        <v>429</v>
      </c>
      <c r="N533" s="18">
        <v>44422</v>
      </c>
      <c r="O533" s="8" t="s">
        <v>141</v>
      </c>
    </row>
    <row r="534" spans="2:15" x14ac:dyDescent="0.25">
      <c r="B534" s="7" t="s">
        <v>297</v>
      </c>
      <c r="C534" s="17">
        <v>25509</v>
      </c>
      <c r="D534" s="7" t="s">
        <v>12</v>
      </c>
      <c r="E534" s="7" t="s">
        <v>349</v>
      </c>
      <c r="F534" s="7" t="s">
        <v>331</v>
      </c>
      <c r="G534" s="7" t="s">
        <v>72</v>
      </c>
      <c r="H534" s="42">
        <v>374123</v>
      </c>
      <c r="I534" s="7" t="s">
        <v>412</v>
      </c>
      <c r="J534" s="40">
        <v>32</v>
      </c>
      <c r="K534" s="40">
        <v>4</v>
      </c>
      <c r="L534" s="40">
        <v>5</v>
      </c>
      <c r="M534" s="8" t="s">
        <v>327</v>
      </c>
      <c r="N534" s="18">
        <v>44483</v>
      </c>
      <c r="O534" s="8" t="s">
        <v>202</v>
      </c>
    </row>
    <row r="535" spans="2:15" x14ac:dyDescent="0.25">
      <c r="B535" s="7" t="s">
        <v>430</v>
      </c>
      <c r="C535" s="17">
        <v>23579</v>
      </c>
      <c r="D535" s="7" t="s">
        <v>11</v>
      </c>
      <c r="E535" s="7" t="s">
        <v>434</v>
      </c>
      <c r="F535" s="7" t="s">
        <v>68</v>
      </c>
      <c r="G535" s="7" t="s">
        <v>35</v>
      </c>
      <c r="H535" s="8">
        <v>510960</v>
      </c>
      <c r="I535" s="7" t="s">
        <v>436</v>
      </c>
      <c r="J535" s="44">
        <v>24</v>
      </c>
      <c r="K535" s="44">
        <v>3</v>
      </c>
      <c r="L535" s="44">
        <v>8</v>
      </c>
      <c r="M535" s="8" t="s">
        <v>272</v>
      </c>
      <c r="N535" s="18">
        <v>44322</v>
      </c>
      <c r="O535" s="8" t="s">
        <v>77</v>
      </c>
    </row>
    <row r="536" spans="2:15" x14ac:dyDescent="0.25">
      <c r="B536" s="7" t="s">
        <v>430</v>
      </c>
      <c r="C536" s="17">
        <v>23410</v>
      </c>
      <c r="D536" s="7" t="s">
        <v>11</v>
      </c>
      <c r="E536" s="7" t="s">
        <v>434</v>
      </c>
      <c r="F536" s="7" t="s">
        <v>148</v>
      </c>
      <c r="G536" s="7" t="s">
        <v>35</v>
      </c>
      <c r="H536" s="8">
        <v>510960</v>
      </c>
      <c r="I536" s="7" t="s">
        <v>436</v>
      </c>
      <c r="J536" s="44">
        <v>8</v>
      </c>
      <c r="K536" s="44">
        <v>1</v>
      </c>
      <c r="L536" s="44">
        <v>11</v>
      </c>
      <c r="M536" s="8" t="s">
        <v>425</v>
      </c>
      <c r="N536" s="18">
        <v>44326</v>
      </c>
      <c r="O536" s="8" t="s">
        <v>77</v>
      </c>
    </row>
    <row r="537" spans="2:15" x14ac:dyDescent="0.25">
      <c r="B537" s="7" t="s">
        <v>430</v>
      </c>
      <c r="C537" s="17">
        <v>25410</v>
      </c>
      <c r="D537" s="7" t="s">
        <v>11</v>
      </c>
      <c r="E537" s="7" t="s">
        <v>74</v>
      </c>
      <c r="F537" s="7" t="s">
        <v>89</v>
      </c>
      <c r="G537" s="7" t="s">
        <v>35</v>
      </c>
      <c r="H537" s="8">
        <v>536181</v>
      </c>
      <c r="I537" s="7" t="s">
        <v>431</v>
      </c>
      <c r="J537" s="44">
        <v>16</v>
      </c>
      <c r="K537" s="44">
        <v>2</v>
      </c>
      <c r="L537" s="44">
        <v>15</v>
      </c>
      <c r="M537" s="8" t="s">
        <v>97</v>
      </c>
      <c r="N537" s="18">
        <v>44344</v>
      </c>
      <c r="O537" s="8" t="s">
        <v>77</v>
      </c>
    </row>
    <row r="538" spans="2:15" x14ac:dyDescent="0.25">
      <c r="B538" s="7" t="s">
        <v>430</v>
      </c>
      <c r="C538" s="17">
        <v>23393</v>
      </c>
      <c r="D538" s="7" t="s">
        <v>11</v>
      </c>
      <c r="E538" s="7" t="s">
        <v>434</v>
      </c>
      <c r="F538" s="7" t="s">
        <v>148</v>
      </c>
      <c r="G538" s="7" t="s">
        <v>35</v>
      </c>
      <c r="H538" s="8">
        <v>510960</v>
      </c>
      <c r="I538" s="7" t="s">
        <v>436</v>
      </c>
      <c r="J538" s="44">
        <v>8</v>
      </c>
      <c r="K538" s="44">
        <v>1</v>
      </c>
      <c r="L538" s="44">
        <v>10</v>
      </c>
      <c r="M538" s="8" t="s">
        <v>289</v>
      </c>
      <c r="N538" s="8" t="s">
        <v>289</v>
      </c>
      <c r="O538" s="8" t="s">
        <v>100</v>
      </c>
    </row>
    <row r="539" spans="2:15" x14ac:dyDescent="0.25">
      <c r="B539" s="7" t="s">
        <v>430</v>
      </c>
      <c r="C539" s="17">
        <v>25408</v>
      </c>
      <c r="D539" s="7" t="s">
        <v>11</v>
      </c>
      <c r="E539" s="7" t="s">
        <v>74</v>
      </c>
      <c r="F539" s="7" t="s">
        <v>89</v>
      </c>
      <c r="G539" s="7" t="s">
        <v>35</v>
      </c>
      <c r="H539" s="8">
        <v>536181</v>
      </c>
      <c r="I539" s="7" t="s">
        <v>431</v>
      </c>
      <c r="J539" s="44">
        <v>16</v>
      </c>
      <c r="K539" s="44">
        <v>2</v>
      </c>
      <c r="L539" s="44">
        <v>15</v>
      </c>
      <c r="M539" s="8" t="s">
        <v>289</v>
      </c>
      <c r="N539" s="8" t="s">
        <v>290</v>
      </c>
      <c r="O539" s="8" t="s">
        <v>100</v>
      </c>
    </row>
    <row r="540" spans="2:15" x14ac:dyDescent="0.25">
      <c r="B540" s="7" t="s">
        <v>430</v>
      </c>
      <c r="C540" s="17">
        <v>21765</v>
      </c>
      <c r="D540" s="7" t="s">
        <v>12</v>
      </c>
      <c r="E540" s="7" t="s">
        <v>442</v>
      </c>
      <c r="F540" s="7" t="s">
        <v>68</v>
      </c>
      <c r="G540" s="7" t="s">
        <v>35</v>
      </c>
      <c r="H540" s="8">
        <v>213374</v>
      </c>
      <c r="I540" s="7" t="s">
        <v>443</v>
      </c>
      <c r="J540" s="44">
        <v>24</v>
      </c>
      <c r="K540" s="44">
        <v>3</v>
      </c>
      <c r="L540" s="44">
        <v>5</v>
      </c>
      <c r="M540" s="8" t="s">
        <v>103</v>
      </c>
      <c r="N540" s="8" t="s">
        <v>298</v>
      </c>
      <c r="O540" s="8" t="s">
        <v>100</v>
      </c>
    </row>
    <row r="541" spans="2:15" x14ac:dyDescent="0.25">
      <c r="B541" s="7" t="s">
        <v>430</v>
      </c>
      <c r="C541" s="17">
        <v>23385</v>
      </c>
      <c r="D541" s="7" t="s">
        <v>11</v>
      </c>
      <c r="E541" s="7" t="s">
        <v>434</v>
      </c>
      <c r="F541" s="7" t="s">
        <v>148</v>
      </c>
      <c r="G541" s="7" t="s">
        <v>35</v>
      </c>
      <c r="H541" s="8">
        <v>510960</v>
      </c>
      <c r="I541" s="7" t="s">
        <v>436</v>
      </c>
      <c r="J541" s="44">
        <v>8</v>
      </c>
      <c r="K541" s="44">
        <v>1</v>
      </c>
      <c r="L541" s="44">
        <v>10</v>
      </c>
      <c r="M541" s="8" t="s">
        <v>107</v>
      </c>
      <c r="N541" s="8" t="s">
        <v>107</v>
      </c>
      <c r="O541" s="8" t="s">
        <v>100</v>
      </c>
    </row>
    <row r="542" spans="2:15" x14ac:dyDescent="0.25">
      <c r="B542" s="7" t="s">
        <v>430</v>
      </c>
      <c r="C542" s="17">
        <v>25430</v>
      </c>
      <c r="D542" s="7" t="s">
        <v>11</v>
      </c>
      <c r="E542" s="7" t="s">
        <v>74</v>
      </c>
      <c r="F542" s="7" t="s">
        <v>294</v>
      </c>
      <c r="G542" s="7" t="s">
        <v>35</v>
      </c>
      <c r="H542" s="8">
        <v>510960</v>
      </c>
      <c r="I542" s="7" t="s">
        <v>436</v>
      </c>
      <c r="J542" s="44">
        <v>8</v>
      </c>
      <c r="K542" s="44">
        <v>1</v>
      </c>
      <c r="L542" s="44">
        <v>15</v>
      </c>
      <c r="M542" s="8" t="s">
        <v>310</v>
      </c>
      <c r="N542" s="8" t="s">
        <v>310</v>
      </c>
      <c r="O542" s="8" t="s">
        <v>119</v>
      </c>
    </row>
    <row r="543" spans="2:15" x14ac:dyDescent="0.25">
      <c r="B543" s="7" t="s">
        <v>430</v>
      </c>
      <c r="C543" s="17">
        <v>25431</v>
      </c>
      <c r="D543" s="7" t="s">
        <v>11</v>
      </c>
      <c r="E543" s="7" t="s">
        <v>74</v>
      </c>
      <c r="F543" s="7" t="s">
        <v>294</v>
      </c>
      <c r="G543" s="7" t="s">
        <v>35</v>
      </c>
      <c r="H543" s="8">
        <v>510960</v>
      </c>
      <c r="I543" s="7" t="s">
        <v>436</v>
      </c>
      <c r="J543" s="44">
        <v>8</v>
      </c>
      <c r="K543" s="44">
        <v>1</v>
      </c>
      <c r="L543" s="44">
        <v>15</v>
      </c>
      <c r="M543" s="8" t="s">
        <v>311</v>
      </c>
      <c r="N543" s="8" t="s">
        <v>311</v>
      </c>
      <c r="O543" s="8" t="s">
        <v>119</v>
      </c>
    </row>
    <row r="544" spans="2:15" x14ac:dyDescent="0.25">
      <c r="B544" s="7" t="s">
        <v>430</v>
      </c>
      <c r="C544" s="17">
        <v>25651</v>
      </c>
      <c r="D544" s="7" t="s">
        <v>11</v>
      </c>
      <c r="E544" s="7" t="s">
        <v>74</v>
      </c>
      <c r="F544" s="7" t="s">
        <v>40</v>
      </c>
      <c r="G544" s="7" t="s">
        <v>35</v>
      </c>
      <c r="H544" s="8">
        <v>510960</v>
      </c>
      <c r="I544" s="7" t="s">
        <v>436</v>
      </c>
      <c r="J544" s="44">
        <v>24</v>
      </c>
      <c r="K544" s="44">
        <v>3</v>
      </c>
      <c r="L544" s="44">
        <v>15</v>
      </c>
      <c r="M544" s="8" t="s">
        <v>123</v>
      </c>
      <c r="N544" s="8" t="s">
        <v>121</v>
      </c>
      <c r="O544" s="8" t="s">
        <v>119</v>
      </c>
    </row>
    <row r="545" spans="2:15" x14ac:dyDescent="0.25">
      <c r="B545" s="7" t="s">
        <v>430</v>
      </c>
      <c r="C545" s="17">
        <v>25432</v>
      </c>
      <c r="D545" s="7" t="s">
        <v>11</v>
      </c>
      <c r="E545" s="7" t="s">
        <v>74</v>
      </c>
      <c r="F545" s="7" t="s">
        <v>294</v>
      </c>
      <c r="G545" s="7" t="s">
        <v>35</v>
      </c>
      <c r="H545" s="8">
        <v>510960</v>
      </c>
      <c r="I545" s="7" t="s">
        <v>436</v>
      </c>
      <c r="J545" s="44">
        <v>8</v>
      </c>
      <c r="K545" s="44">
        <v>1</v>
      </c>
      <c r="L545" s="44">
        <v>15</v>
      </c>
      <c r="M545" s="8" t="s">
        <v>126</v>
      </c>
      <c r="N545" s="8" t="s">
        <v>126</v>
      </c>
      <c r="O545" s="8" t="s">
        <v>119</v>
      </c>
    </row>
    <row r="546" spans="2:15" x14ac:dyDescent="0.25">
      <c r="B546" s="7" t="s">
        <v>430</v>
      </c>
      <c r="C546" s="17">
        <v>25435</v>
      </c>
      <c r="D546" s="7" t="s">
        <v>11</v>
      </c>
      <c r="E546" s="7" t="s">
        <v>74</v>
      </c>
      <c r="F546" s="7" t="s">
        <v>294</v>
      </c>
      <c r="G546" s="7" t="s">
        <v>35</v>
      </c>
      <c r="H546" s="8">
        <v>510960</v>
      </c>
      <c r="I546" s="7" t="s">
        <v>436</v>
      </c>
      <c r="J546" s="44">
        <v>8</v>
      </c>
      <c r="K546" s="44">
        <v>1</v>
      </c>
      <c r="L546" s="44">
        <v>15</v>
      </c>
      <c r="M546" s="8" t="s">
        <v>315</v>
      </c>
      <c r="N546" s="8" t="s">
        <v>315</v>
      </c>
      <c r="O546" s="8" t="s">
        <v>119</v>
      </c>
    </row>
    <row r="547" spans="2:15" x14ac:dyDescent="0.25">
      <c r="B547" s="7" t="s">
        <v>430</v>
      </c>
      <c r="C547" s="17">
        <v>25652</v>
      </c>
      <c r="D547" s="7" t="s">
        <v>11</v>
      </c>
      <c r="E547" s="7" t="s">
        <v>74</v>
      </c>
      <c r="F547" s="7" t="s">
        <v>40</v>
      </c>
      <c r="G547" s="7" t="s">
        <v>35</v>
      </c>
      <c r="H547" s="8">
        <v>510960</v>
      </c>
      <c r="I547" s="7" t="s">
        <v>436</v>
      </c>
      <c r="J547" s="44">
        <v>24</v>
      </c>
      <c r="K547" s="44">
        <v>3</v>
      </c>
      <c r="L547" s="44">
        <v>15</v>
      </c>
      <c r="M547" s="8" t="s">
        <v>128</v>
      </c>
      <c r="N547" s="8" t="s">
        <v>129</v>
      </c>
      <c r="O547" s="8" t="s">
        <v>119</v>
      </c>
    </row>
    <row r="548" spans="2:15" x14ac:dyDescent="0.25">
      <c r="B548" s="7" t="s">
        <v>430</v>
      </c>
      <c r="C548" s="17">
        <v>25434</v>
      </c>
      <c r="D548" s="7" t="s">
        <v>11</v>
      </c>
      <c r="E548" s="7" t="s">
        <v>74</v>
      </c>
      <c r="F548" s="7" t="s">
        <v>294</v>
      </c>
      <c r="G548" s="7" t="s">
        <v>35</v>
      </c>
      <c r="H548" s="8">
        <v>510960</v>
      </c>
      <c r="I548" s="7" t="s">
        <v>436</v>
      </c>
      <c r="J548" s="44">
        <v>8</v>
      </c>
      <c r="K548" s="44">
        <v>1</v>
      </c>
      <c r="L548" s="44">
        <v>15</v>
      </c>
      <c r="M548" s="8" t="s">
        <v>357</v>
      </c>
      <c r="N548" s="8" t="s">
        <v>357</v>
      </c>
      <c r="O548" s="8" t="s">
        <v>119</v>
      </c>
    </row>
    <row r="549" spans="2:15" x14ac:dyDescent="0.25">
      <c r="B549" s="7" t="s">
        <v>430</v>
      </c>
      <c r="C549" s="17">
        <v>25653</v>
      </c>
      <c r="D549" s="7" t="s">
        <v>11</v>
      </c>
      <c r="E549" s="7" t="s">
        <v>74</v>
      </c>
      <c r="F549" s="7" t="s">
        <v>40</v>
      </c>
      <c r="G549" s="7" t="s">
        <v>35</v>
      </c>
      <c r="H549" s="8">
        <v>510960</v>
      </c>
      <c r="I549" s="7" t="s">
        <v>436</v>
      </c>
      <c r="J549" s="44">
        <v>24</v>
      </c>
      <c r="K549" s="44">
        <v>3</v>
      </c>
      <c r="L549" s="44">
        <v>15</v>
      </c>
      <c r="M549" s="8" t="s">
        <v>131</v>
      </c>
      <c r="N549" s="8" t="s">
        <v>444</v>
      </c>
      <c r="O549" s="8" t="s">
        <v>119</v>
      </c>
    </row>
    <row r="550" spans="2:15" x14ac:dyDescent="0.25">
      <c r="B550" s="7" t="s">
        <v>430</v>
      </c>
      <c r="C550" s="17">
        <v>23072</v>
      </c>
      <c r="D550" s="7" t="s">
        <v>11</v>
      </c>
      <c r="E550" s="7" t="s">
        <v>434</v>
      </c>
      <c r="F550" s="7" t="s">
        <v>264</v>
      </c>
      <c r="G550" s="7" t="s">
        <v>35</v>
      </c>
      <c r="H550" s="8">
        <v>510960</v>
      </c>
      <c r="I550" s="7" t="s">
        <v>436</v>
      </c>
      <c r="J550" s="44">
        <v>8</v>
      </c>
      <c r="K550" s="44">
        <v>1</v>
      </c>
      <c r="L550" s="44">
        <v>7</v>
      </c>
      <c r="M550" s="8" t="s">
        <v>135</v>
      </c>
      <c r="N550" s="8" t="s">
        <v>135</v>
      </c>
      <c r="O550" s="8" t="s">
        <v>119</v>
      </c>
    </row>
    <row r="551" spans="2:15" x14ac:dyDescent="0.25">
      <c r="B551" s="7" t="s">
        <v>430</v>
      </c>
      <c r="C551" s="17">
        <v>23071</v>
      </c>
      <c r="D551" s="7" t="s">
        <v>11</v>
      </c>
      <c r="E551" s="7" t="s">
        <v>434</v>
      </c>
      <c r="F551" s="7" t="s">
        <v>264</v>
      </c>
      <c r="G551" s="7" t="s">
        <v>35</v>
      </c>
      <c r="H551" s="8">
        <v>510960</v>
      </c>
      <c r="I551" s="7" t="s">
        <v>436</v>
      </c>
      <c r="J551" s="44">
        <v>8</v>
      </c>
      <c r="K551" s="44">
        <v>1</v>
      </c>
      <c r="L551" s="44">
        <v>9</v>
      </c>
      <c r="M551" s="8" t="s">
        <v>136</v>
      </c>
      <c r="N551" s="8" t="s">
        <v>136</v>
      </c>
      <c r="O551" s="8" t="s">
        <v>119</v>
      </c>
    </row>
    <row r="552" spans="2:15" x14ac:dyDescent="0.25">
      <c r="B552" s="7" t="s">
        <v>430</v>
      </c>
      <c r="C552" s="17">
        <v>23070</v>
      </c>
      <c r="D552" s="7" t="s">
        <v>11</v>
      </c>
      <c r="E552" s="7" t="s">
        <v>434</v>
      </c>
      <c r="F552" s="7" t="s">
        <v>264</v>
      </c>
      <c r="G552" s="7" t="s">
        <v>35</v>
      </c>
      <c r="H552" s="8">
        <v>510960</v>
      </c>
      <c r="I552" s="7" t="s">
        <v>436</v>
      </c>
      <c r="J552" s="44">
        <v>8</v>
      </c>
      <c r="K552" s="44">
        <v>1</v>
      </c>
      <c r="L552" s="44">
        <v>10</v>
      </c>
      <c r="M552" s="8" t="s">
        <v>137</v>
      </c>
      <c r="N552" s="8" t="s">
        <v>137</v>
      </c>
      <c r="O552" s="8" t="s">
        <v>119</v>
      </c>
    </row>
    <row r="553" spans="2:15" x14ac:dyDescent="0.25">
      <c r="B553" s="7" t="s">
        <v>430</v>
      </c>
      <c r="C553" s="17">
        <v>23069</v>
      </c>
      <c r="D553" s="7" t="s">
        <v>11</v>
      </c>
      <c r="E553" s="7" t="s">
        <v>434</v>
      </c>
      <c r="F553" s="7" t="s">
        <v>264</v>
      </c>
      <c r="G553" s="7" t="s">
        <v>35</v>
      </c>
      <c r="H553" s="8">
        <v>510960</v>
      </c>
      <c r="I553" s="7" t="s">
        <v>436</v>
      </c>
      <c r="J553" s="44">
        <v>8</v>
      </c>
      <c r="K553" s="44">
        <v>1</v>
      </c>
      <c r="L553" s="44">
        <v>10</v>
      </c>
      <c r="M553" s="8" t="s">
        <v>358</v>
      </c>
      <c r="N553" s="8" t="s">
        <v>358</v>
      </c>
      <c r="O553" s="8" t="s">
        <v>119</v>
      </c>
    </row>
    <row r="554" spans="2:15" x14ac:dyDescent="0.25">
      <c r="B554" s="7" t="s">
        <v>430</v>
      </c>
      <c r="C554" s="17">
        <v>23068</v>
      </c>
      <c r="D554" s="7" t="s">
        <v>11</v>
      </c>
      <c r="E554" s="7" t="s">
        <v>434</v>
      </c>
      <c r="F554" s="7" t="s">
        <v>264</v>
      </c>
      <c r="G554" s="7" t="s">
        <v>35</v>
      </c>
      <c r="H554" s="8">
        <v>510960</v>
      </c>
      <c r="I554" s="7" t="s">
        <v>436</v>
      </c>
      <c r="J554" s="44">
        <v>8</v>
      </c>
      <c r="K554" s="44">
        <v>1</v>
      </c>
      <c r="L554" s="44">
        <v>10</v>
      </c>
      <c r="M554" s="8" t="s">
        <v>139</v>
      </c>
      <c r="N554" s="8" t="s">
        <v>139</v>
      </c>
      <c r="O554" s="8" t="s">
        <v>141</v>
      </c>
    </row>
    <row r="555" spans="2:15" x14ac:dyDescent="0.25">
      <c r="B555" s="7" t="s">
        <v>430</v>
      </c>
      <c r="C555" s="17">
        <v>23067</v>
      </c>
      <c r="D555" s="7" t="s">
        <v>11</v>
      </c>
      <c r="E555" s="7" t="s">
        <v>434</v>
      </c>
      <c r="F555" s="7" t="s">
        <v>264</v>
      </c>
      <c r="G555" s="7" t="s">
        <v>35</v>
      </c>
      <c r="H555" s="8">
        <v>510960</v>
      </c>
      <c r="I555" s="7" t="s">
        <v>436</v>
      </c>
      <c r="J555" s="44">
        <v>8</v>
      </c>
      <c r="K555" s="44">
        <v>1</v>
      </c>
      <c r="L555" s="44">
        <v>10</v>
      </c>
      <c r="M555" s="8" t="s">
        <v>140</v>
      </c>
      <c r="N555" s="8" t="s">
        <v>140</v>
      </c>
      <c r="O555" s="8" t="s">
        <v>141</v>
      </c>
    </row>
    <row r="556" spans="2:15" x14ac:dyDescent="0.25">
      <c r="B556" s="7" t="s">
        <v>430</v>
      </c>
      <c r="C556" s="17">
        <v>23066</v>
      </c>
      <c r="D556" s="7" t="s">
        <v>11</v>
      </c>
      <c r="E556" s="7" t="s">
        <v>434</v>
      </c>
      <c r="F556" s="7" t="s">
        <v>264</v>
      </c>
      <c r="G556" s="7" t="s">
        <v>35</v>
      </c>
      <c r="H556" s="8">
        <v>510960</v>
      </c>
      <c r="I556" s="7" t="s">
        <v>436</v>
      </c>
      <c r="J556" s="44">
        <v>8</v>
      </c>
      <c r="K556" s="44">
        <v>1</v>
      </c>
      <c r="L556" s="44">
        <v>10</v>
      </c>
      <c r="M556" s="8" t="s">
        <v>143</v>
      </c>
      <c r="N556" s="8" t="s">
        <v>143</v>
      </c>
      <c r="O556" s="8" t="s">
        <v>141</v>
      </c>
    </row>
    <row r="557" spans="2:15" x14ac:dyDescent="0.25">
      <c r="B557" s="7" t="s">
        <v>430</v>
      </c>
      <c r="C557" s="17">
        <v>23065</v>
      </c>
      <c r="D557" s="7" t="s">
        <v>11</v>
      </c>
      <c r="E557" s="7" t="s">
        <v>434</v>
      </c>
      <c r="F557" s="7" t="s">
        <v>264</v>
      </c>
      <c r="G557" s="7" t="s">
        <v>35</v>
      </c>
      <c r="H557" s="8">
        <v>510960</v>
      </c>
      <c r="I557" s="7" t="s">
        <v>436</v>
      </c>
      <c r="J557" s="44">
        <v>8</v>
      </c>
      <c r="K557" s="44">
        <v>1</v>
      </c>
      <c r="L557" s="44">
        <v>10</v>
      </c>
      <c r="M557" s="8" t="s">
        <v>145</v>
      </c>
      <c r="N557" s="8" t="s">
        <v>145</v>
      </c>
      <c r="O557" s="8" t="s">
        <v>141</v>
      </c>
    </row>
    <row r="558" spans="2:15" x14ac:dyDescent="0.25">
      <c r="B558" s="7" t="s">
        <v>430</v>
      </c>
      <c r="C558" s="17">
        <v>23064</v>
      </c>
      <c r="D558" s="7" t="s">
        <v>11</v>
      </c>
      <c r="E558" s="7" t="s">
        <v>434</v>
      </c>
      <c r="F558" s="7" t="s">
        <v>264</v>
      </c>
      <c r="G558" s="7" t="s">
        <v>35</v>
      </c>
      <c r="H558" s="8">
        <v>510960</v>
      </c>
      <c r="I558" s="7" t="s">
        <v>436</v>
      </c>
      <c r="J558" s="44">
        <v>8</v>
      </c>
      <c r="K558" s="44">
        <v>1</v>
      </c>
      <c r="L558" s="44">
        <v>10</v>
      </c>
      <c r="M558" s="8" t="s">
        <v>146</v>
      </c>
      <c r="N558" s="8" t="s">
        <v>146</v>
      </c>
      <c r="O558" s="8" t="s">
        <v>141</v>
      </c>
    </row>
    <row r="559" spans="2:15" x14ac:dyDescent="0.25">
      <c r="B559" s="7" t="s">
        <v>430</v>
      </c>
      <c r="C559" s="17">
        <v>23063</v>
      </c>
      <c r="D559" s="7" t="s">
        <v>11</v>
      </c>
      <c r="E559" s="7" t="s">
        <v>434</v>
      </c>
      <c r="F559" s="7" t="s">
        <v>264</v>
      </c>
      <c r="G559" s="7" t="s">
        <v>35</v>
      </c>
      <c r="H559" s="8">
        <v>510960</v>
      </c>
      <c r="I559" s="7" t="s">
        <v>436</v>
      </c>
      <c r="J559" s="44">
        <v>8</v>
      </c>
      <c r="K559" s="44">
        <v>1</v>
      </c>
      <c r="L559" s="44">
        <v>10</v>
      </c>
      <c r="M559" s="8" t="s">
        <v>149</v>
      </c>
      <c r="N559" s="8" t="s">
        <v>149</v>
      </c>
      <c r="O559" s="8" t="s">
        <v>141</v>
      </c>
    </row>
    <row r="560" spans="2:15" x14ac:dyDescent="0.25">
      <c r="B560" s="7" t="s">
        <v>430</v>
      </c>
      <c r="C560" s="17">
        <v>23062</v>
      </c>
      <c r="D560" s="7" t="s">
        <v>11</v>
      </c>
      <c r="E560" s="7" t="s">
        <v>434</v>
      </c>
      <c r="F560" s="7" t="s">
        <v>264</v>
      </c>
      <c r="G560" s="7" t="s">
        <v>35</v>
      </c>
      <c r="H560" s="8">
        <v>510960</v>
      </c>
      <c r="I560" s="7" t="s">
        <v>436</v>
      </c>
      <c r="J560" s="44">
        <v>8</v>
      </c>
      <c r="K560" s="44">
        <v>1</v>
      </c>
      <c r="L560" s="44">
        <v>10</v>
      </c>
      <c r="M560" s="8" t="s">
        <v>151</v>
      </c>
      <c r="N560" s="8" t="s">
        <v>151</v>
      </c>
      <c r="O560" s="8" t="s">
        <v>141</v>
      </c>
    </row>
    <row r="561" spans="2:15" x14ac:dyDescent="0.25">
      <c r="B561" s="7" t="s">
        <v>430</v>
      </c>
      <c r="C561" s="17">
        <v>23061</v>
      </c>
      <c r="D561" s="7" t="s">
        <v>11</v>
      </c>
      <c r="E561" s="7" t="s">
        <v>434</v>
      </c>
      <c r="F561" s="7" t="s">
        <v>264</v>
      </c>
      <c r="G561" s="7" t="s">
        <v>35</v>
      </c>
      <c r="H561" s="8">
        <v>510960</v>
      </c>
      <c r="I561" s="7" t="s">
        <v>436</v>
      </c>
      <c r="J561" s="44">
        <v>8</v>
      </c>
      <c r="K561" s="44">
        <v>1</v>
      </c>
      <c r="L561" s="44">
        <v>10</v>
      </c>
      <c r="M561" s="8" t="s">
        <v>152</v>
      </c>
      <c r="N561" s="8" t="s">
        <v>152</v>
      </c>
      <c r="O561" s="8" t="s">
        <v>141</v>
      </c>
    </row>
    <row r="562" spans="2:15" x14ac:dyDescent="0.25">
      <c r="B562" s="7" t="s">
        <v>430</v>
      </c>
      <c r="C562" s="17">
        <v>23060</v>
      </c>
      <c r="D562" s="7" t="s">
        <v>11</v>
      </c>
      <c r="E562" s="7" t="s">
        <v>434</v>
      </c>
      <c r="F562" s="7" t="s">
        <v>264</v>
      </c>
      <c r="G562" s="7" t="s">
        <v>35</v>
      </c>
      <c r="H562" s="8">
        <v>510960</v>
      </c>
      <c r="I562" s="7" t="s">
        <v>436</v>
      </c>
      <c r="J562" s="44">
        <v>8</v>
      </c>
      <c r="K562" s="44">
        <v>1</v>
      </c>
      <c r="L562" s="44">
        <v>10</v>
      </c>
      <c r="M562" s="8" t="s">
        <v>153</v>
      </c>
      <c r="N562" s="8" t="s">
        <v>153</v>
      </c>
      <c r="O562" s="8" t="s">
        <v>141</v>
      </c>
    </row>
    <row r="563" spans="2:15" x14ac:dyDescent="0.25">
      <c r="B563" s="7" t="s">
        <v>430</v>
      </c>
      <c r="C563" s="17">
        <v>23059</v>
      </c>
      <c r="D563" s="7" t="s">
        <v>11</v>
      </c>
      <c r="E563" s="7" t="s">
        <v>434</v>
      </c>
      <c r="F563" s="7" t="s">
        <v>264</v>
      </c>
      <c r="G563" s="7" t="s">
        <v>35</v>
      </c>
      <c r="H563" s="8">
        <v>510960</v>
      </c>
      <c r="I563" s="7" t="s">
        <v>436</v>
      </c>
      <c r="J563" s="44">
        <v>8</v>
      </c>
      <c r="K563" s="44">
        <v>1</v>
      </c>
      <c r="L563" s="44">
        <v>10</v>
      </c>
      <c r="M563" s="8" t="s">
        <v>429</v>
      </c>
      <c r="N563" s="8" t="s">
        <v>429</v>
      </c>
      <c r="O563" s="8" t="s">
        <v>141</v>
      </c>
    </row>
    <row r="564" spans="2:15" x14ac:dyDescent="0.25">
      <c r="B564" s="7" t="s">
        <v>430</v>
      </c>
      <c r="C564" s="17">
        <v>23058</v>
      </c>
      <c r="D564" s="7" t="s">
        <v>11</v>
      </c>
      <c r="E564" s="7" t="s">
        <v>434</v>
      </c>
      <c r="F564" s="7" t="s">
        <v>264</v>
      </c>
      <c r="G564" s="7" t="s">
        <v>35</v>
      </c>
      <c r="H564" s="8">
        <v>510960</v>
      </c>
      <c r="I564" s="7" t="s">
        <v>436</v>
      </c>
      <c r="J564" s="44">
        <v>8</v>
      </c>
      <c r="K564" s="44">
        <v>1</v>
      </c>
      <c r="L564" s="44">
        <v>10</v>
      </c>
      <c r="M564" s="8" t="s">
        <v>154</v>
      </c>
      <c r="N564" s="8" t="s">
        <v>154</v>
      </c>
      <c r="O564" s="8" t="s">
        <v>141</v>
      </c>
    </row>
    <row r="565" spans="2:15" x14ac:dyDescent="0.25">
      <c r="B565" s="7" t="s">
        <v>430</v>
      </c>
      <c r="C565" s="17">
        <v>23057</v>
      </c>
      <c r="D565" s="7" t="s">
        <v>11</v>
      </c>
      <c r="E565" s="7" t="s">
        <v>434</v>
      </c>
      <c r="F565" s="7" t="s">
        <v>264</v>
      </c>
      <c r="G565" s="7" t="s">
        <v>35</v>
      </c>
      <c r="H565" s="8">
        <v>510960</v>
      </c>
      <c r="I565" s="7" t="s">
        <v>436</v>
      </c>
      <c r="J565" s="44">
        <v>8</v>
      </c>
      <c r="K565" s="44">
        <v>1</v>
      </c>
      <c r="L565" s="44">
        <v>10</v>
      </c>
      <c r="M565" s="8" t="s">
        <v>155</v>
      </c>
      <c r="N565" s="8" t="s">
        <v>155</v>
      </c>
      <c r="O565" s="8" t="s">
        <v>141</v>
      </c>
    </row>
    <row r="566" spans="2:15" x14ac:dyDescent="0.25">
      <c r="B566" s="7" t="s">
        <v>430</v>
      </c>
      <c r="C566" s="17">
        <v>23056</v>
      </c>
      <c r="D566" s="7" t="s">
        <v>11</v>
      </c>
      <c r="E566" s="7" t="s">
        <v>434</v>
      </c>
      <c r="F566" s="7" t="s">
        <v>264</v>
      </c>
      <c r="G566" s="7" t="s">
        <v>35</v>
      </c>
      <c r="H566" s="8">
        <v>510960</v>
      </c>
      <c r="I566" s="7" t="s">
        <v>436</v>
      </c>
      <c r="J566" s="44">
        <v>8</v>
      </c>
      <c r="K566" s="44">
        <v>1</v>
      </c>
      <c r="L566" s="44">
        <v>10</v>
      </c>
      <c r="M566" s="8" t="s">
        <v>156</v>
      </c>
      <c r="N566" s="8" t="s">
        <v>156</v>
      </c>
      <c r="O566" s="8" t="s">
        <v>141</v>
      </c>
    </row>
    <row r="567" spans="2:15" x14ac:dyDescent="0.25">
      <c r="B567" s="7" t="s">
        <v>430</v>
      </c>
      <c r="C567" s="17">
        <v>23055</v>
      </c>
      <c r="D567" s="7" t="s">
        <v>11</v>
      </c>
      <c r="E567" s="7" t="s">
        <v>434</v>
      </c>
      <c r="F567" s="7" t="s">
        <v>264</v>
      </c>
      <c r="G567" s="7" t="s">
        <v>35</v>
      </c>
      <c r="H567" s="8">
        <v>510960</v>
      </c>
      <c r="I567" s="7" t="s">
        <v>436</v>
      </c>
      <c r="J567" s="44">
        <v>8</v>
      </c>
      <c r="K567" s="44">
        <v>1</v>
      </c>
      <c r="L567" s="44">
        <v>10</v>
      </c>
      <c r="M567" s="8" t="s">
        <v>157</v>
      </c>
      <c r="N567" s="8" t="s">
        <v>157</v>
      </c>
      <c r="O567" s="8" t="s">
        <v>141</v>
      </c>
    </row>
    <row r="568" spans="2:15" x14ac:dyDescent="0.25">
      <c r="B568" s="7" t="s">
        <v>430</v>
      </c>
      <c r="C568" s="17">
        <v>23054</v>
      </c>
      <c r="D568" s="7" t="s">
        <v>11</v>
      </c>
      <c r="E568" s="7" t="s">
        <v>434</v>
      </c>
      <c r="F568" s="7" t="s">
        <v>264</v>
      </c>
      <c r="G568" s="7" t="s">
        <v>35</v>
      </c>
      <c r="H568" s="8">
        <v>510960</v>
      </c>
      <c r="I568" s="7" t="s">
        <v>436</v>
      </c>
      <c r="J568" s="44">
        <v>8</v>
      </c>
      <c r="K568" s="44">
        <v>1</v>
      </c>
      <c r="L568" s="44">
        <v>10</v>
      </c>
      <c r="M568" s="8" t="s">
        <v>158</v>
      </c>
      <c r="N568" s="8" t="s">
        <v>158</v>
      </c>
      <c r="O568" s="8" t="s">
        <v>141</v>
      </c>
    </row>
    <row r="569" spans="2:15" x14ac:dyDescent="0.25">
      <c r="B569" s="7" t="s">
        <v>430</v>
      </c>
      <c r="C569" s="17">
        <v>23053</v>
      </c>
      <c r="D569" s="7" t="s">
        <v>11</v>
      </c>
      <c r="E569" s="7" t="s">
        <v>434</v>
      </c>
      <c r="F569" s="7" t="s">
        <v>264</v>
      </c>
      <c r="G569" s="7" t="s">
        <v>35</v>
      </c>
      <c r="H569" s="8">
        <v>510960</v>
      </c>
      <c r="I569" s="7" t="s">
        <v>436</v>
      </c>
      <c r="J569" s="44">
        <v>8</v>
      </c>
      <c r="K569" s="44">
        <v>1</v>
      </c>
      <c r="L569" s="44">
        <v>10</v>
      </c>
      <c r="M569" s="8" t="s">
        <v>161</v>
      </c>
      <c r="N569" s="8" t="s">
        <v>161</v>
      </c>
      <c r="O569" s="8" t="s">
        <v>141</v>
      </c>
    </row>
    <row r="570" spans="2:15" x14ac:dyDescent="0.25">
      <c r="B570" s="7" t="s">
        <v>430</v>
      </c>
      <c r="C570" s="17">
        <v>23052</v>
      </c>
      <c r="D570" s="7" t="s">
        <v>11</v>
      </c>
      <c r="E570" s="7" t="s">
        <v>434</v>
      </c>
      <c r="F570" s="7" t="s">
        <v>264</v>
      </c>
      <c r="G570" s="7" t="s">
        <v>35</v>
      </c>
      <c r="H570" s="8">
        <v>510960</v>
      </c>
      <c r="I570" s="7" t="s">
        <v>436</v>
      </c>
      <c r="J570" s="44">
        <v>8</v>
      </c>
      <c r="K570" s="44">
        <v>1</v>
      </c>
      <c r="L570" s="44">
        <v>10</v>
      </c>
      <c r="M570" s="8" t="s">
        <v>164</v>
      </c>
      <c r="N570" s="8" t="s">
        <v>164</v>
      </c>
      <c r="O570" s="8" t="s">
        <v>141</v>
      </c>
    </row>
    <row r="571" spans="2:15" x14ac:dyDescent="0.25">
      <c r="B571" s="7" t="s">
        <v>430</v>
      </c>
      <c r="C571" s="17">
        <v>23051</v>
      </c>
      <c r="D571" s="7" t="s">
        <v>11</v>
      </c>
      <c r="E571" s="7" t="s">
        <v>434</v>
      </c>
      <c r="F571" s="7" t="s">
        <v>264</v>
      </c>
      <c r="G571" s="7" t="s">
        <v>35</v>
      </c>
      <c r="H571" s="8">
        <v>510960</v>
      </c>
      <c r="I571" s="7" t="s">
        <v>436</v>
      </c>
      <c r="J571" s="44">
        <v>8</v>
      </c>
      <c r="K571" s="44">
        <v>1</v>
      </c>
      <c r="L571" s="44">
        <v>10</v>
      </c>
      <c r="M571" s="8" t="s">
        <v>165</v>
      </c>
      <c r="N571" s="8" t="s">
        <v>165</v>
      </c>
      <c r="O571" s="8" t="s">
        <v>141</v>
      </c>
    </row>
    <row r="572" spans="2:15" x14ac:dyDescent="0.25">
      <c r="B572" s="7" t="s">
        <v>430</v>
      </c>
      <c r="C572" s="17">
        <v>23050</v>
      </c>
      <c r="D572" s="7" t="s">
        <v>11</v>
      </c>
      <c r="E572" s="7" t="s">
        <v>434</v>
      </c>
      <c r="F572" s="7" t="s">
        <v>264</v>
      </c>
      <c r="G572" s="7" t="s">
        <v>35</v>
      </c>
      <c r="H572" s="8">
        <v>510960</v>
      </c>
      <c r="I572" s="7" t="s">
        <v>436</v>
      </c>
      <c r="J572" s="44">
        <v>8</v>
      </c>
      <c r="K572" s="44">
        <v>1</v>
      </c>
      <c r="L572" s="44">
        <v>10</v>
      </c>
      <c r="M572" s="8" t="s">
        <v>166</v>
      </c>
      <c r="N572" s="8" t="s">
        <v>166</v>
      </c>
      <c r="O572" s="8" t="s">
        <v>141</v>
      </c>
    </row>
    <row r="573" spans="2:15" x14ac:dyDescent="0.25">
      <c r="B573" s="7" t="s">
        <v>430</v>
      </c>
      <c r="C573" s="17">
        <v>23049</v>
      </c>
      <c r="D573" s="7" t="s">
        <v>11</v>
      </c>
      <c r="E573" s="7" t="s">
        <v>434</v>
      </c>
      <c r="F573" s="7" t="s">
        <v>264</v>
      </c>
      <c r="G573" s="7" t="s">
        <v>35</v>
      </c>
      <c r="H573" s="8">
        <v>510960</v>
      </c>
      <c r="I573" s="7" t="s">
        <v>436</v>
      </c>
      <c r="J573" s="44">
        <v>8</v>
      </c>
      <c r="K573" s="44">
        <v>1</v>
      </c>
      <c r="L573" s="44">
        <v>10</v>
      </c>
      <c r="M573" s="8" t="s">
        <v>167</v>
      </c>
      <c r="N573" s="8" t="s">
        <v>167</v>
      </c>
      <c r="O573" s="8" t="s">
        <v>141</v>
      </c>
    </row>
    <row r="574" spans="2:15" x14ac:dyDescent="0.25">
      <c r="B574" s="7" t="s">
        <v>430</v>
      </c>
      <c r="C574" s="17">
        <v>23048</v>
      </c>
      <c r="D574" s="7" t="s">
        <v>11</v>
      </c>
      <c r="E574" s="7" t="s">
        <v>434</v>
      </c>
      <c r="F574" s="7" t="s">
        <v>264</v>
      </c>
      <c r="G574" s="7" t="s">
        <v>35</v>
      </c>
      <c r="H574" s="8">
        <v>510960</v>
      </c>
      <c r="I574" s="7" t="s">
        <v>436</v>
      </c>
      <c r="J574" s="44">
        <v>8</v>
      </c>
      <c r="K574" s="44">
        <v>1</v>
      </c>
      <c r="L574" s="44">
        <v>10</v>
      </c>
      <c r="M574" s="8" t="s">
        <v>168</v>
      </c>
      <c r="N574" s="8" t="s">
        <v>168</v>
      </c>
      <c r="O574" s="8" t="s">
        <v>141</v>
      </c>
    </row>
    <row r="575" spans="2:15" x14ac:dyDescent="0.25">
      <c r="B575" s="7" t="s">
        <v>430</v>
      </c>
      <c r="C575" s="17">
        <v>23047</v>
      </c>
      <c r="D575" s="7" t="s">
        <v>11</v>
      </c>
      <c r="E575" s="7" t="s">
        <v>434</v>
      </c>
      <c r="F575" s="7" t="s">
        <v>264</v>
      </c>
      <c r="G575" s="7" t="s">
        <v>35</v>
      </c>
      <c r="H575" s="8">
        <v>510960</v>
      </c>
      <c r="I575" s="7" t="s">
        <v>436</v>
      </c>
      <c r="J575" s="44">
        <v>8</v>
      </c>
      <c r="K575" s="44">
        <v>1</v>
      </c>
      <c r="L575" s="44">
        <v>10</v>
      </c>
      <c r="M575" s="8" t="s">
        <v>169</v>
      </c>
      <c r="N575" s="8" t="s">
        <v>169</v>
      </c>
      <c r="O575" s="8" t="s">
        <v>141</v>
      </c>
    </row>
    <row r="576" spans="2:15" x14ac:dyDescent="0.25">
      <c r="B576" s="7" t="s">
        <v>430</v>
      </c>
      <c r="C576" s="17">
        <v>23046</v>
      </c>
      <c r="D576" s="7" t="s">
        <v>11</v>
      </c>
      <c r="E576" s="7" t="s">
        <v>434</v>
      </c>
      <c r="F576" s="7" t="s">
        <v>264</v>
      </c>
      <c r="G576" s="7" t="s">
        <v>35</v>
      </c>
      <c r="H576" s="8">
        <v>510960</v>
      </c>
      <c r="I576" s="7" t="s">
        <v>436</v>
      </c>
      <c r="J576" s="44">
        <v>8</v>
      </c>
      <c r="K576" s="44">
        <v>1</v>
      </c>
      <c r="L576" s="44">
        <v>10</v>
      </c>
      <c r="M576" s="8" t="s">
        <v>170</v>
      </c>
      <c r="N576" s="8" t="s">
        <v>170</v>
      </c>
      <c r="O576" s="8" t="s">
        <v>173</v>
      </c>
    </row>
    <row r="577" spans="2:15" x14ac:dyDescent="0.25">
      <c r="B577" s="7" t="s">
        <v>430</v>
      </c>
      <c r="C577" s="17">
        <v>23045</v>
      </c>
      <c r="D577" s="7" t="s">
        <v>11</v>
      </c>
      <c r="E577" s="7" t="s">
        <v>434</v>
      </c>
      <c r="F577" s="7" t="s">
        <v>264</v>
      </c>
      <c r="G577" s="7" t="s">
        <v>35</v>
      </c>
      <c r="H577" s="8">
        <v>510960</v>
      </c>
      <c r="I577" s="7" t="s">
        <v>436</v>
      </c>
      <c r="J577" s="44">
        <v>8</v>
      </c>
      <c r="K577" s="44">
        <v>1</v>
      </c>
      <c r="L577" s="44">
        <v>10</v>
      </c>
      <c r="M577" s="8" t="s">
        <v>172</v>
      </c>
      <c r="N577" s="8" t="s">
        <v>172</v>
      </c>
      <c r="O577" s="8" t="s">
        <v>173</v>
      </c>
    </row>
    <row r="578" spans="2:15" x14ac:dyDescent="0.25">
      <c r="B578" s="7" t="s">
        <v>430</v>
      </c>
      <c r="C578" s="17">
        <v>23044</v>
      </c>
      <c r="D578" s="7" t="s">
        <v>11</v>
      </c>
      <c r="E578" s="7" t="s">
        <v>434</v>
      </c>
      <c r="F578" s="7" t="s">
        <v>264</v>
      </c>
      <c r="G578" s="7" t="s">
        <v>35</v>
      </c>
      <c r="H578" s="8">
        <v>510960</v>
      </c>
      <c r="I578" s="7" t="s">
        <v>436</v>
      </c>
      <c r="J578" s="44">
        <v>8</v>
      </c>
      <c r="K578" s="44">
        <v>1</v>
      </c>
      <c r="L578" s="44">
        <v>10</v>
      </c>
      <c r="M578" s="8" t="s">
        <v>174</v>
      </c>
      <c r="N578" s="8" t="s">
        <v>174</v>
      </c>
      <c r="O578" s="8" t="s">
        <v>173</v>
      </c>
    </row>
    <row r="579" spans="2:15" x14ac:dyDescent="0.25">
      <c r="B579" s="7" t="s">
        <v>430</v>
      </c>
      <c r="C579" s="17">
        <v>23043</v>
      </c>
      <c r="D579" s="7" t="s">
        <v>11</v>
      </c>
      <c r="E579" s="7" t="s">
        <v>434</v>
      </c>
      <c r="F579" s="7" t="s">
        <v>264</v>
      </c>
      <c r="G579" s="7" t="s">
        <v>35</v>
      </c>
      <c r="H579" s="8">
        <v>510960</v>
      </c>
      <c r="I579" s="7" t="s">
        <v>436</v>
      </c>
      <c r="J579" s="44">
        <v>8</v>
      </c>
      <c r="K579" s="44">
        <v>1</v>
      </c>
      <c r="L579" s="44">
        <v>10</v>
      </c>
      <c r="M579" s="8" t="s">
        <v>177</v>
      </c>
      <c r="N579" s="8" t="s">
        <v>177</v>
      </c>
      <c r="O579" s="8" t="s">
        <v>173</v>
      </c>
    </row>
    <row r="580" spans="2:15" x14ac:dyDescent="0.25">
      <c r="B580" s="7" t="s">
        <v>430</v>
      </c>
      <c r="C580" s="17">
        <v>23042</v>
      </c>
      <c r="D580" s="7" t="s">
        <v>11</v>
      </c>
      <c r="E580" s="7" t="s">
        <v>434</v>
      </c>
      <c r="F580" s="7" t="s">
        <v>264</v>
      </c>
      <c r="G580" s="7" t="s">
        <v>35</v>
      </c>
      <c r="H580" s="8">
        <v>510960</v>
      </c>
      <c r="I580" s="7" t="s">
        <v>436</v>
      </c>
      <c r="J580" s="44">
        <v>8</v>
      </c>
      <c r="K580" s="44">
        <v>1</v>
      </c>
      <c r="L580" s="44">
        <v>10</v>
      </c>
      <c r="M580" s="8" t="s">
        <v>181</v>
      </c>
      <c r="N580" s="8" t="s">
        <v>181</v>
      </c>
      <c r="O580" s="8" t="s">
        <v>173</v>
      </c>
    </row>
    <row r="581" spans="2:15" x14ac:dyDescent="0.25">
      <c r="B581" s="7" t="s">
        <v>430</v>
      </c>
      <c r="C581" s="17">
        <v>23041</v>
      </c>
      <c r="D581" s="7" t="s">
        <v>11</v>
      </c>
      <c r="E581" s="7" t="s">
        <v>434</v>
      </c>
      <c r="F581" s="7" t="s">
        <v>264</v>
      </c>
      <c r="G581" s="7" t="s">
        <v>35</v>
      </c>
      <c r="H581" s="8">
        <v>510960</v>
      </c>
      <c r="I581" s="7" t="s">
        <v>436</v>
      </c>
      <c r="J581" s="44">
        <v>8</v>
      </c>
      <c r="K581" s="44">
        <v>1</v>
      </c>
      <c r="L581" s="44">
        <v>10</v>
      </c>
      <c r="M581" s="8" t="s">
        <v>179</v>
      </c>
      <c r="N581" s="8" t="s">
        <v>179</v>
      </c>
      <c r="O581" s="8" t="s">
        <v>173</v>
      </c>
    </row>
    <row r="582" spans="2:15" x14ac:dyDescent="0.25">
      <c r="B582" s="7" t="s">
        <v>430</v>
      </c>
      <c r="C582" s="17">
        <v>23040</v>
      </c>
      <c r="D582" s="7" t="s">
        <v>11</v>
      </c>
      <c r="E582" s="7" t="s">
        <v>434</v>
      </c>
      <c r="F582" s="7" t="s">
        <v>264</v>
      </c>
      <c r="G582" s="7" t="s">
        <v>35</v>
      </c>
      <c r="H582" s="8">
        <v>510960</v>
      </c>
      <c r="I582" s="7" t="s">
        <v>436</v>
      </c>
      <c r="J582" s="44">
        <v>8</v>
      </c>
      <c r="K582" s="44">
        <v>1</v>
      </c>
      <c r="L582" s="44">
        <v>10</v>
      </c>
      <c r="M582" s="8" t="s">
        <v>180</v>
      </c>
      <c r="N582" s="8" t="s">
        <v>180</v>
      </c>
      <c r="O582" s="8" t="s">
        <v>173</v>
      </c>
    </row>
    <row r="583" spans="2:15" x14ac:dyDescent="0.25">
      <c r="B583" s="7" t="s">
        <v>430</v>
      </c>
      <c r="C583" s="17">
        <v>21902</v>
      </c>
      <c r="D583" s="7" t="s">
        <v>11</v>
      </c>
      <c r="E583" s="7" t="s">
        <v>434</v>
      </c>
      <c r="F583" s="7" t="s">
        <v>40</v>
      </c>
      <c r="G583" s="7" t="s">
        <v>35</v>
      </c>
      <c r="H583" s="8">
        <v>510960</v>
      </c>
      <c r="I583" s="7" t="s">
        <v>436</v>
      </c>
      <c r="J583" s="44">
        <v>24</v>
      </c>
      <c r="K583" s="44">
        <v>3</v>
      </c>
      <c r="L583" s="44">
        <v>5</v>
      </c>
      <c r="M583" s="8" t="s">
        <v>184</v>
      </c>
      <c r="N583" s="8" t="s">
        <v>187</v>
      </c>
      <c r="O583" s="8" t="s">
        <v>173</v>
      </c>
    </row>
    <row r="584" spans="2:15" x14ac:dyDescent="0.25">
      <c r="B584" s="7" t="s">
        <v>430</v>
      </c>
      <c r="C584" s="17">
        <v>21876</v>
      </c>
      <c r="D584" s="7" t="s">
        <v>11</v>
      </c>
      <c r="E584" s="7" t="s">
        <v>434</v>
      </c>
      <c r="F584" s="7" t="s">
        <v>89</v>
      </c>
      <c r="G584" s="7" t="s">
        <v>35</v>
      </c>
      <c r="H584" s="8">
        <v>510960</v>
      </c>
      <c r="I584" s="7" t="s">
        <v>436</v>
      </c>
      <c r="J584" s="44">
        <v>16</v>
      </c>
      <c r="K584" s="44">
        <v>2</v>
      </c>
      <c r="L584" s="44">
        <v>17</v>
      </c>
      <c r="M584" s="8" t="s">
        <v>188</v>
      </c>
      <c r="N584" s="8" t="s">
        <v>189</v>
      </c>
      <c r="O584" s="8" t="s">
        <v>173</v>
      </c>
    </row>
    <row r="585" spans="2:15" x14ac:dyDescent="0.25">
      <c r="B585" s="7" t="s">
        <v>430</v>
      </c>
      <c r="C585" s="17">
        <v>21901</v>
      </c>
      <c r="D585" s="7" t="s">
        <v>11</v>
      </c>
      <c r="E585" s="7" t="s">
        <v>434</v>
      </c>
      <c r="F585" s="7" t="s">
        <v>40</v>
      </c>
      <c r="G585" s="7" t="s">
        <v>35</v>
      </c>
      <c r="H585" s="8">
        <v>510960</v>
      </c>
      <c r="I585" s="7" t="s">
        <v>436</v>
      </c>
      <c r="J585" s="44">
        <v>24</v>
      </c>
      <c r="K585" s="44">
        <v>3</v>
      </c>
      <c r="L585" s="44">
        <v>20</v>
      </c>
      <c r="M585" s="8" t="s">
        <v>361</v>
      </c>
      <c r="N585" s="8" t="s">
        <v>191</v>
      </c>
      <c r="O585" s="8" t="s">
        <v>173</v>
      </c>
    </row>
    <row r="586" spans="2:15" x14ac:dyDescent="0.25">
      <c r="B586" s="7" t="s">
        <v>430</v>
      </c>
      <c r="C586" s="17">
        <v>21875</v>
      </c>
      <c r="D586" s="7" t="s">
        <v>11</v>
      </c>
      <c r="E586" s="7" t="s">
        <v>434</v>
      </c>
      <c r="F586" s="7" t="s">
        <v>89</v>
      </c>
      <c r="G586" s="7" t="s">
        <v>35</v>
      </c>
      <c r="H586" s="8">
        <v>510960</v>
      </c>
      <c r="I586" s="7" t="s">
        <v>436</v>
      </c>
      <c r="J586" s="44">
        <v>16</v>
      </c>
      <c r="K586" s="44">
        <v>2</v>
      </c>
      <c r="L586" s="44">
        <v>20</v>
      </c>
      <c r="M586" s="8" t="s">
        <v>192</v>
      </c>
      <c r="N586" s="8" t="s">
        <v>193</v>
      </c>
      <c r="O586" s="8" t="s">
        <v>173</v>
      </c>
    </row>
    <row r="587" spans="2:15" x14ac:dyDescent="0.25">
      <c r="B587" s="7" t="s">
        <v>430</v>
      </c>
      <c r="C587" s="17">
        <v>21900</v>
      </c>
      <c r="D587" s="7" t="s">
        <v>11</v>
      </c>
      <c r="E587" s="7" t="s">
        <v>434</v>
      </c>
      <c r="F587" s="7" t="s">
        <v>40</v>
      </c>
      <c r="G587" s="7" t="s">
        <v>35</v>
      </c>
      <c r="H587" s="8">
        <v>510960</v>
      </c>
      <c r="I587" s="7" t="s">
        <v>436</v>
      </c>
      <c r="J587" s="44">
        <v>24</v>
      </c>
      <c r="K587" s="44">
        <v>3</v>
      </c>
      <c r="L587" s="44">
        <v>20</v>
      </c>
      <c r="M587" s="8" t="s">
        <v>195</v>
      </c>
      <c r="N587" s="8" t="s">
        <v>197</v>
      </c>
      <c r="O587" s="8" t="s">
        <v>173</v>
      </c>
    </row>
    <row r="588" spans="2:15" x14ac:dyDescent="0.25">
      <c r="B588" s="7" t="s">
        <v>430</v>
      </c>
      <c r="C588" s="17">
        <v>21874</v>
      </c>
      <c r="D588" s="7" t="s">
        <v>11</v>
      </c>
      <c r="E588" s="7" t="s">
        <v>434</v>
      </c>
      <c r="F588" s="7" t="s">
        <v>89</v>
      </c>
      <c r="G588" s="7" t="s">
        <v>35</v>
      </c>
      <c r="H588" s="8">
        <v>510960</v>
      </c>
      <c r="I588" s="7" t="s">
        <v>436</v>
      </c>
      <c r="J588" s="44">
        <v>16</v>
      </c>
      <c r="K588" s="44">
        <v>2</v>
      </c>
      <c r="L588" s="44">
        <v>20</v>
      </c>
      <c r="M588" s="8" t="s">
        <v>198</v>
      </c>
      <c r="N588" s="8" t="s">
        <v>200</v>
      </c>
      <c r="O588" s="8" t="s">
        <v>173</v>
      </c>
    </row>
    <row r="589" spans="2:15" x14ac:dyDescent="0.25">
      <c r="B589" s="7" t="s">
        <v>430</v>
      </c>
      <c r="C589" s="17">
        <v>21899</v>
      </c>
      <c r="D589" s="7" t="s">
        <v>11</v>
      </c>
      <c r="E589" s="7" t="s">
        <v>434</v>
      </c>
      <c r="F589" s="7" t="s">
        <v>40</v>
      </c>
      <c r="G589" s="7" t="s">
        <v>35</v>
      </c>
      <c r="H589" s="8">
        <v>510960</v>
      </c>
      <c r="I589" s="7" t="s">
        <v>436</v>
      </c>
      <c r="J589" s="44">
        <v>24</v>
      </c>
      <c r="K589" s="44">
        <v>3</v>
      </c>
      <c r="L589" s="44">
        <v>20</v>
      </c>
      <c r="M589" s="8" t="s">
        <v>327</v>
      </c>
      <c r="N589" s="8" t="s">
        <v>204</v>
      </c>
      <c r="O589" s="8" t="s">
        <v>202</v>
      </c>
    </row>
    <row r="590" spans="2:15" x14ac:dyDescent="0.25">
      <c r="B590" s="7" t="s">
        <v>430</v>
      </c>
      <c r="C590" s="17">
        <v>21873</v>
      </c>
      <c r="D590" s="7" t="s">
        <v>11</v>
      </c>
      <c r="E590" s="7" t="s">
        <v>434</v>
      </c>
      <c r="F590" s="7" t="s">
        <v>89</v>
      </c>
      <c r="G590" s="7" t="s">
        <v>35</v>
      </c>
      <c r="H590" s="8">
        <v>510960</v>
      </c>
      <c r="I590" s="7" t="s">
        <v>436</v>
      </c>
      <c r="J590" s="44">
        <v>16</v>
      </c>
      <c r="K590" s="44">
        <v>2</v>
      </c>
      <c r="L590" s="44">
        <v>20</v>
      </c>
      <c r="M590" s="8" t="s">
        <v>205</v>
      </c>
      <c r="N590" s="8" t="s">
        <v>206</v>
      </c>
      <c r="O590" s="8" t="s">
        <v>202</v>
      </c>
    </row>
    <row r="591" spans="2:15" x14ac:dyDescent="0.25">
      <c r="B591" s="7" t="s">
        <v>430</v>
      </c>
      <c r="C591" s="17">
        <v>21898</v>
      </c>
      <c r="D591" s="7" t="s">
        <v>11</v>
      </c>
      <c r="E591" s="7" t="s">
        <v>434</v>
      </c>
      <c r="F591" s="7" t="s">
        <v>40</v>
      </c>
      <c r="G591" s="7" t="s">
        <v>35</v>
      </c>
      <c r="H591" s="8">
        <v>510960</v>
      </c>
      <c r="I591" s="7" t="s">
        <v>436</v>
      </c>
      <c r="J591" s="44">
        <v>24</v>
      </c>
      <c r="K591" s="44">
        <v>3</v>
      </c>
      <c r="L591" s="44">
        <v>20</v>
      </c>
      <c r="M591" s="8" t="s">
        <v>208</v>
      </c>
      <c r="N591" s="8" t="s">
        <v>209</v>
      </c>
      <c r="O591" s="8" t="s">
        <v>202</v>
      </c>
    </row>
    <row r="592" spans="2:15" x14ac:dyDescent="0.25">
      <c r="B592" s="7" t="s">
        <v>430</v>
      </c>
      <c r="C592" s="17">
        <v>21897</v>
      </c>
      <c r="D592" s="7" t="s">
        <v>11</v>
      </c>
      <c r="E592" s="7" t="s">
        <v>434</v>
      </c>
      <c r="F592" s="7" t="s">
        <v>40</v>
      </c>
      <c r="G592" s="7" t="s">
        <v>35</v>
      </c>
      <c r="H592" s="8">
        <v>510960</v>
      </c>
      <c r="I592" s="7" t="s">
        <v>436</v>
      </c>
      <c r="J592" s="44">
        <v>24</v>
      </c>
      <c r="K592" s="44">
        <v>3</v>
      </c>
      <c r="L592" s="44">
        <v>20</v>
      </c>
      <c r="M592" s="8" t="s">
        <v>333</v>
      </c>
      <c r="N592" s="8" t="s">
        <v>215</v>
      </c>
      <c r="O592" s="8" t="s">
        <v>202</v>
      </c>
    </row>
    <row r="593" spans="2:15" x14ac:dyDescent="0.25">
      <c r="B593" s="7" t="s">
        <v>430</v>
      </c>
      <c r="C593" s="17">
        <v>21896</v>
      </c>
      <c r="D593" s="7" t="s">
        <v>11</v>
      </c>
      <c r="E593" s="7" t="s">
        <v>434</v>
      </c>
      <c r="F593" s="7" t="s">
        <v>40</v>
      </c>
      <c r="G593" s="7" t="s">
        <v>35</v>
      </c>
      <c r="H593" s="8">
        <v>510960</v>
      </c>
      <c r="I593" s="7" t="s">
        <v>436</v>
      </c>
      <c r="J593" s="44">
        <v>24</v>
      </c>
      <c r="K593" s="44">
        <v>3</v>
      </c>
      <c r="L593" s="44">
        <v>20</v>
      </c>
      <c r="M593" s="8" t="s">
        <v>220</v>
      </c>
      <c r="N593" s="8" t="s">
        <v>222</v>
      </c>
      <c r="O593" s="8" t="s">
        <v>202</v>
      </c>
    </row>
    <row r="594" spans="2:15" x14ac:dyDescent="0.25">
      <c r="B594" s="7" t="s">
        <v>430</v>
      </c>
      <c r="C594" s="17">
        <v>21895</v>
      </c>
      <c r="D594" s="7" t="s">
        <v>11</v>
      </c>
      <c r="E594" s="7" t="s">
        <v>434</v>
      </c>
      <c r="F594" s="7" t="s">
        <v>40</v>
      </c>
      <c r="G594" s="7" t="s">
        <v>35</v>
      </c>
      <c r="H594" s="8">
        <v>510960</v>
      </c>
      <c r="I594" s="7" t="s">
        <v>436</v>
      </c>
      <c r="J594" s="44">
        <v>24</v>
      </c>
      <c r="K594" s="44">
        <v>3</v>
      </c>
      <c r="L594" s="44">
        <v>20</v>
      </c>
      <c r="M594" s="8" t="s">
        <v>226</v>
      </c>
      <c r="N594" s="8" t="s">
        <v>228</v>
      </c>
      <c r="O594" s="8" t="s">
        <v>227</v>
      </c>
    </row>
    <row r="595" spans="2:15" x14ac:dyDescent="0.25">
      <c r="B595" s="7" t="s">
        <v>430</v>
      </c>
      <c r="C595" s="17">
        <v>21894</v>
      </c>
      <c r="D595" s="7" t="s">
        <v>11</v>
      </c>
      <c r="E595" s="7" t="s">
        <v>434</v>
      </c>
      <c r="F595" s="7" t="s">
        <v>40</v>
      </c>
      <c r="G595" s="7" t="s">
        <v>35</v>
      </c>
      <c r="H595" s="8">
        <v>510960</v>
      </c>
      <c r="I595" s="7" t="s">
        <v>436</v>
      </c>
      <c r="J595" s="44">
        <v>24</v>
      </c>
      <c r="K595" s="44">
        <v>3</v>
      </c>
      <c r="L595" s="44">
        <v>20</v>
      </c>
      <c r="M595" s="8" t="s">
        <v>230</v>
      </c>
      <c r="N595" s="8" t="s">
        <v>366</v>
      </c>
      <c r="O595" s="8" t="s">
        <v>227</v>
      </c>
    </row>
    <row r="596" spans="2:15" x14ac:dyDescent="0.25">
      <c r="B596" s="7" t="s">
        <v>430</v>
      </c>
      <c r="C596" s="17">
        <v>21893</v>
      </c>
      <c r="D596" s="7" t="s">
        <v>11</v>
      </c>
      <c r="E596" s="7" t="s">
        <v>434</v>
      </c>
      <c r="F596" s="7" t="s">
        <v>40</v>
      </c>
      <c r="G596" s="7" t="s">
        <v>35</v>
      </c>
      <c r="H596" s="8">
        <v>510960</v>
      </c>
      <c r="I596" s="7" t="s">
        <v>436</v>
      </c>
      <c r="J596" s="44">
        <v>24</v>
      </c>
      <c r="K596" s="44">
        <v>3</v>
      </c>
      <c r="L596" s="44">
        <v>20</v>
      </c>
      <c r="M596" s="8" t="s">
        <v>236</v>
      </c>
      <c r="N596" s="8" t="s">
        <v>238</v>
      </c>
      <c r="O596" s="8" t="s">
        <v>227</v>
      </c>
    </row>
    <row r="597" spans="2:15" x14ac:dyDescent="0.25">
      <c r="B597" s="7" t="s">
        <v>430</v>
      </c>
      <c r="C597" s="17">
        <v>21828</v>
      </c>
      <c r="D597" s="7" t="s">
        <v>11</v>
      </c>
      <c r="E597" s="7" t="s">
        <v>434</v>
      </c>
      <c r="F597" s="7" t="s">
        <v>321</v>
      </c>
      <c r="G597" s="7" t="s">
        <v>35</v>
      </c>
      <c r="H597" s="8">
        <v>529808</v>
      </c>
      <c r="I597" s="7" t="s">
        <v>437</v>
      </c>
      <c r="J597" s="44">
        <v>16</v>
      </c>
      <c r="K597" s="44">
        <v>2</v>
      </c>
      <c r="L597" s="44">
        <v>8</v>
      </c>
      <c r="M597" s="8" t="s">
        <v>335</v>
      </c>
      <c r="N597" s="8" t="s">
        <v>445</v>
      </c>
      <c r="O597" s="8" t="s">
        <v>227</v>
      </c>
    </row>
    <row r="598" spans="2:15" x14ac:dyDescent="0.25">
      <c r="B598" s="7" t="s">
        <v>430</v>
      </c>
      <c r="C598" s="17">
        <v>21892</v>
      </c>
      <c r="D598" s="7" t="s">
        <v>11</v>
      </c>
      <c r="E598" s="7" t="s">
        <v>434</v>
      </c>
      <c r="F598" s="7" t="s">
        <v>40</v>
      </c>
      <c r="G598" s="7" t="s">
        <v>35</v>
      </c>
      <c r="H598" s="8">
        <v>510960</v>
      </c>
      <c r="I598" s="7" t="s">
        <v>436</v>
      </c>
      <c r="J598" s="44">
        <v>24</v>
      </c>
      <c r="K598" s="44">
        <v>3</v>
      </c>
      <c r="L598" s="44">
        <v>20</v>
      </c>
      <c r="M598" s="8" t="s">
        <v>335</v>
      </c>
      <c r="N598" s="8" t="s">
        <v>243</v>
      </c>
      <c r="O598" s="8" t="s">
        <v>227</v>
      </c>
    </row>
    <row r="599" spans="2:15" x14ac:dyDescent="0.25">
      <c r="B599" s="7" t="s">
        <v>430</v>
      </c>
      <c r="C599" s="17">
        <v>21891</v>
      </c>
      <c r="D599" s="7" t="s">
        <v>11</v>
      </c>
      <c r="E599" s="7" t="s">
        <v>434</v>
      </c>
      <c r="F599" s="7" t="s">
        <v>40</v>
      </c>
      <c r="G599" s="7" t="s">
        <v>35</v>
      </c>
      <c r="H599" s="8">
        <v>510960</v>
      </c>
      <c r="I599" s="7" t="s">
        <v>436</v>
      </c>
      <c r="J599" s="44">
        <v>24</v>
      </c>
      <c r="K599" s="44">
        <v>3</v>
      </c>
      <c r="L599" s="44">
        <v>20</v>
      </c>
      <c r="M599" s="8" t="s">
        <v>384</v>
      </c>
      <c r="N599" s="8" t="s">
        <v>247</v>
      </c>
      <c r="O599" s="8" t="s">
        <v>227</v>
      </c>
    </row>
    <row r="600" spans="2:15" x14ac:dyDescent="0.25">
      <c r="B600" s="7" t="s">
        <v>430</v>
      </c>
      <c r="C600" s="17">
        <v>21890</v>
      </c>
      <c r="D600" s="7" t="s">
        <v>11</v>
      </c>
      <c r="E600" s="7" t="s">
        <v>434</v>
      </c>
      <c r="F600" s="7" t="s">
        <v>40</v>
      </c>
      <c r="G600" s="7" t="s">
        <v>35</v>
      </c>
      <c r="H600" s="8">
        <v>510960</v>
      </c>
      <c r="I600" s="7" t="s">
        <v>436</v>
      </c>
      <c r="J600" s="44">
        <v>24</v>
      </c>
      <c r="K600" s="44">
        <v>3</v>
      </c>
      <c r="L600" s="44">
        <v>19</v>
      </c>
      <c r="M600" s="8" t="s">
        <v>250</v>
      </c>
      <c r="N600" s="8" t="s">
        <v>252</v>
      </c>
      <c r="O600" s="8" t="s">
        <v>249</v>
      </c>
    </row>
    <row r="601" spans="2:15" x14ac:dyDescent="0.25">
      <c r="B601" s="7" t="s">
        <v>278</v>
      </c>
      <c r="C601" s="17">
        <v>25422</v>
      </c>
      <c r="D601" s="7" t="s">
        <v>11</v>
      </c>
      <c r="E601" s="7" t="s">
        <v>74</v>
      </c>
      <c r="F601" s="7" t="s">
        <v>89</v>
      </c>
      <c r="G601" s="8" t="s">
        <v>35</v>
      </c>
      <c r="H601" s="8">
        <v>570530</v>
      </c>
      <c r="I601" s="7" t="s">
        <v>446</v>
      </c>
      <c r="J601" s="38">
        <v>16</v>
      </c>
      <c r="K601" s="38">
        <v>4</v>
      </c>
      <c r="L601" s="38">
        <v>15</v>
      </c>
      <c r="M601" s="8" t="s">
        <v>425</v>
      </c>
      <c r="N601" s="18">
        <v>44329</v>
      </c>
      <c r="O601" s="8" t="s">
        <v>77</v>
      </c>
    </row>
    <row r="602" spans="2:15" x14ac:dyDescent="0.25">
      <c r="B602" s="7" t="s">
        <v>319</v>
      </c>
      <c r="C602" s="17">
        <v>22089</v>
      </c>
      <c r="D602" s="7" t="s">
        <v>12</v>
      </c>
      <c r="E602" s="7" t="s">
        <v>442</v>
      </c>
      <c r="F602" s="7" t="s">
        <v>40</v>
      </c>
      <c r="G602" s="8" t="s">
        <v>35</v>
      </c>
      <c r="H602" s="8">
        <v>201275</v>
      </c>
      <c r="I602" s="7" t="s">
        <v>453</v>
      </c>
      <c r="J602" s="38">
        <v>24</v>
      </c>
      <c r="K602" s="38">
        <v>3</v>
      </c>
      <c r="L602" s="38">
        <v>10</v>
      </c>
      <c r="M602" s="8" t="s">
        <v>76</v>
      </c>
      <c r="N602" s="18">
        <v>44330</v>
      </c>
      <c r="O602" s="8" t="s">
        <v>77</v>
      </c>
    </row>
    <row r="603" spans="2:15" x14ac:dyDescent="0.25">
      <c r="B603" s="7" t="s">
        <v>278</v>
      </c>
      <c r="C603" s="17">
        <v>25412</v>
      </c>
      <c r="D603" s="7" t="s">
        <v>11</v>
      </c>
      <c r="E603" s="7" t="s">
        <v>74</v>
      </c>
      <c r="F603" s="7" t="s">
        <v>89</v>
      </c>
      <c r="G603" s="8" t="s">
        <v>35</v>
      </c>
      <c r="H603" s="8">
        <v>413600</v>
      </c>
      <c r="I603" s="7" t="s">
        <v>320</v>
      </c>
      <c r="J603" s="38">
        <v>16</v>
      </c>
      <c r="K603" s="38">
        <v>2</v>
      </c>
      <c r="L603" s="38">
        <v>15</v>
      </c>
      <c r="M603" s="8" t="s">
        <v>281</v>
      </c>
      <c r="N603" s="18">
        <v>44334</v>
      </c>
      <c r="O603" s="8" t="s">
        <v>77</v>
      </c>
    </row>
    <row r="604" spans="2:15" x14ac:dyDescent="0.25">
      <c r="B604" s="7" t="s">
        <v>449</v>
      </c>
      <c r="C604" s="17">
        <v>28216</v>
      </c>
      <c r="D604" s="7" t="s">
        <v>11</v>
      </c>
      <c r="E604" s="7" t="s">
        <v>450</v>
      </c>
      <c r="F604" s="7" t="s">
        <v>279</v>
      </c>
      <c r="G604" s="7" t="s">
        <v>35</v>
      </c>
      <c r="H604" s="8">
        <v>395269</v>
      </c>
      <c r="I604" s="7" t="s">
        <v>454</v>
      </c>
      <c r="J604" s="38">
        <v>16</v>
      </c>
      <c r="K604" s="38">
        <v>2</v>
      </c>
      <c r="L604" s="38">
        <v>20</v>
      </c>
      <c r="M604" s="8" t="s">
        <v>284</v>
      </c>
      <c r="N604" s="18">
        <v>44337</v>
      </c>
      <c r="O604" s="8" t="s">
        <v>77</v>
      </c>
    </row>
    <row r="605" spans="2:15" x14ac:dyDescent="0.25">
      <c r="B605" s="7" t="s">
        <v>449</v>
      </c>
      <c r="C605" s="17">
        <v>28209</v>
      </c>
      <c r="D605" s="7" t="s">
        <v>11</v>
      </c>
      <c r="E605" s="7" t="s">
        <v>450</v>
      </c>
      <c r="F605" s="7" t="s">
        <v>346</v>
      </c>
      <c r="G605" s="7" t="s">
        <v>35</v>
      </c>
      <c r="H605" s="8">
        <v>395269</v>
      </c>
      <c r="I605" s="7" t="s">
        <v>454</v>
      </c>
      <c r="J605" s="38">
        <v>16</v>
      </c>
      <c r="K605" s="38">
        <v>2</v>
      </c>
      <c r="L605" s="38">
        <v>20</v>
      </c>
      <c r="M605" s="8" t="s">
        <v>91</v>
      </c>
      <c r="N605" s="18">
        <v>44341</v>
      </c>
      <c r="O605" s="8" t="s">
        <v>77</v>
      </c>
    </row>
    <row r="606" spans="2:15" x14ac:dyDescent="0.25">
      <c r="B606" s="7" t="s">
        <v>319</v>
      </c>
      <c r="C606" s="17">
        <v>28210</v>
      </c>
      <c r="D606" s="7" t="s">
        <v>11</v>
      </c>
      <c r="E606" s="7" t="s">
        <v>450</v>
      </c>
      <c r="F606" s="7" t="s">
        <v>346</v>
      </c>
      <c r="G606" s="8" t="s">
        <v>35</v>
      </c>
      <c r="H606" s="8">
        <v>395269</v>
      </c>
      <c r="I606" s="7" t="s">
        <v>454</v>
      </c>
      <c r="J606" s="38">
        <v>16</v>
      </c>
      <c r="K606" s="38">
        <v>2</v>
      </c>
      <c r="L606" s="38">
        <v>20</v>
      </c>
      <c r="M606" s="8" t="s">
        <v>97</v>
      </c>
      <c r="N606" s="18">
        <v>44344</v>
      </c>
      <c r="O606" s="8" t="s">
        <v>77</v>
      </c>
    </row>
    <row r="607" spans="2:15" x14ac:dyDescent="0.25">
      <c r="B607" s="7" t="s">
        <v>449</v>
      </c>
      <c r="C607" s="17">
        <v>25393</v>
      </c>
      <c r="D607" s="7" t="s">
        <v>11</v>
      </c>
      <c r="E607" s="7" t="s">
        <v>74</v>
      </c>
      <c r="F607" s="7" t="s">
        <v>127</v>
      </c>
      <c r="G607" s="7" t="s">
        <v>35</v>
      </c>
      <c r="H607" s="8">
        <v>501348</v>
      </c>
      <c r="I607" s="7" t="s">
        <v>455</v>
      </c>
      <c r="J607" s="38">
        <v>16</v>
      </c>
      <c r="K607" s="38">
        <v>2</v>
      </c>
      <c r="L607" s="38">
        <v>15</v>
      </c>
      <c r="M607" s="8" t="s">
        <v>97</v>
      </c>
      <c r="N607" s="18">
        <v>44344</v>
      </c>
      <c r="O607" s="8" t="s">
        <v>77</v>
      </c>
    </row>
    <row r="608" spans="2:15" x14ac:dyDescent="0.25">
      <c r="B608" s="7" t="s">
        <v>449</v>
      </c>
      <c r="C608" s="17">
        <v>23557</v>
      </c>
      <c r="D608" s="7" t="s">
        <v>11</v>
      </c>
      <c r="E608" s="7" t="s">
        <v>450</v>
      </c>
      <c r="F608" s="7" t="s">
        <v>40</v>
      </c>
      <c r="G608" s="7" t="s">
        <v>35</v>
      </c>
      <c r="H608" s="8">
        <v>395269</v>
      </c>
      <c r="I608" s="7" t="s">
        <v>454</v>
      </c>
      <c r="J608" s="38">
        <v>24</v>
      </c>
      <c r="K608" s="38">
        <v>3</v>
      </c>
      <c r="L608" s="38">
        <v>20</v>
      </c>
      <c r="M608" s="8" t="s">
        <v>99</v>
      </c>
      <c r="N608" s="8" t="s">
        <v>289</v>
      </c>
      <c r="O608" s="8" t="s">
        <v>100</v>
      </c>
    </row>
    <row r="609" spans="2:15" x14ac:dyDescent="0.25">
      <c r="B609" s="7" t="s">
        <v>319</v>
      </c>
      <c r="C609" s="17">
        <v>22019</v>
      </c>
      <c r="D609" s="7" t="s">
        <v>12</v>
      </c>
      <c r="E609" s="7" t="s">
        <v>442</v>
      </c>
      <c r="F609" s="7" t="s">
        <v>199</v>
      </c>
      <c r="G609" s="8" t="s">
        <v>35</v>
      </c>
      <c r="H609" s="8">
        <v>201275</v>
      </c>
      <c r="I609" s="7" t="s">
        <v>453</v>
      </c>
      <c r="J609" s="38">
        <v>8</v>
      </c>
      <c r="K609" s="38">
        <v>1</v>
      </c>
      <c r="L609" s="38">
        <v>8</v>
      </c>
      <c r="M609" s="8" t="s">
        <v>295</v>
      </c>
      <c r="N609" s="18">
        <v>44354</v>
      </c>
      <c r="O609" s="8" t="s">
        <v>100</v>
      </c>
    </row>
    <row r="610" spans="2:15" x14ac:dyDescent="0.25">
      <c r="B610" s="7" t="s">
        <v>319</v>
      </c>
      <c r="C610" s="17">
        <v>23556</v>
      </c>
      <c r="D610" s="7" t="s">
        <v>11</v>
      </c>
      <c r="E610" s="7" t="s">
        <v>450</v>
      </c>
      <c r="F610" s="7" t="s">
        <v>40</v>
      </c>
      <c r="G610" s="8" t="s">
        <v>35</v>
      </c>
      <c r="H610" s="8">
        <v>395269</v>
      </c>
      <c r="I610" s="7" t="s">
        <v>454</v>
      </c>
      <c r="J610" s="38">
        <v>24</v>
      </c>
      <c r="K610" s="38">
        <v>3</v>
      </c>
      <c r="L610" s="38">
        <v>16</v>
      </c>
      <c r="M610" s="8" t="s">
        <v>295</v>
      </c>
      <c r="N610" s="18">
        <v>44356</v>
      </c>
      <c r="O610" s="8" t="s">
        <v>100</v>
      </c>
    </row>
    <row r="611" spans="2:15" x14ac:dyDescent="0.25">
      <c r="B611" s="7" t="s">
        <v>449</v>
      </c>
      <c r="C611" s="17">
        <v>25392</v>
      </c>
      <c r="D611" s="7" t="s">
        <v>11</v>
      </c>
      <c r="E611" s="7" t="s">
        <v>74</v>
      </c>
      <c r="F611" s="7" t="s">
        <v>127</v>
      </c>
      <c r="G611" s="7" t="s">
        <v>35</v>
      </c>
      <c r="H611" s="8">
        <v>501348</v>
      </c>
      <c r="I611" s="7" t="s">
        <v>455</v>
      </c>
      <c r="J611" s="38">
        <v>16</v>
      </c>
      <c r="K611" s="38">
        <v>2</v>
      </c>
      <c r="L611" s="38">
        <v>15</v>
      </c>
      <c r="M611" s="8" t="s">
        <v>104</v>
      </c>
      <c r="N611" s="8" t="s">
        <v>298</v>
      </c>
      <c r="O611" s="8" t="s">
        <v>100</v>
      </c>
    </row>
    <row r="612" spans="2:15" x14ac:dyDescent="0.25">
      <c r="B612" s="7" t="s">
        <v>449</v>
      </c>
      <c r="C612" s="17">
        <v>23558</v>
      </c>
      <c r="D612" s="7" t="s">
        <v>11</v>
      </c>
      <c r="E612" s="7" t="s">
        <v>450</v>
      </c>
      <c r="F612" s="7" t="s">
        <v>40</v>
      </c>
      <c r="G612" s="7" t="s">
        <v>35</v>
      </c>
      <c r="H612" s="8">
        <v>395269</v>
      </c>
      <c r="I612" s="7" t="s">
        <v>454</v>
      </c>
      <c r="J612" s="38">
        <v>24</v>
      </c>
      <c r="K612" s="38">
        <v>3</v>
      </c>
      <c r="L612" s="38">
        <v>20</v>
      </c>
      <c r="M612" s="8" t="s">
        <v>299</v>
      </c>
      <c r="N612" s="8" t="s">
        <v>107</v>
      </c>
      <c r="O612" s="8" t="s">
        <v>100</v>
      </c>
    </row>
    <row r="613" spans="2:15" x14ac:dyDescent="0.25">
      <c r="B613" s="7" t="s">
        <v>449</v>
      </c>
      <c r="C613" s="17">
        <v>27736</v>
      </c>
      <c r="D613" s="7" t="s">
        <v>11</v>
      </c>
      <c r="E613" s="7" t="s">
        <v>450</v>
      </c>
      <c r="F613" s="7" t="s">
        <v>89</v>
      </c>
      <c r="G613" s="7" t="s">
        <v>35</v>
      </c>
      <c r="H613" s="8">
        <v>395269</v>
      </c>
      <c r="I613" s="7" t="s">
        <v>454</v>
      </c>
      <c r="J613" s="38">
        <v>16</v>
      </c>
      <c r="K613" s="38">
        <v>2</v>
      </c>
      <c r="L613" s="38">
        <v>20</v>
      </c>
      <c r="M613" s="8" t="s">
        <v>106</v>
      </c>
      <c r="N613" s="8" t="s">
        <v>303</v>
      </c>
      <c r="O613" s="8" t="s">
        <v>100</v>
      </c>
    </row>
    <row r="614" spans="2:15" x14ac:dyDescent="0.25">
      <c r="B614" s="7" t="s">
        <v>278</v>
      </c>
      <c r="C614" s="17">
        <v>22090</v>
      </c>
      <c r="D614" s="7" t="s">
        <v>12</v>
      </c>
      <c r="E614" s="7" t="s">
        <v>442</v>
      </c>
      <c r="F614" s="7" t="s">
        <v>40</v>
      </c>
      <c r="G614" s="8" t="s">
        <v>35</v>
      </c>
      <c r="H614" s="8">
        <v>395269</v>
      </c>
      <c r="I614" s="7" t="s">
        <v>454</v>
      </c>
      <c r="J614" s="38">
        <v>24</v>
      </c>
      <c r="K614" s="38">
        <v>3</v>
      </c>
      <c r="L614" s="38">
        <v>8</v>
      </c>
      <c r="M614" s="8" t="s">
        <v>108</v>
      </c>
      <c r="N614" s="18">
        <v>44370</v>
      </c>
      <c r="O614" s="8" t="s">
        <v>100</v>
      </c>
    </row>
    <row r="615" spans="2:15" x14ac:dyDescent="0.25">
      <c r="B615" s="7" t="s">
        <v>319</v>
      </c>
      <c r="C615" s="17">
        <v>27738</v>
      </c>
      <c r="D615" s="7" t="s">
        <v>11</v>
      </c>
      <c r="E615" s="7" t="s">
        <v>450</v>
      </c>
      <c r="F615" s="7" t="s">
        <v>68</v>
      </c>
      <c r="G615" s="8" t="s">
        <v>35</v>
      </c>
      <c r="H615" s="8">
        <v>395269</v>
      </c>
      <c r="I615" s="7" t="s">
        <v>454</v>
      </c>
      <c r="J615" s="38">
        <v>24</v>
      </c>
      <c r="K615" s="38">
        <v>3</v>
      </c>
      <c r="L615" s="38">
        <v>15</v>
      </c>
      <c r="M615" s="8" t="s">
        <v>131</v>
      </c>
      <c r="N615" s="18">
        <v>44400</v>
      </c>
      <c r="O615" s="8" t="s">
        <v>119</v>
      </c>
    </row>
    <row r="616" spans="2:15" x14ac:dyDescent="0.25">
      <c r="B616" s="7" t="s">
        <v>319</v>
      </c>
      <c r="C616" s="17">
        <v>28215</v>
      </c>
      <c r="D616" s="7" t="s">
        <v>11</v>
      </c>
      <c r="E616" s="7" t="s">
        <v>450</v>
      </c>
      <c r="F616" s="7" t="s">
        <v>279</v>
      </c>
      <c r="G616" s="8" t="s">
        <v>35</v>
      </c>
      <c r="H616" s="8">
        <v>395269</v>
      </c>
      <c r="I616" s="7" t="s">
        <v>454</v>
      </c>
      <c r="J616" s="38">
        <v>16</v>
      </c>
      <c r="K616" s="38">
        <v>2</v>
      </c>
      <c r="L616" s="38">
        <v>20</v>
      </c>
      <c r="M616" s="8" t="s">
        <v>145</v>
      </c>
      <c r="N616" s="18">
        <v>44414</v>
      </c>
      <c r="O616" s="8" t="s">
        <v>141</v>
      </c>
    </row>
    <row r="617" spans="2:15" x14ac:dyDescent="0.25">
      <c r="B617" s="7" t="s">
        <v>449</v>
      </c>
      <c r="C617" s="17">
        <v>21984</v>
      </c>
      <c r="D617" s="7" t="s">
        <v>8</v>
      </c>
      <c r="E617" s="7" t="s">
        <v>142</v>
      </c>
      <c r="F617" s="7" t="s">
        <v>105</v>
      </c>
      <c r="G617" s="7" t="s">
        <v>35</v>
      </c>
      <c r="H617" s="8">
        <v>374778</v>
      </c>
      <c r="I617" s="7" t="s">
        <v>452</v>
      </c>
      <c r="J617" s="38">
        <v>16</v>
      </c>
      <c r="K617" s="38">
        <v>2</v>
      </c>
      <c r="L617" s="38">
        <v>11</v>
      </c>
      <c r="M617" s="8" t="s">
        <v>153</v>
      </c>
      <c r="N617" s="8" t="s">
        <v>429</v>
      </c>
      <c r="O617" s="8" t="s">
        <v>141</v>
      </c>
    </row>
    <row r="618" spans="2:15" x14ac:dyDescent="0.25">
      <c r="B618" s="7" t="s">
        <v>449</v>
      </c>
      <c r="C618" s="17">
        <v>25588</v>
      </c>
      <c r="D618" s="7" t="s">
        <v>11</v>
      </c>
      <c r="E618" s="7" t="s">
        <v>74</v>
      </c>
      <c r="F618" s="7" t="s">
        <v>288</v>
      </c>
      <c r="G618" s="7" t="s">
        <v>35</v>
      </c>
      <c r="H618" s="8">
        <v>501348</v>
      </c>
      <c r="I618" s="7" t="s">
        <v>455</v>
      </c>
      <c r="J618" s="38">
        <v>16</v>
      </c>
      <c r="K618" s="38">
        <v>2</v>
      </c>
      <c r="L618" s="38">
        <v>15</v>
      </c>
      <c r="M618" s="8" t="s">
        <v>166</v>
      </c>
      <c r="N618" s="8" t="s">
        <v>167</v>
      </c>
      <c r="O618" s="8" t="s">
        <v>141</v>
      </c>
    </row>
    <row r="619" spans="2:15" x14ac:dyDescent="0.25">
      <c r="B619" s="7" t="s">
        <v>449</v>
      </c>
      <c r="C619" s="17">
        <v>21985</v>
      </c>
      <c r="D619" s="7" t="s">
        <v>8</v>
      </c>
      <c r="E619" s="7" t="s">
        <v>142</v>
      </c>
      <c r="F619" s="7" t="s">
        <v>105</v>
      </c>
      <c r="G619" s="7" t="s">
        <v>35</v>
      </c>
      <c r="H619" s="8">
        <v>305145</v>
      </c>
      <c r="I619" s="7" t="s">
        <v>456</v>
      </c>
      <c r="J619" s="38">
        <v>16</v>
      </c>
      <c r="K619" s="38">
        <v>2</v>
      </c>
      <c r="L619" s="38">
        <v>12</v>
      </c>
      <c r="M619" s="8" t="s">
        <v>168</v>
      </c>
      <c r="N619" s="8" t="s">
        <v>169</v>
      </c>
      <c r="O619" s="8" t="s">
        <v>141</v>
      </c>
    </row>
    <row r="620" spans="2:15" x14ac:dyDescent="0.25">
      <c r="B620" s="7" t="s">
        <v>449</v>
      </c>
      <c r="C620" s="17">
        <v>28213</v>
      </c>
      <c r="D620" s="7" t="s">
        <v>11</v>
      </c>
      <c r="E620" s="7" t="s">
        <v>450</v>
      </c>
      <c r="F620" s="7" t="s">
        <v>279</v>
      </c>
      <c r="G620" s="7" t="s">
        <v>35</v>
      </c>
      <c r="H620" s="8">
        <v>395269</v>
      </c>
      <c r="I620" s="7" t="s">
        <v>454</v>
      </c>
      <c r="J620" s="38">
        <v>16</v>
      </c>
      <c r="K620" s="38">
        <v>2</v>
      </c>
      <c r="L620" s="38">
        <v>20</v>
      </c>
      <c r="M620" s="8" t="s">
        <v>172</v>
      </c>
      <c r="N620" s="8" t="s">
        <v>174</v>
      </c>
      <c r="O620" s="8" t="s">
        <v>173</v>
      </c>
    </row>
    <row r="621" spans="2:15" x14ac:dyDescent="0.25">
      <c r="B621" s="7" t="s">
        <v>449</v>
      </c>
      <c r="C621" s="17">
        <v>21981</v>
      </c>
      <c r="D621" s="7" t="s">
        <v>8</v>
      </c>
      <c r="E621" s="7" t="s">
        <v>142</v>
      </c>
      <c r="F621" s="7" t="s">
        <v>40</v>
      </c>
      <c r="G621" s="7" t="s">
        <v>35</v>
      </c>
      <c r="H621" s="8">
        <v>971841</v>
      </c>
      <c r="I621" s="7" t="s">
        <v>457</v>
      </c>
      <c r="J621" s="38">
        <v>24</v>
      </c>
      <c r="K621" s="38">
        <v>3</v>
      </c>
      <c r="L621" s="38">
        <v>10</v>
      </c>
      <c r="M621" s="8" t="s">
        <v>327</v>
      </c>
      <c r="N621" s="8" t="s">
        <v>204</v>
      </c>
      <c r="O621" s="8" t="s">
        <v>202</v>
      </c>
    </row>
    <row r="622" spans="2:15" x14ac:dyDescent="0.25">
      <c r="B622" s="7" t="s">
        <v>449</v>
      </c>
      <c r="C622" s="17">
        <v>27739</v>
      </c>
      <c r="D622" s="7" t="s">
        <v>11</v>
      </c>
      <c r="E622" s="7" t="s">
        <v>450</v>
      </c>
      <c r="F622" s="7" t="s">
        <v>68</v>
      </c>
      <c r="G622" s="7" t="s">
        <v>35</v>
      </c>
      <c r="H622" s="8">
        <v>395269</v>
      </c>
      <c r="I622" s="7" t="s">
        <v>454</v>
      </c>
      <c r="J622" s="38">
        <v>24</v>
      </c>
      <c r="K622" s="38">
        <v>3</v>
      </c>
      <c r="L622" s="38">
        <v>20</v>
      </c>
      <c r="M622" s="8" t="s">
        <v>209</v>
      </c>
      <c r="N622" s="8" t="s">
        <v>211</v>
      </c>
      <c r="O622" s="8" t="s">
        <v>202</v>
      </c>
    </row>
    <row r="623" spans="2:15" x14ac:dyDescent="0.25">
      <c r="B623" s="7" t="s">
        <v>278</v>
      </c>
      <c r="C623" s="17">
        <v>25419</v>
      </c>
      <c r="D623" s="7" t="s">
        <v>11</v>
      </c>
      <c r="E623" s="7" t="s">
        <v>74</v>
      </c>
      <c r="F623" s="7" t="s">
        <v>89</v>
      </c>
      <c r="G623" s="8" t="s">
        <v>35</v>
      </c>
      <c r="H623" s="8">
        <v>570530</v>
      </c>
      <c r="I623" s="7" t="s">
        <v>446</v>
      </c>
      <c r="J623" s="38">
        <v>16</v>
      </c>
      <c r="K623" s="38">
        <v>2</v>
      </c>
      <c r="L623" s="38">
        <v>15</v>
      </c>
      <c r="M623" s="8" t="s">
        <v>458</v>
      </c>
      <c r="N623" s="18">
        <v>44503</v>
      </c>
      <c r="O623" s="8" t="s">
        <v>227</v>
      </c>
    </row>
    <row r="624" spans="2:15" x14ac:dyDescent="0.25">
      <c r="B624" s="7" t="s">
        <v>449</v>
      </c>
      <c r="C624" s="17">
        <v>23559</v>
      </c>
      <c r="D624" s="7" t="s">
        <v>11</v>
      </c>
      <c r="E624" s="7" t="s">
        <v>450</v>
      </c>
      <c r="F624" s="7" t="s">
        <v>40</v>
      </c>
      <c r="G624" s="7" t="s">
        <v>35</v>
      </c>
      <c r="H624" s="8">
        <v>395269</v>
      </c>
      <c r="I624" s="7" t="s">
        <v>454</v>
      </c>
      <c r="J624" s="38">
        <v>24</v>
      </c>
      <c r="K624" s="38">
        <v>3</v>
      </c>
      <c r="L624" s="38">
        <v>20</v>
      </c>
      <c r="M624" s="8" t="s">
        <v>238</v>
      </c>
      <c r="N624" s="8" t="s">
        <v>240</v>
      </c>
      <c r="O624" s="8" t="s">
        <v>227</v>
      </c>
    </row>
    <row r="625" spans="2:15" x14ac:dyDescent="0.25">
      <c r="B625" s="7" t="s">
        <v>319</v>
      </c>
      <c r="C625" s="17">
        <v>27737</v>
      </c>
      <c r="D625" s="7" t="s">
        <v>11</v>
      </c>
      <c r="E625" s="7" t="s">
        <v>450</v>
      </c>
      <c r="F625" s="7" t="s">
        <v>89</v>
      </c>
      <c r="G625" s="8" t="s">
        <v>35</v>
      </c>
      <c r="H625" s="8">
        <v>395269</v>
      </c>
      <c r="I625" s="7" t="s">
        <v>454</v>
      </c>
      <c r="J625" s="38">
        <v>16</v>
      </c>
      <c r="K625" s="38">
        <v>2</v>
      </c>
      <c r="L625" s="38">
        <v>20</v>
      </c>
      <c r="M625" s="8" t="s">
        <v>335</v>
      </c>
      <c r="N625" s="18">
        <v>44523</v>
      </c>
      <c r="O625" s="8" t="s">
        <v>227</v>
      </c>
    </row>
    <row r="626" spans="2:15" x14ac:dyDescent="0.25">
      <c r="B626" s="7" t="s">
        <v>319</v>
      </c>
      <c r="C626" s="17">
        <v>23560</v>
      </c>
      <c r="D626" s="7" t="s">
        <v>11</v>
      </c>
      <c r="E626" s="7" t="s">
        <v>450</v>
      </c>
      <c r="F626" s="7" t="s">
        <v>40</v>
      </c>
      <c r="G626" s="8" t="s">
        <v>35</v>
      </c>
      <c r="H626" s="8">
        <v>395269</v>
      </c>
      <c r="I626" s="7" t="s">
        <v>454</v>
      </c>
      <c r="J626" s="38">
        <v>24</v>
      </c>
      <c r="K626" s="38">
        <v>3</v>
      </c>
      <c r="L626" s="38">
        <v>20</v>
      </c>
      <c r="M626" s="8" t="s">
        <v>243</v>
      </c>
      <c r="N626" s="18">
        <v>44526</v>
      </c>
      <c r="O626" s="8" t="s">
        <v>227</v>
      </c>
    </row>
    <row r="627" spans="2:15" x14ac:dyDescent="0.25">
      <c r="B627" s="7" t="s">
        <v>449</v>
      </c>
      <c r="C627" s="17">
        <v>23561</v>
      </c>
      <c r="D627" s="7" t="s">
        <v>11</v>
      </c>
      <c r="E627" s="7" t="s">
        <v>450</v>
      </c>
      <c r="F627" s="7" t="s">
        <v>40</v>
      </c>
      <c r="G627" s="7" t="s">
        <v>35</v>
      </c>
      <c r="H627" s="8">
        <v>395269</v>
      </c>
      <c r="I627" s="7" t="s">
        <v>454</v>
      </c>
      <c r="J627" s="38">
        <v>24</v>
      </c>
      <c r="K627" s="38">
        <v>3</v>
      </c>
      <c r="L627" s="38">
        <v>15</v>
      </c>
      <c r="M627" s="8" t="s">
        <v>384</v>
      </c>
      <c r="N627" s="8" t="s">
        <v>247</v>
      </c>
      <c r="O627" s="8" t="s">
        <v>227</v>
      </c>
    </row>
    <row r="628" spans="2:15" x14ac:dyDescent="0.25">
      <c r="B628" s="7" t="s">
        <v>449</v>
      </c>
      <c r="C628" s="17">
        <v>27740</v>
      </c>
      <c r="D628" s="7" t="s">
        <v>11</v>
      </c>
      <c r="E628" s="7" t="s">
        <v>450</v>
      </c>
      <c r="F628" s="7" t="s">
        <v>68</v>
      </c>
      <c r="G628" s="7" t="s">
        <v>35</v>
      </c>
      <c r="H628" s="8">
        <v>395269</v>
      </c>
      <c r="I628" s="7" t="s">
        <v>454</v>
      </c>
      <c r="J628" s="38">
        <v>24</v>
      </c>
      <c r="K628" s="38">
        <v>3</v>
      </c>
      <c r="L628" s="38">
        <v>20</v>
      </c>
      <c r="M628" s="8" t="s">
        <v>250</v>
      </c>
      <c r="N628" s="8" t="s">
        <v>252</v>
      </c>
      <c r="O628" s="8" t="s">
        <v>249</v>
      </c>
    </row>
    <row r="629" spans="2:15" x14ac:dyDescent="0.25">
      <c r="B629" s="7" t="s">
        <v>466</v>
      </c>
      <c r="C629" s="17">
        <v>25404</v>
      </c>
      <c r="D629" s="7" t="s">
        <v>11</v>
      </c>
      <c r="E629" s="7" t="s">
        <v>74</v>
      </c>
      <c r="F629" s="7" t="s">
        <v>89</v>
      </c>
      <c r="G629" s="8" t="s">
        <v>35</v>
      </c>
      <c r="H629" s="8">
        <v>432309</v>
      </c>
      <c r="I629" s="7" t="s">
        <v>467</v>
      </c>
      <c r="J629" s="44">
        <v>16</v>
      </c>
      <c r="K629" s="44">
        <v>2</v>
      </c>
      <c r="L629" s="44">
        <v>15</v>
      </c>
      <c r="M629" s="8" t="s">
        <v>91</v>
      </c>
      <c r="N629" s="8">
        <v>44341</v>
      </c>
      <c r="O629" s="8" t="s">
        <v>77</v>
      </c>
    </row>
    <row r="630" spans="2:15" x14ac:dyDescent="0.25">
      <c r="B630" s="7" t="s">
        <v>469</v>
      </c>
      <c r="C630" s="17">
        <v>26244</v>
      </c>
      <c r="D630" s="7" t="s">
        <v>11</v>
      </c>
      <c r="E630" s="7" t="s">
        <v>461</v>
      </c>
      <c r="F630" s="7" t="s">
        <v>89</v>
      </c>
      <c r="G630" s="8" t="s">
        <v>35</v>
      </c>
      <c r="H630" s="8">
        <v>352466</v>
      </c>
      <c r="I630" s="7" t="s">
        <v>474</v>
      </c>
      <c r="J630" s="44">
        <v>16</v>
      </c>
      <c r="K630" s="44">
        <v>2</v>
      </c>
      <c r="L630" s="44">
        <v>14</v>
      </c>
      <c r="M630" s="8" t="s">
        <v>299</v>
      </c>
      <c r="N630" s="8" t="s">
        <v>300</v>
      </c>
      <c r="O630" s="8" t="s">
        <v>100</v>
      </c>
    </row>
    <row r="631" spans="2:15" x14ac:dyDescent="0.25">
      <c r="B631" s="7" t="s">
        <v>469</v>
      </c>
      <c r="C631" s="17">
        <v>24348</v>
      </c>
      <c r="D631" s="7" t="s">
        <v>11</v>
      </c>
      <c r="E631" s="7" t="s">
        <v>461</v>
      </c>
      <c r="F631" s="7" t="s">
        <v>62</v>
      </c>
      <c r="G631" s="8" t="s">
        <v>35</v>
      </c>
      <c r="H631" s="8">
        <v>352466</v>
      </c>
      <c r="I631" s="7" t="s">
        <v>474</v>
      </c>
      <c r="J631" s="44">
        <v>24</v>
      </c>
      <c r="K631" s="44">
        <v>3</v>
      </c>
      <c r="L631" s="44">
        <v>13</v>
      </c>
      <c r="M631" s="8" t="s">
        <v>107</v>
      </c>
      <c r="N631" s="8" t="s">
        <v>303</v>
      </c>
      <c r="O631" s="8" t="s">
        <v>100</v>
      </c>
    </row>
    <row r="632" spans="2:15" x14ac:dyDescent="0.25">
      <c r="B632" s="7" t="s">
        <v>469</v>
      </c>
      <c r="C632" s="17">
        <v>26320</v>
      </c>
      <c r="D632" s="7" t="s">
        <v>11</v>
      </c>
      <c r="E632" s="7" t="s">
        <v>461</v>
      </c>
      <c r="F632" s="7" t="s">
        <v>159</v>
      </c>
      <c r="G632" s="8" t="s">
        <v>35</v>
      </c>
      <c r="H632" s="8">
        <v>352466</v>
      </c>
      <c r="I632" s="7" t="s">
        <v>474</v>
      </c>
      <c r="J632" s="44">
        <v>16</v>
      </c>
      <c r="K632" s="44">
        <v>2</v>
      </c>
      <c r="L632" s="44">
        <v>13</v>
      </c>
      <c r="M632" s="8" t="s">
        <v>108</v>
      </c>
      <c r="N632" s="8" t="s">
        <v>304</v>
      </c>
      <c r="O632" s="8" t="s">
        <v>100</v>
      </c>
    </row>
    <row r="633" spans="2:15" x14ac:dyDescent="0.25">
      <c r="B633" s="7" t="s">
        <v>466</v>
      </c>
      <c r="C633" s="17">
        <v>25413</v>
      </c>
      <c r="D633" s="7" t="s">
        <v>11</v>
      </c>
      <c r="E633" s="7" t="s">
        <v>74</v>
      </c>
      <c r="F633" s="7" t="s">
        <v>89</v>
      </c>
      <c r="G633" s="8" t="s">
        <v>35</v>
      </c>
      <c r="H633" s="8">
        <v>432309</v>
      </c>
      <c r="I633" s="7" t="s">
        <v>467</v>
      </c>
      <c r="J633" s="44">
        <v>16</v>
      </c>
      <c r="K633" s="44">
        <v>2</v>
      </c>
      <c r="L633" s="44">
        <v>15</v>
      </c>
      <c r="M633" s="8" t="s">
        <v>306</v>
      </c>
      <c r="N633" s="8" t="s">
        <v>115</v>
      </c>
      <c r="O633" s="8" t="s">
        <v>100</v>
      </c>
    </row>
    <row r="634" spans="2:15" x14ac:dyDescent="0.25">
      <c r="B634" s="7" t="s">
        <v>469</v>
      </c>
      <c r="C634" s="17">
        <v>26751</v>
      </c>
      <c r="D634" s="7" t="s">
        <v>6</v>
      </c>
      <c r="E634" s="7" t="s">
        <v>352</v>
      </c>
      <c r="F634" s="7" t="s">
        <v>89</v>
      </c>
      <c r="G634" s="8" t="s">
        <v>35</v>
      </c>
      <c r="H634" s="8">
        <v>365499</v>
      </c>
      <c r="I634" s="7" t="s">
        <v>291</v>
      </c>
      <c r="J634" s="44">
        <v>16</v>
      </c>
      <c r="K634" s="44">
        <v>2</v>
      </c>
      <c r="L634" s="44">
        <v>10</v>
      </c>
      <c r="M634" s="8" t="s">
        <v>310</v>
      </c>
      <c r="N634" s="8" t="s">
        <v>311</v>
      </c>
      <c r="O634" s="8" t="s">
        <v>119</v>
      </c>
    </row>
    <row r="635" spans="2:15" x14ac:dyDescent="0.25">
      <c r="B635" s="7" t="s">
        <v>469</v>
      </c>
      <c r="C635" s="17">
        <v>26750</v>
      </c>
      <c r="D635" s="7" t="s">
        <v>6</v>
      </c>
      <c r="E635" s="7" t="s">
        <v>352</v>
      </c>
      <c r="F635" s="7" t="s">
        <v>89</v>
      </c>
      <c r="G635" s="8" t="s">
        <v>35</v>
      </c>
      <c r="H635" s="8">
        <v>365499</v>
      </c>
      <c r="I635" s="7" t="s">
        <v>291</v>
      </c>
      <c r="J635" s="44">
        <v>16</v>
      </c>
      <c r="K635" s="44">
        <v>2</v>
      </c>
      <c r="L635" s="44">
        <v>11</v>
      </c>
      <c r="M635" s="8" t="s">
        <v>123</v>
      </c>
      <c r="N635" s="8" t="s">
        <v>120</v>
      </c>
      <c r="O635" s="8" t="s">
        <v>119</v>
      </c>
    </row>
    <row r="636" spans="2:15" x14ac:dyDescent="0.25">
      <c r="B636" s="7" t="s">
        <v>466</v>
      </c>
      <c r="C636" s="17">
        <v>25414</v>
      </c>
      <c r="D636" s="7" t="s">
        <v>11</v>
      </c>
      <c r="E636" s="7" t="s">
        <v>74</v>
      </c>
      <c r="F636" s="7" t="s">
        <v>89</v>
      </c>
      <c r="G636" s="8" t="s">
        <v>35</v>
      </c>
      <c r="H636" s="8">
        <v>432309</v>
      </c>
      <c r="I636" s="7" t="s">
        <v>467</v>
      </c>
      <c r="J636" s="44">
        <v>16</v>
      </c>
      <c r="K636" s="44">
        <v>2</v>
      </c>
      <c r="L636" s="44">
        <v>15</v>
      </c>
      <c r="M636" s="8" t="s">
        <v>134</v>
      </c>
      <c r="N636" s="8" t="s">
        <v>135</v>
      </c>
      <c r="O636" s="8" t="s">
        <v>119</v>
      </c>
    </row>
    <row r="637" spans="2:15" x14ac:dyDescent="0.25">
      <c r="B637" s="7" t="s">
        <v>466</v>
      </c>
      <c r="C637" s="17">
        <v>25420</v>
      </c>
      <c r="D637" s="7" t="s">
        <v>11</v>
      </c>
      <c r="E637" s="7" t="s">
        <v>74</v>
      </c>
      <c r="F637" s="7" t="s">
        <v>89</v>
      </c>
      <c r="G637" s="8" t="s">
        <v>35</v>
      </c>
      <c r="H637" s="8">
        <v>432309</v>
      </c>
      <c r="I637" s="7" t="s">
        <v>467</v>
      </c>
      <c r="J637" s="44">
        <v>16</v>
      </c>
      <c r="K637" s="44">
        <v>2</v>
      </c>
      <c r="L637" s="44">
        <v>15</v>
      </c>
      <c r="M637" s="8" t="s">
        <v>168</v>
      </c>
      <c r="N637" s="8" t="s">
        <v>169</v>
      </c>
      <c r="O637" s="8" t="s">
        <v>141</v>
      </c>
    </row>
    <row r="638" spans="2:15" x14ac:dyDescent="0.25">
      <c r="B638" s="7" t="s">
        <v>459</v>
      </c>
      <c r="C638" s="17">
        <v>24347</v>
      </c>
      <c r="D638" s="7" t="s">
        <v>11</v>
      </c>
      <c r="E638" s="7" t="s">
        <v>461</v>
      </c>
      <c r="F638" s="7" t="s">
        <v>62</v>
      </c>
      <c r="G638" s="45" t="s">
        <v>35</v>
      </c>
      <c r="H638" s="8">
        <v>570530</v>
      </c>
      <c r="I638" s="7" t="s">
        <v>446</v>
      </c>
      <c r="J638" s="44">
        <v>24</v>
      </c>
      <c r="K638" s="44">
        <v>3</v>
      </c>
      <c r="L638" s="44">
        <v>10</v>
      </c>
      <c r="M638" s="8" t="s">
        <v>181</v>
      </c>
      <c r="N638" s="8" t="s">
        <v>180</v>
      </c>
      <c r="O638" s="8" t="s">
        <v>173</v>
      </c>
    </row>
    <row r="639" spans="2:15" x14ac:dyDescent="0.25">
      <c r="B639" s="7" t="s">
        <v>469</v>
      </c>
      <c r="C639" s="17">
        <v>26245</v>
      </c>
      <c r="D639" s="7" t="s">
        <v>11</v>
      </c>
      <c r="E639" s="7" t="s">
        <v>461</v>
      </c>
      <c r="F639" s="7" t="s">
        <v>89</v>
      </c>
      <c r="G639" s="8" t="s">
        <v>35</v>
      </c>
      <c r="H639" s="8">
        <v>352466</v>
      </c>
      <c r="I639" s="7" t="s">
        <v>474</v>
      </c>
      <c r="J639" s="44">
        <v>16</v>
      </c>
      <c r="K639" s="44">
        <v>2</v>
      </c>
      <c r="L639" s="44">
        <v>15</v>
      </c>
      <c r="M639" s="8" t="s">
        <v>184</v>
      </c>
      <c r="N639" s="8" t="s">
        <v>185</v>
      </c>
      <c r="O639" s="8" t="s">
        <v>173</v>
      </c>
    </row>
    <row r="640" spans="2:15" x14ac:dyDescent="0.25">
      <c r="B640" s="7" t="s">
        <v>469</v>
      </c>
      <c r="C640" s="17">
        <v>24349</v>
      </c>
      <c r="D640" s="7" t="s">
        <v>11</v>
      </c>
      <c r="E640" s="7" t="s">
        <v>461</v>
      </c>
      <c r="F640" s="7" t="s">
        <v>62</v>
      </c>
      <c r="G640" s="8" t="s">
        <v>35</v>
      </c>
      <c r="H640" s="8">
        <v>352466</v>
      </c>
      <c r="I640" s="7" t="s">
        <v>474</v>
      </c>
      <c r="J640" s="44">
        <v>24</v>
      </c>
      <c r="K640" s="44">
        <v>3</v>
      </c>
      <c r="L640" s="44">
        <v>14</v>
      </c>
      <c r="M640" s="8" t="s">
        <v>361</v>
      </c>
      <c r="N640" s="8" t="s">
        <v>191</v>
      </c>
      <c r="O640" s="8" t="s">
        <v>173</v>
      </c>
    </row>
    <row r="641" spans="2:15" x14ac:dyDescent="0.25">
      <c r="B641" s="7" t="s">
        <v>459</v>
      </c>
      <c r="C641" s="17">
        <v>24346</v>
      </c>
      <c r="D641" s="7" t="s">
        <v>11</v>
      </c>
      <c r="E641" s="7" t="s">
        <v>461</v>
      </c>
      <c r="F641" s="7" t="s">
        <v>62</v>
      </c>
      <c r="G641" s="45" t="s">
        <v>35</v>
      </c>
      <c r="H641" s="8">
        <v>570530</v>
      </c>
      <c r="I641" s="7" t="s">
        <v>446</v>
      </c>
      <c r="J641" s="44">
        <v>24</v>
      </c>
      <c r="K641" s="44">
        <v>3</v>
      </c>
      <c r="L641" s="44">
        <v>10</v>
      </c>
      <c r="M641" s="8" t="s">
        <v>190</v>
      </c>
      <c r="N641" s="8" t="s">
        <v>192</v>
      </c>
      <c r="O641" s="8" t="s">
        <v>173</v>
      </c>
    </row>
    <row r="642" spans="2:15" x14ac:dyDescent="0.25">
      <c r="B642" s="7" t="s">
        <v>469</v>
      </c>
      <c r="C642" s="17">
        <v>26321</v>
      </c>
      <c r="D642" s="7" t="s">
        <v>11</v>
      </c>
      <c r="E642" s="7" t="s">
        <v>461</v>
      </c>
      <c r="F642" s="7" t="s">
        <v>159</v>
      </c>
      <c r="G642" s="8" t="s">
        <v>35</v>
      </c>
      <c r="H642" s="8">
        <v>352466</v>
      </c>
      <c r="I642" s="7" t="s">
        <v>474</v>
      </c>
      <c r="J642" s="44">
        <v>16</v>
      </c>
      <c r="K642" s="44">
        <v>2</v>
      </c>
      <c r="L642" s="44">
        <v>14</v>
      </c>
      <c r="M642" s="8" t="s">
        <v>192</v>
      </c>
      <c r="N642" s="8" t="s">
        <v>193</v>
      </c>
      <c r="O642" s="8" t="s">
        <v>173</v>
      </c>
    </row>
    <row r="643" spans="2:15" x14ac:dyDescent="0.25">
      <c r="B643" s="7" t="s">
        <v>466</v>
      </c>
      <c r="C643" s="17">
        <v>25426</v>
      </c>
      <c r="D643" s="7" t="s">
        <v>11</v>
      </c>
      <c r="E643" s="7" t="s">
        <v>74</v>
      </c>
      <c r="F643" s="7" t="s">
        <v>89</v>
      </c>
      <c r="G643" s="8" t="s">
        <v>35</v>
      </c>
      <c r="H643" s="8">
        <v>432309</v>
      </c>
      <c r="I643" s="7" t="s">
        <v>467</v>
      </c>
      <c r="J643" s="44">
        <v>16</v>
      </c>
      <c r="K643" s="44">
        <v>2</v>
      </c>
      <c r="L643" s="44">
        <v>15</v>
      </c>
      <c r="M643" s="8" t="s">
        <v>195</v>
      </c>
      <c r="N643" s="8" t="s">
        <v>196</v>
      </c>
      <c r="O643" s="8" t="s">
        <v>173</v>
      </c>
    </row>
    <row r="644" spans="2:15" x14ac:dyDescent="0.25">
      <c r="B644" s="7" t="s">
        <v>459</v>
      </c>
      <c r="C644" s="17">
        <v>23475</v>
      </c>
      <c r="D644" s="7" t="s">
        <v>11</v>
      </c>
      <c r="E644" s="7" t="s">
        <v>461</v>
      </c>
      <c r="F644" s="7" t="s">
        <v>68</v>
      </c>
      <c r="G644" s="45" t="s">
        <v>35</v>
      </c>
      <c r="H644" s="8">
        <v>570530</v>
      </c>
      <c r="I644" s="7" t="s">
        <v>446</v>
      </c>
      <c r="J644" s="44">
        <v>24</v>
      </c>
      <c r="K644" s="44">
        <v>3</v>
      </c>
      <c r="L644" s="44">
        <v>12</v>
      </c>
      <c r="M644" s="8" t="s">
        <v>196</v>
      </c>
      <c r="N644" s="8" t="s">
        <v>198</v>
      </c>
      <c r="O644" s="8" t="s">
        <v>173</v>
      </c>
    </row>
    <row r="645" spans="2:15" x14ac:dyDescent="0.25">
      <c r="B645" s="7" t="s">
        <v>475</v>
      </c>
      <c r="C645" s="17">
        <v>27594</v>
      </c>
      <c r="D645" s="7" t="s">
        <v>11</v>
      </c>
      <c r="E645" s="7" t="s">
        <v>476</v>
      </c>
      <c r="F645" s="7" t="s">
        <v>264</v>
      </c>
      <c r="G645" s="45" t="s">
        <v>35</v>
      </c>
      <c r="H645" s="8">
        <v>570530</v>
      </c>
      <c r="I645" s="7" t="s">
        <v>446</v>
      </c>
      <c r="J645" s="44">
        <v>8</v>
      </c>
      <c r="K645" s="44">
        <v>1</v>
      </c>
      <c r="L645" s="44">
        <v>12</v>
      </c>
      <c r="M645" s="8" t="s">
        <v>67</v>
      </c>
      <c r="N645" s="18">
        <v>44305</v>
      </c>
      <c r="O645" s="8" t="s">
        <v>60</v>
      </c>
    </row>
    <row r="646" spans="2:15" x14ac:dyDescent="0.25">
      <c r="B646" s="7" t="s">
        <v>475</v>
      </c>
      <c r="C646" s="17">
        <v>27744</v>
      </c>
      <c r="D646" s="7" t="s">
        <v>11</v>
      </c>
      <c r="E646" s="7" t="s">
        <v>476</v>
      </c>
      <c r="F646" s="7" t="s">
        <v>89</v>
      </c>
      <c r="G646" s="45" t="s">
        <v>35</v>
      </c>
      <c r="H646" s="8">
        <v>432309</v>
      </c>
      <c r="I646" s="7" t="s">
        <v>467</v>
      </c>
      <c r="J646" s="44">
        <v>16</v>
      </c>
      <c r="K646" s="44">
        <v>2</v>
      </c>
      <c r="L646" s="44">
        <v>11</v>
      </c>
      <c r="M646" s="8" t="s">
        <v>423</v>
      </c>
      <c r="N646" s="18">
        <v>44309</v>
      </c>
      <c r="O646" s="8" t="s">
        <v>60</v>
      </c>
    </row>
    <row r="647" spans="2:15" x14ac:dyDescent="0.25">
      <c r="B647" s="7" t="s">
        <v>475</v>
      </c>
      <c r="C647" s="17">
        <v>27743</v>
      </c>
      <c r="D647" s="7" t="s">
        <v>11</v>
      </c>
      <c r="E647" s="7" t="s">
        <v>476</v>
      </c>
      <c r="F647" s="7" t="s">
        <v>89</v>
      </c>
      <c r="G647" s="45" t="s">
        <v>35</v>
      </c>
      <c r="H647" s="8">
        <v>432309</v>
      </c>
      <c r="I647" s="7" t="s">
        <v>467</v>
      </c>
      <c r="J647" s="44">
        <v>16</v>
      </c>
      <c r="K647" s="44">
        <v>2</v>
      </c>
      <c r="L647" s="44">
        <v>11</v>
      </c>
      <c r="M647" s="8" t="s">
        <v>275</v>
      </c>
      <c r="N647" s="18">
        <v>44323</v>
      </c>
      <c r="O647" s="8" t="s">
        <v>77</v>
      </c>
    </row>
    <row r="648" spans="2:15" x14ac:dyDescent="0.25">
      <c r="B648" s="7" t="s">
        <v>475</v>
      </c>
      <c r="C648" s="17">
        <v>24068</v>
      </c>
      <c r="D648" s="7" t="s">
        <v>11</v>
      </c>
      <c r="E648" s="7" t="s">
        <v>476</v>
      </c>
      <c r="F648" s="7" t="s">
        <v>68</v>
      </c>
      <c r="G648" s="45" t="s">
        <v>35</v>
      </c>
      <c r="H648" s="8">
        <v>514091</v>
      </c>
      <c r="I648" s="7" t="s">
        <v>477</v>
      </c>
      <c r="J648" s="44">
        <v>24</v>
      </c>
      <c r="K648" s="44">
        <v>3</v>
      </c>
      <c r="L648" s="44">
        <v>7</v>
      </c>
      <c r="M648" s="8" t="s">
        <v>76</v>
      </c>
      <c r="N648" s="18">
        <v>44330</v>
      </c>
      <c r="O648" s="8" t="s">
        <v>77</v>
      </c>
    </row>
    <row r="649" spans="2:15" x14ac:dyDescent="0.25">
      <c r="B649" s="7" t="s">
        <v>475</v>
      </c>
      <c r="C649" s="17">
        <v>27742</v>
      </c>
      <c r="D649" s="7" t="s">
        <v>11</v>
      </c>
      <c r="E649" s="7" t="s">
        <v>476</v>
      </c>
      <c r="F649" s="7" t="s">
        <v>89</v>
      </c>
      <c r="G649" s="45" t="s">
        <v>35</v>
      </c>
      <c r="H649" s="8">
        <v>432309</v>
      </c>
      <c r="I649" s="7" t="s">
        <v>467</v>
      </c>
      <c r="J649" s="44">
        <v>16</v>
      </c>
      <c r="K649" s="44">
        <v>2</v>
      </c>
      <c r="L649" s="44">
        <v>11</v>
      </c>
      <c r="M649" s="8" t="s">
        <v>284</v>
      </c>
      <c r="N649" s="18">
        <v>44337</v>
      </c>
      <c r="O649" s="8" t="s">
        <v>77</v>
      </c>
    </row>
    <row r="650" spans="2:15" x14ac:dyDescent="0.25">
      <c r="B650" s="7" t="s">
        <v>475</v>
      </c>
      <c r="C650" s="17">
        <v>28192</v>
      </c>
      <c r="D650" s="7" t="s">
        <v>11</v>
      </c>
      <c r="E650" s="7" t="s">
        <v>476</v>
      </c>
      <c r="F650" s="7" t="s">
        <v>279</v>
      </c>
      <c r="G650" s="45" t="s">
        <v>35</v>
      </c>
      <c r="H650" s="8">
        <v>432309</v>
      </c>
      <c r="I650" s="7" t="s">
        <v>467</v>
      </c>
      <c r="J650" s="44">
        <v>16</v>
      </c>
      <c r="K650" s="44">
        <v>2</v>
      </c>
      <c r="L650" s="44">
        <v>9</v>
      </c>
      <c r="M650" s="8" t="s">
        <v>289</v>
      </c>
      <c r="N650" s="8" t="s">
        <v>290</v>
      </c>
      <c r="O650" s="8" t="s">
        <v>100</v>
      </c>
    </row>
    <row r="651" spans="2:15" x14ac:dyDescent="0.25">
      <c r="B651" s="7" t="s">
        <v>475</v>
      </c>
      <c r="C651" s="17">
        <v>24079</v>
      </c>
      <c r="D651" s="7" t="s">
        <v>11</v>
      </c>
      <c r="E651" s="7" t="s">
        <v>476</v>
      </c>
      <c r="F651" s="7" t="s">
        <v>159</v>
      </c>
      <c r="G651" s="45" t="s">
        <v>35</v>
      </c>
      <c r="H651" s="8">
        <v>570530</v>
      </c>
      <c r="I651" s="7" t="s">
        <v>446</v>
      </c>
      <c r="J651" s="44">
        <v>16</v>
      </c>
      <c r="K651" s="44">
        <v>2</v>
      </c>
      <c r="L651" s="44">
        <v>9</v>
      </c>
      <c r="M651" s="8" t="s">
        <v>295</v>
      </c>
      <c r="N651" s="8" t="s">
        <v>102</v>
      </c>
      <c r="O651" s="8" t="s">
        <v>100</v>
      </c>
    </row>
    <row r="652" spans="2:15" x14ac:dyDescent="0.25">
      <c r="B652" s="7" t="s">
        <v>475</v>
      </c>
      <c r="C652" s="17">
        <v>24067</v>
      </c>
      <c r="D652" s="7" t="s">
        <v>11</v>
      </c>
      <c r="E652" s="7" t="s">
        <v>476</v>
      </c>
      <c r="F652" s="7" t="s">
        <v>68</v>
      </c>
      <c r="G652" s="45" t="s">
        <v>35</v>
      </c>
      <c r="H652" s="8">
        <v>514091</v>
      </c>
      <c r="I652" s="7" t="s">
        <v>477</v>
      </c>
      <c r="J652" s="44">
        <v>24</v>
      </c>
      <c r="K652" s="44">
        <v>3</v>
      </c>
      <c r="L652" s="44">
        <v>8</v>
      </c>
      <c r="M652" s="8" t="s">
        <v>306</v>
      </c>
      <c r="N652" s="8" t="s">
        <v>116</v>
      </c>
      <c r="O652" s="8" t="s">
        <v>100</v>
      </c>
    </row>
    <row r="653" spans="2:15" x14ac:dyDescent="0.25">
      <c r="B653" s="7" t="s">
        <v>475</v>
      </c>
      <c r="C653" s="17">
        <v>24066</v>
      </c>
      <c r="D653" s="7" t="s">
        <v>11</v>
      </c>
      <c r="E653" s="7" t="s">
        <v>476</v>
      </c>
      <c r="F653" s="7" t="s">
        <v>68</v>
      </c>
      <c r="G653" s="45" t="s">
        <v>35</v>
      </c>
      <c r="H653" s="8">
        <v>514091</v>
      </c>
      <c r="I653" s="7" t="s">
        <v>477</v>
      </c>
      <c r="J653" s="44">
        <v>24</v>
      </c>
      <c r="K653" s="44">
        <v>3</v>
      </c>
      <c r="L653" s="44">
        <v>8</v>
      </c>
      <c r="M653" s="8" t="s">
        <v>310</v>
      </c>
      <c r="N653" s="8" t="s">
        <v>123</v>
      </c>
      <c r="O653" s="8" t="s">
        <v>119</v>
      </c>
    </row>
    <row r="654" spans="2:15" x14ac:dyDescent="0.25">
      <c r="B654" s="7" t="s">
        <v>475</v>
      </c>
      <c r="C654" s="17">
        <v>27562</v>
      </c>
      <c r="D654" s="7" t="s">
        <v>11</v>
      </c>
      <c r="E654" s="7" t="s">
        <v>476</v>
      </c>
      <c r="F654" s="7" t="s">
        <v>199</v>
      </c>
      <c r="G654" s="45" t="s">
        <v>35</v>
      </c>
      <c r="H654" s="8">
        <v>570441</v>
      </c>
      <c r="I654" s="7" t="s">
        <v>480</v>
      </c>
      <c r="J654" s="44">
        <v>8</v>
      </c>
      <c r="K654" s="44">
        <v>1</v>
      </c>
      <c r="L654" s="44">
        <v>10</v>
      </c>
      <c r="M654" s="8" t="s">
        <v>129</v>
      </c>
      <c r="N654" s="8" t="s">
        <v>129</v>
      </c>
      <c r="O654" s="8" t="s">
        <v>119</v>
      </c>
    </row>
    <row r="655" spans="2:15" x14ac:dyDescent="0.25">
      <c r="B655" s="7" t="s">
        <v>475</v>
      </c>
      <c r="C655" s="17">
        <v>29328</v>
      </c>
      <c r="D655" s="7" t="s">
        <v>11</v>
      </c>
      <c r="E655" s="7" t="s">
        <v>476</v>
      </c>
      <c r="F655" s="7" t="s">
        <v>302</v>
      </c>
      <c r="G655" s="45" t="s">
        <v>35</v>
      </c>
      <c r="H655" s="8">
        <v>338549</v>
      </c>
      <c r="I655" s="7" t="s">
        <v>479</v>
      </c>
      <c r="J655" s="44">
        <v>8</v>
      </c>
      <c r="K655" s="44">
        <v>1</v>
      </c>
      <c r="L655" s="44">
        <v>9</v>
      </c>
      <c r="M655" s="8" t="s">
        <v>357</v>
      </c>
      <c r="N655" s="8" t="s">
        <v>357</v>
      </c>
      <c r="O655" s="8" t="s">
        <v>119</v>
      </c>
    </row>
    <row r="656" spans="2:15" x14ac:dyDescent="0.25">
      <c r="B656" s="7" t="s">
        <v>475</v>
      </c>
      <c r="C656" s="17">
        <v>24087</v>
      </c>
      <c r="D656" s="7" t="s">
        <v>11</v>
      </c>
      <c r="E656" s="7" t="s">
        <v>476</v>
      </c>
      <c r="F656" s="7" t="s">
        <v>34</v>
      </c>
      <c r="G656" s="45" t="s">
        <v>35</v>
      </c>
      <c r="H656" s="8">
        <v>514091</v>
      </c>
      <c r="I656" s="7" t="s">
        <v>477</v>
      </c>
      <c r="J656" s="44">
        <v>8</v>
      </c>
      <c r="K656" s="44">
        <v>1</v>
      </c>
      <c r="L656" s="44">
        <v>10</v>
      </c>
      <c r="M656" s="8" t="s">
        <v>444</v>
      </c>
      <c r="N656" s="8" t="s">
        <v>444</v>
      </c>
      <c r="O656" s="8" t="s">
        <v>119</v>
      </c>
    </row>
    <row r="657" spans="2:15" x14ac:dyDescent="0.25">
      <c r="B657" s="7" t="s">
        <v>475</v>
      </c>
      <c r="C657" s="17">
        <v>27561</v>
      </c>
      <c r="D657" s="7" t="s">
        <v>11</v>
      </c>
      <c r="E657" s="7" t="s">
        <v>476</v>
      </c>
      <c r="F657" s="7" t="s">
        <v>199</v>
      </c>
      <c r="G657" s="45" t="s">
        <v>35</v>
      </c>
      <c r="H657" s="8">
        <v>570441</v>
      </c>
      <c r="I657" s="7" t="s">
        <v>480</v>
      </c>
      <c r="J657" s="44">
        <v>8</v>
      </c>
      <c r="K657" s="44">
        <v>1</v>
      </c>
      <c r="L657" s="44">
        <v>11</v>
      </c>
      <c r="M657" s="8" t="s">
        <v>429</v>
      </c>
      <c r="N657" s="8" t="s">
        <v>429</v>
      </c>
      <c r="O657" s="8" t="s">
        <v>141</v>
      </c>
    </row>
    <row r="658" spans="2:15" x14ac:dyDescent="0.25">
      <c r="B658" s="7" t="s">
        <v>475</v>
      </c>
      <c r="C658" s="17">
        <v>28190</v>
      </c>
      <c r="D658" s="7" t="s">
        <v>11</v>
      </c>
      <c r="E658" s="7" t="s">
        <v>476</v>
      </c>
      <c r="F658" s="7" t="s">
        <v>40</v>
      </c>
      <c r="G658" s="45" t="s">
        <v>35</v>
      </c>
      <c r="H658" s="8">
        <v>514091</v>
      </c>
      <c r="I658" s="7" t="s">
        <v>477</v>
      </c>
      <c r="J658" s="44">
        <v>24</v>
      </c>
      <c r="K658" s="44">
        <v>3</v>
      </c>
      <c r="L658" s="44">
        <v>12</v>
      </c>
      <c r="M658" s="8" t="s">
        <v>154</v>
      </c>
      <c r="N658" s="8" t="s">
        <v>156</v>
      </c>
      <c r="O658" s="8" t="s">
        <v>141</v>
      </c>
    </row>
    <row r="659" spans="2:15" x14ac:dyDescent="0.25">
      <c r="B659" s="7" t="s">
        <v>475</v>
      </c>
      <c r="C659" s="17">
        <v>24078</v>
      </c>
      <c r="D659" s="7" t="s">
        <v>11</v>
      </c>
      <c r="E659" s="7" t="s">
        <v>476</v>
      </c>
      <c r="F659" s="7" t="s">
        <v>159</v>
      </c>
      <c r="G659" s="45" t="s">
        <v>35</v>
      </c>
      <c r="H659" s="8">
        <v>570530</v>
      </c>
      <c r="I659" s="7" t="s">
        <v>446</v>
      </c>
      <c r="J659" s="44">
        <v>16</v>
      </c>
      <c r="K659" s="44">
        <v>2</v>
      </c>
      <c r="L659" s="44">
        <v>9</v>
      </c>
      <c r="M659" s="8" t="s">
        <v>172</v>
      </c>
      <c r="N659" s="8" t="s">
        <v>174</v>
      </c>
      <c r="O659" s="8" t="s">
        <v>173</v>
      </c>
    </row>
    <row r="660" spans="2:15" x14ac:dyDescent="0.25">
      <c r="B660" s="7" t="s">
        <v>475</v>
      </c>
      <c r="C660" s="17">
        <v>24086</v>
      </c>
      <c r="D660" s="7" t="s">
        <v>11</v>
      </c>
      <c r="E660" s="7" t="s">
        <v>476</v>
      </c>
      <c r="F660" s="7" t="s">
        <v>34</v>
      </c>
      <c r="G660" s="45" t="s">
        <v>35</v>
      </c>
      <c r="H660" s="8">
        <v>514091</v>
      </c>
      <c r="I660" s="7" t="s">
        <v>477</v>
      </c>
      <c r="J660" s="44">
        <v>8</v>
      </c>
      <c r="K660" s="44">
        <v>1</v>
      </c>
      <c r="L660" s="44">
        <v>10</v>
      </c>
      <c r="M660" s="8" t="s">
        <v>177</v>
      </c>
      <c r="N660" s="8" t="s">
        <v>177</v>
      </c>
      <c r="O660" s="8" t="s">
        <v>173</v>
      </c>
    </row>
    <row r="661" spans="2:15" x14ac:dyDescent="0.25">
      <c r="B661" s="7" t="s">
        <v>475</v>
      </c>
      <c r="C661" s="17">
        <v>27560</v>
      </c>
      <c r="D661" s="7" t="s">
        <v>11</v>
      </c>
      <c r="E661" s="7" t="s">
        <v>476</v>
      </c>
      <c r="F661" s="7" t="s">
        <v>199</v>
      </c>
      <c r="G661" s="45" t="s">
        <v>35</v>
      </c>
      <c r="H661" s="8">
        <v>570441</v>
      </c>
      <c r="I661" s="7" t="s">
        <v>480</v>
      </c>
      <c r="J661" s="44">
        <v>8</v>
      </c>
      <c r="K661" s="44">
        <v>1</v>
      </c>
      <c r="L661" s="44">
        <v>11</v>
      </c>
      <c r="M661" s="8" t="s">
        <v>182</v>
      </c>
      <c r="N661" s="8" t="s">
        <v>182</v>
      </c>
      <c r="O661" s="8" t="s">
        <v>173</v>
      </c>
    </row>
    <row r="662" spans="2:15" x14ac:dyDescent="0.25">
      <c r="B662" s="7" t="s">
        <v>475</v>
      </c>
      <c r="C662" s="17">
        <v>27593</v>
      </c>
      <c r="D662" s="7" t="s">
        <v>11</v>
      </c>
      <c r="E662" s="7" t="s">
        <v>476</v>
      </c>
      <c r="F662" s="7" t="s">
        <v>264</v>
      </c>
      <c r="G662" s="45" t="s">
        <v>35</v>
      </c>
      <c r="H662" s="8">
        <v>570530</v>
      </c>
      <c r="I662" s="7" t="s">
        <v>446</v>
      </c>
      <c r="J662" s="44">
        <v>8</v>
      </c>
      <c r="K662" s="44">
        <v>1</v>
      </c>
      <c r="L662" s="44">
        <v>12</v>
      </c>
      <c r="M662" s="8" t="s">
        <v>195</v>
      </c>
      <c r="N662" s="8" t="s">
        <v>195</v>
      </c>
      <c r="O662" s="8" t="s">
        <v>173</v>
      </c>
    </row>
    <row r="663" spans="2:15" x14ac:dyDescent="0.25">
      <c r="B663" s="7" t="s">
        <v>475</v>
      </c>
      <c r="C663" s="17">
        <v>24077</v>
      </c>
      <c r="D663" s="7" t="s">
        <v>11</v>
      </c>
      <c r="E663" s="7" t="s">
        <v>476</v>
      </c>
      <c r="F663" s="7" t="s">
        <v>159</v>
      </c>
      <c r="G663" s="45" t="s">
        <v>35</v>
      </c>
      <c r="H663" s="8">
        <v>570530</v>
      </c>
      <c r="I663" s="7" t="s">
        <v>446</v>
      </c>
      <c r="J663" s="44">
        <v>16</v>
      </c>
      <c r="K663" s="44">
        <v>2</v>
      </c>
      <c r="L663" s="44">
        <v>9</v>
      </c>
      <c r="M663" s="8" t="s">
        <v>365</v>
      </c>
      <c r="N663" s="8" t="s">
        <v>228</v>
      </c>
      <c r="O663" s="8" t="s">
        <v>227</v>
      </c>
    </row>
    <row r="664" spans="2:15" x14ac:dyDescent="0.25">
      <c r="B664" s="7" t="s">
        <v>475</v>
      </c>
      <c r="C664" s="17">
        <v>27559</v>
      </c>
      <c r="D664" s="7" t="s">
        <v>11</v>
      </c>
      <c r="E664" s="7" t="s">
        <v>476</v>
      </c>
      <c r="F664" s="7" t="s">
        <v>199</v>
      </c>
      <c r="G664" s="45" t="s">
        <v>35</v>
      </c>
      <c r="H664" s="8">
        <v>570441</v>
      </c>
      <c r="I664" s="7" t="s">
        <v>480</v>
      </c>
      <c r="J664" s="44">
        <v>8</v>
      </c>
      <c r="K664" s="44">
        <v>1</v>
      </c>
      <c r="L664" s="44">
        <v>11</v>
      </c>
      <c r="M664" s="8" t="s">
        <v>230</v>
      </c>
      <c r="N664" s="8" t="s">
        <v>230</v>
      </c>
      <c r="O664" s="8" t="s">
        <v>227</v>
      </c>
    </row>
    <row r="665" spans="2:15" x14ac:dyDescent="0.25">
      <c r="B665" s="7" t="s">
        <v>475</v>
      </c>
      <c r="C665" s="17">
        <v>27558</v>
      </c>
      <c r="D665" s="7" t="s">
        <v>11</v>
      </c>
      <c r="E665" s="7" t="s">
        <v>476</v>
      </c>
      <c r="F665" s="7" t="s">
        <v>199</v>
      </c>
      <c r="G665" s="45" t="s">
        <v>35</v>
      </c>
      <c r="H665" s="8">
        <v>570441</v>
      </c>
      <c r="I665" s="7" t="s">
        <v>480</v>
      </c>
      <c r="J665" s="44">
        <v>8</v>
      </c>
      <c r="K665" s="44">
        <v>1</v>
      </c>
      <c r="L665" s="44">
        <v>11</v>
      </c>
      <c r="M665" s="8" t="s">
        <v>247</v>
      </c>
      <c r="N665" s="8" t="s">
        <v>247</v>
      </c>
      <c r="O665" s="8" t="s">
        <v>249</v>
      </c>
    </row>
    <row r="666" spans="2:15" x14ac:dyDescent="0.25">
      <c r="B666" s="7" t="s">
        <v>268</v>
      </c>
      <c r="C666" s="17">
        <v>20999</v>
      </c>
      <c r="D666" s="7" t="s">
        <v>12</v>
      </c>
      <c r="E666" s="7" t="s">
        <v>442</v>
      </c>
      <c r="F666" s="7" t="s">
        <v>171</v>
      </c>
      <c r="G666" s="45" t="s">
        <v>72</v>
      </c>
      <c r="H666" s="8">
        <v>201741</v>
      </c>
      <c r="I666" s="7" t="s">
        <v>484</v>
      </c>
      <c r="J666" s="44">
        <v>8</v>
      </c>
      <c r="K666" s="44">
        <v>1</v>
      </c>
      <c r="L666" s="44">
        <v>15</v>
      </c>
      <c r="M666" s="8" t="s">
        <v>76</v>
      </c>
      <c r="N666" s="18">
        <v>44328</v>
      </c>
      <c r="O666" s="8" t="s">
        <v>77</v>
      </c>
    </row>
    <row r="667" spans="2:15" x14ac:dyDescent="0.25">
      <c r="B667" s="7" t="s">
        <v>268</v>
      </c>
      <c r="C667" s="17">
        <v>20998</v>
      </c>
      <c r="D667" s="7" t="s">
        <v>12</v>
      </c>
      <c r="E667" s="7" t="s">
        <v>442</v>
      </c>
      <c r="F667" s="7" t="s">
        <v>171</v>
      </c>
      <c r="G667" s="45" t="s">
        <v>72</v>
      </c>
      <c r="H667" s="8">
        <v>201741</v>
      </c>
      <c r="I667" s="7" t="s">
        <v>484</v>
      </c>
      <c r="J667" s="44">
        <v>8</v>
      </c>
      <c r="K667" s="44">
        <v>1</v>
      </c>
      <c r="L667" s="44">
        <v>9</v>
      </c>
      <c r="M667" s="8" t="s">
        <v>87</v>
      </c>
      <c r="N667" s="18">
        <v>44335</v>
      </c>
      <c r="O667" s="8" t="s">
        <v>77</v>
      </c>
    </row>
    <row r="668" spans="2:15" x14ac:dyDescent="0.25">
      <c r="B668" s="7" t="s">
        <v>268</v>
      </c>
      <c r="C668" s="17">
        <v>21033</v>
      </c>
      <c r="D668" s="7" t="s">
        <v>12</v>
      </c>
      <c r="E668" s="7" t="s">
        <v>442</v>
      </c>
      <c r="F668" s="7" t="s">
        <v>331</v>
      </c>
      <c r="G668" s="45" t="s">
        <v>35</v>
      </c>
      <c r="H668" s="8">
        <v>374123</v>
      </c>
      <c r="I668" s="7" t="s">
        <v>412</v>
      </c>
      <c r="J668" s="44">
        <v>32</v>
      </c>
      <c r="K668" s="44">
        <v>4</v>
      </c>
      <c r="L668" s="44">
        <v>13</v>
      </c>
      <c r="M668" s="8" t="s">
        <v>295</v>
      </c>
      <c r="N668" s="18">
        <v>44357</v>
      </c>
      <c r="O668" s="8" t="s">
        <v>100</v>
      </c>
    </row>
    <row r="669" spans="2:15" x14ac:dyDescent="0.25">
      <c r="B669" s="7" t="s">
        <v>268</v>
      </c>
      <c r="C669" s="17">
        <v>25264</v>
      </c>
      <c r="D669" s="7" t="s">
        <v>11</v>
      </c>
      <c r="E669" s="7" t="s">
        <v>74</v>
      </c>
      <c r="F669" s="7" t="s">
        <v>71</v>
      </c>
      <c r="G669" s="45" t="s">
        <v>72</v>
      </c>
      <c r="H669" s="8">
        <v>315738</v>
      </c>
      <c r="I669" s="7" t="s">
        <v>415</v>
      </c>
      <c r="J669" s="44">
        <v>16</v>
      </c>
      <c r="K669" s="44">
        <v>2</v>
      </c>
      <c r="L669" s="44">
        <v>8</v>
      </c>
      <c r="M669" s="8" t="s">
        <v>299</v>
      </c>
      <c r="N669" s="18">
        <v>44362</v>
      </c>
      <c r="O669" s="8" t="s">
        <v>100</v>
      </c>
    </row>
    <row r="670" spans="2:15" x14ac:dyDescent="0.25">
      <c r="B670" s="7" t="s">
        <v>268</v>
      </c>
      <c r="C670" s="17">
        <v>20996</v>
      </c>
      <c r="D670" s="7" t="s">
        <v>12</v>
      </c>
      <c r="E670" s="7" t="s">
        <v>442</v>
      </c>
      <c r="F670" s="7" t="s">
        <v>71</v>
      </c>
      <c r="G670" s="45" t="s">
        <v>35</v>
      </c>
      <c r="H670" s="8">
        <v>315738</v>
      </c>
      <c r="I670" s="7" t="s">
        <v>415</v>
      </c>
      <c r="J670" s="44">
        <v>16</v>
      </c>
      <c r="K670" s="44">
        <v>2</v>
      </c>
      <c r="L670" s="44">
        <v>7</v>
      </c>
      <c r="M670" s="8" t="s">
        <v>299</v>
      </c>
      <c r="N670" s="18">
        <v>44362</v>
      </c>
      <c r="O670" s="8" t="s">
        <v>100</v>
      </c>
    </row>
    <row r="671" spans="2:15" x14ac:dyDescent="0.25">
      <c r="B671" s="7" t="s">
        <v>268</v>
      </c>
      <c r="C671" s="17">
        <v>23904</v>
      </c>
      <c r="D671" s="7" t="s">
        <v>6</v>
      </c>
      <c r="E671" s="7" t="s">
        <v>489</v>
      </c>
      <c r="F671" s="7" t="s">
        <v>127</v>
      </c>
      <c r="G671" s="45" t="s">
        <v>35</v>
      </c>
      <c r="H671" s="8">
        <v>324620</v>
      </c>
      <c r="I671" s="7" t="s">
        <v>329</v>
      </c>
      <c r="J671" s="44">
        <v>16</v>
      </c>
      <c r="K671" s="44">
        <v>2</v>
      </c>
      <c r="L671" s="44">
        <v>2</v>
      </c>
      <c r="M671" s="8" t="s">
        <v>108</v>
      </c>
      <c r="N671" s="8" t="s">
        <v>304</v>
      </c>
      <c r="O671" s="8" t="s">
        <v>100</v>
      </c>
    </row>
    <row r="672" spans="2:15" x14ac:dyDescent="0.25">
      <c r="B672" s="7" t="s">
        <v>268</v>
      </c>
      <c r="C672" s="17">
        <v>22300</v>
      </c>
      <c r="D672" s="7" t="s">
        <v>12</v>
      </c>
      <c r="E672" s="7" t="s">
        <v>442</v>
      </c>
      <c r="F672" s="7" t="s">
        <v>84</v>
      </c>
      <c r="G672" s="45" t="s">
        <v>72</v>
      </c>
      <c r="H672" s="8">
        <v>201741</v>
      </c>
      <c r="I672" s="7" t="s">
        <v>484</v>
      </c>
      <c r="J672" s="44">
        <v>16</v>
      </c>
      <c r="K672" s="44">
        <v>2</v>
      </c>
      <c r="L672" s="44">
        <v>12</v>
      </c>
      <c r="M672" s="8" t="s">
        <v>310</v>
      </c>
      <c r="N672" s="18">
        <v>44383</v>
      </c>
      <c r="O672" s="8" t="s">
        <v>119</v>
      </c>
    </row>
    <row r="673" spans="2:15" x14ac:dyDescent="0.25">
      <c r="B673" s="7" t="s">
        <v>268</v>
      </c>
      <c r="C673" s="17">
        <v>21004</v>
      </c>
      <c r="D673" s="7" t="s">
        <v>12</v>
      </c>
      <c r="E673" s="7" t="s">
        <v>442</v>
      </c>
      <c r="F673" s="7" t="s">
        <v>127</v>
      </c>
      <c r="G673" s="45" t="s">
        <v>72</v>
      </c>
      <c r="H673" s="8">
        <v>374123</v>
      </c>
      <c r="I673" s="7" t="s">
        <v>412</v>
      </c>
      <c r="J673" s="44">
        <v>16</v>
      </c>
      <c r="K673" s="44">
        <v>2</v>
      </c>
      <c r="L673" s="44">
        <v>9</v>
      </c>
      <c r="M673" s="8" t="s">
        <v>126</v>
      </c>
      <c r="N673" s="8" t="s">
        <v>315</v>
      </c>
      <c r="O673" s="8" t="s">
        <v>119</v>
      </c>
    </row>
    <row r="674" spans="2:15" x14ac:dyDescent="0.25">
      <c r="B674" s="7" t="s">
        <v>268</v>
      </c>
      <c r="C674" s="17">
        <v>21743</v>
      </c>
      <c r="D674" s="7" t="s">
        <v>12</v>
      </c>
      <c r="E674" s="7" t="s">
        <v>494</v>
      </c>
      <c r="F674" s="7" t="s">
        <v>71</v>
      </c>
      <c r="G674" s="45" t="s">
        <v>72</v>
      </c>
      <c r="H674" s="8">
        <v>315738</v>
      </c>
      <c r="I674" s="7" t="s">
        <v>415</v>
      </c>
      <c r="J674" s="44">
        <v>16</v>
      </c>
      <c r="K674" s="44">
        <v>2</v>
      </c>
      <c r="L674" s="44">
        <v>10</v>
      </c>
      <c r="M674" s="8" t="s">
        <v>99</v>
      </c>
      <c r="N674" s="8" t="s">
        <v>290</v>
      </c>
      <c r="O674" s="8" t="s">
        <v>100</v>
      </c>
    </row>
    <row r="675" spans="2:15" x14ac:dyDescent="0.25">
      <c r="B675" s="7" t="s">
        <v>319</v>
      </c>
      <c r="C675" s="17">
        <v>21063</v>
      </c>
      <c r="D675" s="7" t="s">
        <v>12</v>
      </c>
      <c r="E675" s="7" t="s">
        <v>494</v>
      </c>
      <c r="F675" s="7" t="s">
        <v>235</v>
      </c>
      <c r="G675" s="8" t="s">
        <v>35</v>
      </c>
      <c r="H675" s="8">
        <v>598519</v>
      </c>
      <c r="I675" s="7" t="s">
        <v>495</v>
      </c>
      <c r="J675" s="38">
        <v>8</v>
      </c>
      <c r="K675" s="38">
        <v>1</v>
      </c>
      <c r="L675" s="38">
        <v>4</v>
      </c>
      <c r="M675" s="8" t="s">
        <v>192</v>
      </c>
      <c r="N675" s="18">
        <v>44462</v>
      </c>
      <c r="O675" s="8" t="s">
        <v>173</v>
      </c>
    </row>
    <row r="676" spans="2:15" x14ac:dyDescent="0.25">
      <c r="B676" s="7" t="s">
        <v>319</v>
      </c>
      <c r="C676" s="17">
        <v>21064</v>
      </c>
      <c r="D676" s="7" t="s">
        <v>12</v>
      </c>
      <c r="E676" s="7" t="s">
        <v>494</v>
      </c>
      <c r="F676" s="7" t="s">
        <v>235</v>
      </c>
      <c r="G676" s="8" t="s">
        <v>35</v>
      </c>
      <c r="H676" s="8">
        <v>598519</v>
      </c>
      <c r="I676" s="7" t="s">
        <v>495</v>
      </c>
      <c r="J676" s="38">
        <v>8</v>
      </c>
      <c r="K676" s="38">
        <v>1</v>
      </c>
      <c r="L676" s="38">
        <v>3</v>
      </c>
      <c r="M676" s="8" t="s">
        <v>205</v>
      </c>
      <c r="N676" s="18">
        <v>44476</v>
      </c>
      <c r="O676" s="8" t="s">
        <v>202</v>
      </c>
    </row>
  </sheetData>
  <autoFilter ref="A4:O676" xr:uid="{7AA5F393-44CC-4F21-AAD1-0A6F4C13CDB3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F33"/>
  <sheetViews>
    <sheetView workbookViewId="0">
      <selection activeCell="D29" sqref="D29"/>
    </sheetView>
  </sheetViews>
  <sheetFormatPr baseColWidth="10" defaultColWidth="11.42578125" defaultRowHeight="15" x14ac:dyDescent="0.25"/>
  <cols>
    <col min="3" max="3" width="3.7109375" customWidth="1"/>
    <col min="4" max="4" width="67.140625" customWidth="1"/>
    <col min="5" max="5" width="4.5703125" customWidth="1"/>
    <col min="6" max="6" width="64.42578125" customWidth="1"/>
  </cols>
  <sheetData>
    <row r="4" spans="2:6" x14ac:dyDescent="0.25">
      <c r="D4" s="72" t="s">
        <v>23</v>
      </c>
      <c r="F4" s="72" t="s">
        <v>522</v>
      </c>
    </row>
    <row r="5" spans="2:6" x14ac:dyDescent="0.25">
      <c r="B5" t="s">
        <v>699</v>
      </c>
      <c r="D5" s="50" t="s">
        <v>11</v>
      </c>
      <c r="F5" s="50" t="s">
        <v>700</v>
      </c>
    </row>
    <row r="6" spans="2:6" x14ac:dyDescent="0.25">
      <c r="B6" t="s">
        <v>701</v>
      </c>
      <c r="D6" s="50" t="s">
        <v>7</v>
      </c>
      <c r="F6" s="50" t="s">
        <v>71</v>
      </c>
    </row>
    <row r="7" spans="2:6" x14ac:dyDescent="0.25">
      <c r="D7" s="50" t="s">
        <v>14</v>
      </c>
      <c r="F7" s="50" t="s">
        <v>627</v>
      </c>
    </row>
    <row r="8" spans="2:6" x14ac:dyDescent="0.25">
      <c r="D8" s="50" t="s">
        <v>12</v>
      </c>
      <c r="F8" s="50" t="s">
        <v>171</v>
      </c>
    </row>
    <row r="9" spans="2:6" x14ac:dyDescent="0.25">
      <c r="B9" t="s">
        <v>603</v>
      </c>
      <c r="D9" s="50" t="s">
        <v>15</v>
      </c>
      <c r="F9" s="50" t="s">
        <v>302</v>
      </c>
    </row>
    <row r="10" spans="2:6" x14ac:dyDescent="0.25">
      <c r="B10" t="s">
        <v>606</v>
      </c>
      <c r="D10" s="50" t="s">
        <v>6</v>
      </c>
      <c r="F10" s="50" t="s">
        <v>626</v>
      </c>
    </row>
    <row r="11" spans="2:6" x14ac:dyDescent="0.25">
      <c r="D11" s="50" t="s">
        <v>13</v>
      </c>
      <c r="F11" s="50" t="s">
        <v>702</v>
      </c>
    </row>
    <row r="12" spans="2:6" x14ac:dyDescent="0.25">
      <c r="D12" s="50" t="s">
        <v>8</v>
      </c>
      <c r="F12" s="50" t="s">
        <v>669</v>
      </c>
    </row>
    <row r="13" spans="2:6" x14ac:dyDescent="0.25">
      <c r="D13" s="50" t="s">
        <v>10</v>
      </c>
      <c r="F13" s="50" t="s">
        <v>703</v>
      </c>
    </row>
    <row r="14" spans="2:6" x14ac:dyDescent="0.25">
      <c r="D14" s="50" t="s">
        <v>9</v>
      </c>
      <c r="F14" s="50" t="s">
        <v>105</v>
      </c>
    </row>
    <row r="15" spans="2:6" x14ac:dyDescent="0.25">
      <c r="D15" s="50" t="s">
        <v>704</v>
      </c>
      <c r="F15" s="50" t="s">
        <v>705</v>
      </c>
    </row>
    <row r="16" spans="2:6" x14ac:dyDescent="0.25">
      <c r="F16" s="50" t="s">
        <v>635</v>
      </c>
    </row>
    <row r="17" spans="6:6" x14ac:dyDescent="0.25">
      <c r="F17" s="50" t="s">
        <v>127</v>
      </c>
    </row>
    <row r="18" spans="6:6" x14ac:dyDescent="0.25">
      <c r="F18" s="50" t="s">
        <v>331</v>
      </c>
    </row>
    <row r="19" spans="6:6" x14ac:dyDescent="0.25">
      <c r="F19" s="50" t="s">
        <v>390</v>
      </c>
    </row>
    <row r="20" spans="6:6" x14ac:dyDescent="0.25">
      <c r="F20" s="50" t="s">
        <v>288</v>
      </c>
    </row>
    <row r="21" spans="6:6" x14ac:dyDescent="0.25">
      <c r="F21" s="50" t="s">
        <v>84</v>
      </c>
    </row>
    <row r="22" spans="6:6" x14ac:dyDescent="0.25">
      <c r="F22" s="50" t="s">
        <v>706</v>
      </c>
    </row>
    <row r="23" spans="6:6" x14ac:dyDescent="0.25">
      <c r="F23" s="50" t="s">
        <v>605</v>
      </c>
    </row>
    <row r="24" spans="6:6" x14ac:dyDescent="0.25">
      <c r="F24" s="50" t="s">
        <v>707</v>
      </c>
    </row>
    <row r="25" spans="6:6" x14ac:dyDescent="0.25">
      <c r="F25" s="50" t="s">
        <v>632</v>
      </c>
    </row>
    <row r="26" spans="6:6" x14ac:dyDescent="0.25">
      <c r="F26" s="50" t="s">
        <v>708</v>
      </c>
    </row>
    <row r="27" spans="6:6" x14ac:dyDescent="0.25">
      <c r="F27" s="50" t="s">
        <v>321</v>
      </c>
    </row>
    <row r="28" spans="6:6" x14ac:dyDescent="0.25">
      <c r="F28" s="50" t="s">
        <v>362</v>
      </c>
    </row>
    <row r="29" spans="6:6" x14ac:dyDescent="0.25">
      <c r="F29" s="50" t="s">
        <v>709</v>
      </c>
    </row>
    <row r="30" spans="6:6" x14ac:dyDescent="0.25">
      <c r="F30" s="50" t="s">
        <v>602</v>
      </c>
    </row>
    <row r="31" spans="6:6" x14ac:dyDescent="0.25">
      <c r="F31" s="50" t="s">
        <v>710</v>
      </c>
    </row>
    <row r="32" spans="6:6" x14ac:dyDescent="0.25">
      <c r="F32" s="50" t="s">
        <v>711</v>
      </c>
    </row>
    <row r="33" spans="6:6" x14ac:dyDescent="0.25">
      <c r="F33" s="50" t="s">
        <v>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1:AA196"/>
  <sheetViews>
    <sheetView workbookViewId="0">
      <pane xSplit="5" ySplit="7" topLeftCell="F125" activePane="bottomRight" state="frozenSplit"/>
      <selection pane="topRight" activeCell="B1" sqref="B1"/>
      <selection pane="bottomLeft" activeCell="A21" sqref="A21"/>
      <selection pane="bottomRight" activeCell="I199" sqref="I199"/>
    </sheetView>
  </sheetViews>
  <sheetFormatPr baseColWidth="10" defaultColWidth="11.42578125" defaultRowHeight="15" x14ac:dyDescent="0.25"/>
  <cols>
    <col min="1" max="1" width="5.5703125" customWidth="1"/>
    <col min="2" max="2" width="6.140625" style="1" hidden="1" customWidth="1"/>
    <col min="3" max="3" width="4.85546875" hidden="1" customWidth="1"/>
    <col min="4" max="4" width="6.28515625" hidden="1" customWidth="1"/>
    <col min="5" max="5" width="11.5703125" style="1" customWidth="1"/>
    <col min="6" max="6" width="42.85546875" customWidth="1"/>
    <col min="7" max="7" width="28.7109375" customWidth="1"/>
    <col min="8" max="8" width="44.5703125" customWidth="1"/>
    <col min="9" max="9" width="13.5703125" customWidth="1"/>
    <col min="10" max="10" width="7.85546875" style="1" hidden="1" customWidth="1"/>
    <col min="11" max="11" width="31" style="1" hidden="1" customWidth="1"/>
    <col min="12" max="12" width="10.85546875" style="2" customWidth="1"/>
    <col min="13" max="13" width="6.42578125" style="2" customWidth="1"/>
    <col min="14" max="14" width="10.85546875" style="2" customWidth="1"/>
    <col min="15" max="15" width="11.42578125" customWidth="1"/>
    <col min="16" max="16" width="10.85546875" style="19" customWidth="1"/>
    <col min="17" max="17" width="10.42578125" style="19" customWidth="1"/>
    <col min="18" max="20" width="11.7109375" style="1" customWidth="1"/>
    <col min="21" max="21" width="9" style="1" customWidth="1"/>
    <col min="22" max="22" width="12.85546875" style="1" customWidth="1"/>
    <col min="23" max="23" width="15.140625" style="1" customWidth="1"/>
    <col min="24" max="24" width="11.85546875" style="1" customWidth="1"/>
    <col min="25" max="25" width="25.5703125" customWidth="1"/>
    <col min="26" max="26" width="48.42578125" customWidth="1"/>
  </cols>
  <sheetData>
    <row r="1" spans="1:27" s="28" customFormat="1" ht="14.25" customHeight="1" x14ac:dyDescent="0.3">
      <c r="B1" s="29"/>
      <c r="E1" s="29"/>
      <c r="H1" s="33" t="s">
        <v>713</v>
      </c>
      <c r="I1" s="29">
        <v>3</v>
      </c>
      <c r="J1" s="29"/>
      <c r="K1" s="29"/>
      <c r="L1" s="28" t="s">
        <v>714</v>
      </c>
      <c r="M1" s="29">
        <f>COUNT(Q11:Q107)</f>
        <v>97</v>
      </c>
      <c r="N1" s="30"/>
      <c r="P1" s="31"/>
      <c r="Q1" s="31"/>
      <c r="R1" s="32"/>
      <c r="S1" s="32"/>
      <c r="T1" s="32"/>
      <c r="U1" s="33"/>
      <c r="V1" s="32"/>
      <c r="W1" s="29"/>
      <c r="X1" s="29"/>
    </row>
    <row r="2" spans="1:27" s="28" customFormat="1" x14ac:dyDescent="0.3">
      <c r="B2" s="29"/>
      <c r="C2" s="34"/>
      <c r="D2" s="34"/>
      <c r="E2" s="29"/>
      <c r="F2" s="34" t="s">
        <v>715</v>
      </c>
      <c r="G2" s="29">
        <f>COUNT(E8:E195)</f>
        <v>188</v>
      </c>
      <c r="H2" s="33" t="s">
        <v>716</v>
      </c>
      <c r="I2" s="48">
        <f>SUM(Q8:Q10)</f>
        <v>28</v>
      </c>
      <c r="J2" s="32"/>
      <c r="K2" s="49"/>
      <c r="L2" s="28" t="s">
        <v>717</v>
      </c>
      <c r="M2" s="48">
        <f>SUM(Q11:Q107)</f>
        <v>356</v>
      </c>
      <c r="N2" s="30"/>
      <c r="P2" s="35"/>
      <c r="Q2" s="35"/>
      <c r="R2" s="29"/>
      <c r="S2" s="29"/>
      <c r="T2" s="29"/>
      <c r="U2" s="32"/>
      <c r="V2" s="32"/>
      <c r="W2" s="29"/>
      <c r="X2" s="29"/>
    </row>
    <row r="3" spans="1:27" s="28" customFormat="1" x14ac:dyDescent="0.3">
      <c r="B3" s="29"/>
      <c r="C3" s="34"/>
      <c r="D3" s="34"/>
      <c r="E3" s="36">
        <f>Seguimiento!T3</f>
        <v>44561</v>
      </c>
      <c r="F3" s="34" t="s">
        <v>718</v>
      </c>
      <c r="G3" s="37">
        <f>SUM(N8:N195)</f>
        <v>1068</v>
      </c>
      <c r="H3" s="34" t="s">
        <v>719</v>
      </c>
      <c r="I3" s="29">
        <f>COUNTIFS($U$94:$U$195,1,$V$94:$V$195,"Realizado")</f>
        <v>83</v>
      </c>
      <c r="J3" s="32"/>
      <c r="K3" s="49"/>
      <c r="L3" s="30" t="s">
        <v>720</v>
      </c>
      <c r="M3" s="122">
        <f>SUM(Q108:Q195)</f>
        <v>928</v>
      </c>
      <c r="N3" s="30"/>
      <c r="P3" s="35"/>
      <c r="Q3" s="35"/>
      <c r="R3" s="29"/>
      <c r="S3" s="29"/>
      <c r="T3" s="29"/>
      <c r="U3" s="29"/>
      <c r="V3" s="29"/>
      <c r="W3" s="29"/>
      <c r="X3" s="29"/>
    </row>
    <row r="4" spans="1:27" s="28" customFormat="1" x14ac:dyDescent="0.3">
      <c r="B4" s="29"/>
      <c r="C4" s="34"/>
      <c r="D4" s="34"/>
      <c r="E4" s="29"/>
      <c r="F4" s="34" t="s">
        <v>721</v>
      </c>
      <c r="G4" s="29">
        <f>COUNTIF($U$108:$U$213,1)</f>
        <v>88</v>
      </c>
      <c r="H4" s="34" t="s">
        <v>722</v>
      </c>
      <c r="I4" s="29">
        <f>SUMIF($V$8:$V$195,"Realizado",$W$8:$W$195)</f>
        <v>723</v>
      </c>
      <c r="J4" s="32"/>
      <c r="K4" s="49"/>
      <c r="L4" s="30" t="s">
        <v>723</v>
      </c>
      <c r="M4" s="121">
        <f>G2-I1-M1</f>
        <v>88</v>
      </c>
      <c r="N4" s="30"/>
      <c r="P4" s="35"/>
      <c r="Q4" s="35"/>
      <c r="R4" s="29"/>
      <c r="S4" s="29"/>
      <c r="T4" s="29"/>
      <c r="U4" s="29"/>
      <c r="V4" s="29"/>
      <c r="W4" s="29"/>
      <c r="X4" s="29"/>
    </row>
    <row r="5" spans="1:27" s="28" customFormat="1" x14ac:dyDescent="0.3">
      <c r="B5" s="29"/>
      <c r="C5" s="34"/>
      <c r="D5" s="34"/>
      <c r="E5" s="29"/>
      <c r="F5" s="34" t="s">
        <v>724</v>
      </c>
      <c r="G5" s="29">
        <f>SUMIF(U108:U195,1,Q108:Q195)</f>
        <v>928</v>
      </c>
      <c r="H5" s="34" t="s">
        <v>725</v>
      </c>
      <c r="I5" s="29">
        <f>COUNTIFS($U$94:$U$195,1,$V$94:$V$195,"Cancelado")</f>
        <v>6</v>
      </c>
      <c r="J5" s="32"/>
      <c r="K5" s="49"/>
      <c r="L5" s="30"/>
      <c r="M5" s="30"/>
      <c r="N5" s="30"/>
      <c r="P5" s="35"/>
      <c r="Q5" s="35"/>
      <c r="R5" s="29"/>
      <c r="S5" s="29"/>
      <c r="T5" s="29"/>
      <c r="U5" s="29"/>
      <c r="V5" s="29"/>
      <c r="W5" s="29"/>
      <c r="X5" s="29"/>
    </row>
    <row r="7" spans="1:27" s="3" customFormat="1" ht="31.5" x14ac:dyDescent="0.25">
      <c r="A7" s="4" t="s">
        <v>20</v>
      </c>
      <c r="B7" s="4" t="s">
        <v>21</v>
      </c>
      <c r="C7" s="4" t="s">
        <v>2</v>
      </c>
      <c r="D7" s="4" t="s">
        <v>726</v>
      </c>
      <c r="E7" s="4" t="s">
        <v>22</v>
      </c>
      <c r="F7" s="4" t="s">
        <v>23</v>
      </c>
      <c r="G7" s="4" t="s">
        <v>24</v>
      </c>
      <c r="H7" s="4" t="s">
        <v>25</v>
      </c>
      <c r="I7" s="5" t="s">
        <v>26</v>
      </c>
      <c r="J7" s="4" t="s">
        <v>27</v>
      </c>
      <c r="K7" s="4" t="s">
        <v>28</v>
      </c>
      <c r="L7" s="5" t="s">
        <v>29</v>
      </c>
      <c r="M7" s="4" t="s">
        <v>30</v>
      </c>
      <c r="N7" s="5" t="s">
        <v>31</v>
      </c>
      <c r="O7" s="5" t="s">
        <v>0</v>
      </c>
      <c r="P7" s="21" t="s">
        <v>19</v>
      </c>
      <c r="Q7" s="5" t="s">
        <v>31</v>
      </c>
      <c r="R7" s="4" t="s">
        <v>17</v>
      </c>
      <c r="S7" s="5" t="s">
        <v>0</v>
      </c>
      <c r="T7" s="21" t="s">
        <v>19</v>
      </c>
      <c r="U7" s="4" t="s">
        <v>516</v>
      </c>
      <c r="V7" s="5" t="s">
        <v>727</v>
      </c>
      <c r="W7" s="5" t="s">
        <v>523</v>
      </c>
      <c r="X7" s="5" t="s">
        <v>728</v>
      </c>
      <c r="Y7" s="5" t="s">
        <v>28</v>
      </c>
      <c r="Z7" s="5" t="s">
        <v>599</v>
      </c>
    </row>
    <row r="8" spans="1:27" x14ac:dyDescent="0.25">
      <c r="A8" s="6">
        <v>1</v>
      </c>
      <c r="B8" s="19"/>
      <c r="C8" s="7" t="s">
        <v>497</v>
      </c>
      <c r="D8" s="7" t="s">
        <v>729</v>
      </c>
      <c r="E8" s="17">
        <v>29370</v>
      </c>
      <c r="F8" s="7" t="s">
        <v>10</v>
      </c>
      <c r="G8" s="7" t="s">
        <v>74</v>
      </c>
      <c r="H8" s="7" t="s">
        <v>65</v>
      </c>
      <c r="I8" s="7" t="s">
        <v>35</v>
      </c>
      <c r="J8" s="8">
        <v>245435</v>
      </c>
      <c r="K8" s="7" t="s">
        <v>485</v>
      </c>
      <c r="L8" s="20">
        <v>24</v>
      </c>
      <c r="M8" s="20">
        <v>3</v>
      </c>
      <c r="N8" s="20">
        <v>10</v>
      </c>
      <c r="O8" s="8" t="s">
        <v>410</v>
      </c>
      <c r="P8" s="18">
        <v>44294</v>
      </c>
      <c r="Q8" s="111">
        <f>N8</f>
        <v>10</v>
      </c>
      <c r="R8" s="8" t="s">
        <v>60</v>
      </c>
      <c r="S8" s="18" t="str">
        <f>O8</f>
        <v>06/04/2021</v>
      </c>
      <c r="T8" s="18">
        <v>44294</v>
      </c>
      <c r="U8" s="1">
        <f t="shared" ref="U8:U39" si="0">IF(P8&lt;=$E$3,1,0)</f>
        <v>1</v>
      </c>
      <c r="V8" s="9" t="s">
        <v>701</v>
      </c>
      <c r="W8" s="10">
        <v>0</v>
      </c>
      <c r="X8" s="10">
        <v>245435</v>
      </c>
      <c r="Y8" s="11" t="s">
        <v>485</v>
      </c>
      <c r="Z8" s="10"/>
      <c r="AA8" s="11"/>
    </row>
    <row r="9" spans="1:27" x14ac:dyDescent="0.25">
      <c r="A9" s="6">
        <v>2</v>
      </c>
      <c r="B9" s="19"/>
      <c r="C9" s="7" t="s">
        <v>497</v>
      </c>
      <c r="D9" s="7" t="s">
        <v>729</v>
      </c>
      <c r="E9" s="17">
        <v>31050</v>
      </c>
      <c r="F9" s="7" t="s">
        <v>10</v>
      </c>
      <c r="G9" s="7" t="s">
        <v>498</v>
      </c>
      <c r="H9" s="7" t="s">
        <v>346</v>
      </c>
      <c r="I9" s="7" t="s">
        <v>35</v>
      </c>
      <c r="J9" s="8">
        <v>370733</v>
      </c>
      <c r="K9" s="7" t="s">
        <v>499</v>
      </c>
      <c r="L9" s="20">
        <v>16</v>
      </c>
      <c r="M9" s="20">
        <v>2</v>
      </c>
      <c r="N9" s="20">
        <v>9</v>
      </c>
      <c r="O9" s="8" t="s">
        <v>67</v>
      </c>
      <c r="P9" s="18">
        <v>44306</v>
      </c>
      <c r="Q9" s="111">
        <f t="shared" ref="Q9:Q72" si="1">N9</f>
        <v>9</v>
      </c>
      <c r="R9" s="8" t="s">
        <v>60</v>
      </c>
      <c r="S9" s="18" t="str">
        <f t="shared" ref="S9:S72" si="2">O9</f>
        <v>19/04/2021</v>
      </c>
      <c r="T9" s="18">
        <v>44295</v>
      </c>
      <c r="U9" s="1">
        <f t="shared" si="0"/>
        <v>1</v>
      </c>
      <c r="V9" s="9" t="s">
        <v>701</v>
      </c>
      <c r="W9" s="10">
        <v>0</v>
      </c>
      <c r="X9" s="10">
        <v>370733</v>
      </c>
      <c r="Y9" s="11" t="s">
        <v>631</v>
      </c>
      <c r="Z9" s="11"/>
      <c r="AA9" s="11"/>
    </row>
    <row r="10" spans="1:27" s="110" customFormat="1" x14ac:dyDescent="0.25">
      <c r="A10" s="112">
        <v>3</v>
      </c>
      <c r="B10" s="113"/>
      <c r="C10" s="107" t="s">
        <v>497</v>
      </c>
      <c r="D10" s="107" t="s">
        <v>729</v>
      </c>
      <c r="E10" s="108">
        <v>29598</v>
      </c>
      <c r="F10" s="107" t="s">
        <v>12</v>
      </c>
      <c r="G10" s="107" t="s">
        <v>61</v>
      </c>
      <c r="H10" s="107" t="s">
        <v>235</v>
      </c>
      <c r="I10" s="107" t="s">
        <v>35</v>
      </c>
      <c r="J10" s="46">
        <v>245435</v>
      </c>
      <c r="K10" s="107" t="s">
        <v>485</v>
      </c>
      <c r="L10" s="114">
        <v>8</v>
      </c>
      <c r="M10" s="114">
        <v>1</v>
      </c>
      <c r="N10" s="114">
        <v>9</v>
      </c>
      <c r="O10" s="46" t="s">
        <v>413</v>
      </c>
      <c r="P10" s="47">
        <v>44313</v>
      </c>
      <c r="Q10" s="115">
        <f t="shared" si="1"/>
        <v>9</v>
      </c>
      <c r="R10" s="46" t="s">
        <v>60</v>
      </c>
      <c r="S10" s="47" t="str">
        <f t="shared" si="2"/>
        <v>27/04/2021</v>
      </c>
      <c r="T10" s="47">
        <v>44296</v>
      </c>
      <c r="U10" s="106">
        <f t="shared" si="0"/>
        <v>1</v>
      </c>
      <c r="V10" s="116" t="s">
        <v>701</v>
      </c>
      <c r="W10" s="117">
        <v>0</v>
      </c>
      <c r="X10" s="117">
        <v>245435</v>
      </c>
      <c r="Y10" s="118" t="s">
        <v>485</v>
      </c>
      <c r="Z10" s="118"/>
      <c r="AA10" s="118"/>
    </row>
    <row r="11" spans="1:27" x14ac:dyDescent="0.25">
      <c r="A11" s="6">
        <v>4</v>
      </c>
      <c r="B11" s="19"/>
      <c r="C11" s="7" t="s">
        <v>497</v>
      </c>
      <c r="D11" s="7" t="s">
        <v>729</v>
      </c>
      <c r="E11" s="17">
        <v>24511</v>
      </c>
      <c r="F11" s="7" t="s">
        <v>7</v>
      </c>
      <c r="G11" s="7" t="s">
        <v>78</v>
      </c>
      <c r="H11" s="7" t="s">
        <v>89</v>
      </c>
      <c r="I11" s="7" t="s">
        <v>35</v>
      </c>
      <c r="J11" s="8">
        <v>245435</v>
      </c>
      <c r="K11" s="7" t="s">
        <v>485</v>
      </c>
      <c r="L11" s="20">
        <v>16</v>
      </c>
      <c r="M11" s="20">
        <v>2</v>
      </c>
      <c r="N11" s="20">
        <v>5</v>
      </c>
      <c r="O11" s="8" t="s">
        <v>271</v>
      </c>
      <c r="P11" s="18">
        <v>44320</v>
      </c>
      <c r="Q11" s="111">
        <f t="shared" si="1"/>
        <v>5</v>
      </c>
      <c r="R11" s="8" t="s">
        <v>77</v>
      </c>
      <c r="S11" s="18" t="str">
        <f t="shared" si="2"/>
        <v>03/05/2021</v>
      </c>
      <c r="T11" s="18">
        <v>44297</v>
      </c>
      <c r="U11" s="1">
        <f t="shared" si="0"/>
        <v>1</v>
      </c>
      <c r="V11" s="9"/>
      <c r="W11" s="10"/>
      <c r="X11" s="10"/>
      <c r="Y11" s="11"/>
      <c r="Z11" s="11"/>
      <c r="AA11" s="11"/>
    </row>
    <row r="12" spans="1:27" x14ac:dyDescent="0.25">
      <c r="A12" s="6">
        <v>5</v>
      </c>
      <c r="B12" s="19"/>
      <c r="C12" s="7" t="s">
        <v>497</v>
      </c>
      <c r="D12" s="7" t="s">
        <v>729</v>
      </c>
      <c r="E12" s="17">
        <v>30261</v>
      </c>
      <c r="F12" s="7" t="s">
        <v>12</v>
      </c>
      <c r="G12" s="7" t="s">
        <v>61</v>
      </c>
      <c r="H12" s="7" t="s">
        <v>199</v>
      </c>
      <c r="I12" s="7" t="s">
        <v>35</v>
      </c>
      <c r="J12" s="8">
        <v>971841</v>
      </c>
      <c r="K12" s="7" t="s">
        <v>457</v>
      </c>
      <c r="L12" s="20">
        <v>8</v>
      </c>
      <c r="M12" s="20">
        <v>1</v>
      </c>
      <c r="N12" s="20">
        <v>6</v>
      </c>
      <c r="O12" s="8" t="s">
        <v>378</v>
      </c>
      <c r="P12" s="18">
        <v>44323</v>
      </c>
      <c r="Q12" s="111">
        <f t="shared" si="1"/>
        <v>6</v>
      </c>
      <c r="R12" s="8" t="s">
        <v>77</v>
      </c>
      <c r="S12" s="18" t="str">
        <f t="shared" si="2"/>
        <v>07/05/2021</v>
      </c>
      <c r="T12" s="18">
        <v>44298</v>
      </c>
      <c r="U12" s="1">
        <f t="shared" si="0"/>
        <v>1</v>
      </c>
      <c r="V12" s="9"/>
      <c r="W12" s="10"/>
      <c r="X12" s="10"/>
      <c r="Y12" s="11"/>
      <c r="Z12" s="11"/>
      <c r="AA12" s="11"/>
    </row>
    <row r="13" spans="1:27" x14ac:dyDescent="0.25">
      <c r="A13" s="6">
        <v>6</v>
      </c>
      <c r="B13" s="19"/>
      <c r="C13" s="7" t="s">
        <v>497</v>
      </c>
      <c r="D13" s="7" t="s">
        <v>729</v>
      </c>
      <c r="E13" s="17">
        <v>25315</v>
      </c>
      <c r="F13" s="7" t="s">
        <v>7</v>
      </c>
      <c r="G13" s="7" t="s">
        <v>78</v>
      </c>
      <c r="H13" s="7" t="s">
        <v>199</v>
      </c>
      <c r="I13" s="7" t="s">
        <v>35</v>
      </c>
      <c r="J13" s="8">
        <v>245434</v>
      </c>
      <c r="K13" s="7" t="s">
        <v>500</v>
      </c>
      <c r="L13" s="20">
        <v>8</v>
      </c>
      <c r="M13" s="20">
        <v>1</v>
      </c>
      <c r="N13" s="20">
        <v>3</v>
      </c>
      <c r="O13" s="8" t="s">
        <v>425</v>
      </c>
      <c r="P13" s="18">
        <v>44326</v>
      </c>
      <c r="Q13" s="111">
        <f t="shared" si="1"/>
        <v>3</v>
      </c>
      <c r="R13" s="8" t="s">
        <v>77</v>
      </c>
      <c r="S13" s="18" t="str">
        <f t="shared" si="2"/>
        <v>10/05/2021</v>
      </c>
      <c r="T13" s="18">
        <v>44299</v>
      </c>
      <c r="U13" s="1">
        <f t="shared" si="0"/>
        <v>1</v>
      </c>
      <c r="V13" s="9"/>
      <c r="W13" s="10"/>
      <c r="X13" s="10"/>
      <c r="Y13" s="11"/>
      <c r="Z13" s="11"/>
      <c r="AA13" s="11"/>
    </row>
    <row r="14" spans="1:27" x14ac:dyDescent="0.25">
      <c r="A14" s="6">
        <v>7</v>
      </c>
      <c r="B14" s="19"/>
      <c r="C14" s="7" t="s">
        <v>497</v>
      </c>
      <c r="D14" s="7" t="s">
        <v>729</v>
      </c>
      <c r="E14" s="17">
        <v>24512</v>
      </c>
      <c r="F14" s="7" t="s">
        <v>7</v>
      </c>
      <c r="G14" s="7" t="s">
        <v>78</v>
      </c>
      <c r="H14" s="7" t="s">
        <v>89</v>
      </c>
      <c r="I14" s="7" t="s">
        <v>35</v>
      </c>
      <c r="J14" s="8">
        <v>245435</v>
      </c>
      <c r="K14" s="7" t="s">
        <v>485</v>
      </c>
      <c r="L14" s="20">
        <v>16</v>
      </c>
      <c r="M14" s="20">
        <v>2</v>
      </c>
      <c r="N14" s="20">
        <v>3</v>
      </c>
      <c r="O14" s="8" t="s">
        <v>80</v>
      </c>
      <c r="P14" s="18">
        <v>44328</v>
      </c>
      <c r="Q14" s="111">
        <f t="shared" si="1"/>
        <v>3</v>
      </c>
      <c r="R14" s="8" t="s">
        <v>77</v>
      </c>
      <c r="S14" s="18" t="str">
        <f t="shared" si="2"/>
        <v>11/05/2021</v>
      </c>
      <c r="T14" s="18">
        <v>44300</v>
      </c>
      <c r="U14" s="1">
        <f t="shared" si="0"/>
        <v>1</v>
      </c>
      <c r="V14" s="9"/>
      <c r="W14" s="10"/>
      <c r="X14" s="10"/>
      <c r="Y14" s="11"/>
      <c r="Z14" s="11"/>
      <c r="AA14" s="11"/>
    </row>
    <row r="15" spans="1:27" x14ac:dyDescent="0.25">
      <c r="A15" s="6">
        <v>8</v>
      </c>
      <c r="B15" s="19"/>
      <c r="C15" s="7" t="s">
        <v>497</v>
      </c>
      <c r="D15" s="7" t="s">
        <v>729</v>
      </c>
      <c r="E15" s="17">
        <v>24732</v>
      </c>
      <c r="F15" s="7" t="s">
        <v>7</v>
      </c>
      <c r="G15" s="7" t="s">
        <v>78</v>
      </c>
      <c r="H15" s="7" t="s">
        <v>40</v>
      </c>
      <c r="I15" s="7" t="s">
        <v>35</v>
      </c>
      <c r="J15" s="8">
        <v>971841</v>
      </c>
      <c r="K15" s="7" t="s">
        <v>457</v>
      </c>
      <c r="L15" s="20">
        <v>24</v>
      </c>
      <c r="M15" s="20">
        <v>3</v>
      </c>
      <c r="N15" s="20">
        <v>3</v>
      </c>
      <c r="O15" s="8" t="s">
        <v>425</v>
      </c>
      <c r="P15" s="18" t="s">
        <v>76</v>
      </c>
      <c r="Q15" s="111">
        <f t="shared" si="1"/>
        <v>3</v>
      </c>
      <c r="R15" s="8" t="s">
        <v>77</v>
      </c>
      <c r="S15" s="18" t="str">
        <f t="shared" si="2"/>
        <v>10/05/2021</v>
      </c>
      <c r="T15" s="18">
        <v>44301</v>
      </c>
      <c r="U15" s="1">
        <f t="shared" si="0"/>
        <v>0</v>
      </c>
      <c r="V15" s="9"/>
      <c r="W15" s="10"/>
      <c r="X15" s="10"/>
      <c r="Y15" s="11"/>
      <c r="Z15" s="11"/>
      <c r="AA15" s="11"/>
    </row>
    <row r="16" spans="1:27" x14ac:dyDescent="0.25">
      <c r="A16" s="6">
        <v>9</v>
      </c>
      <c r="B16" s="19"/>
      <c r="C16" s="7" t="s">
        <v>497</v>
      </c>
      <c r="D16" s="7" t="s">
        <v>729</v>
      </c>
      <c r="E16" s="17">
        <v>24734</v>
      </c>
      <c r="F16" s="7" t="s">
        <v>7</v>
      </c>
      <c r="G16" s="7" t="s">
        <v>78</v>
      </c>
      <c r="H16" s="7" t="s">
        <v>40</v>
      </c>
      <c r="I16" s="7" t="s">
        <v>35</v>
      </c>
      <c r="J16" s="8">
        <v>322115</v>
      </c>
      <c r="K16" s="7" t="s">
        <v>501</v>
      </c>
      <c r="L16" s="20">
        <v>24</v>
      </c>
      <c r="M16" s="20">
        <v>3</v>
      </c>
      <c r="N16" s="20">
        <v>3</v>
      </c>
      <c r="O16" s="8" t="s">
        <v>76</v>
      </c>
      <c r="P16" s="18" t="s">
        <v>380</v>
      </c>
      <c r="Q16" s="111">
        <f t="shared" si="1"/>
        <v>3</v>
      </c>
      <c r="R16" s="8" t="s">
        <v>77</v>
      </c>
      <c r="S16" s="18" t="str">
        <f t="shared" si="2"/>
        <v>12/05/2021</v>
      </c>
      <c r="T16" s="18">
        <v>44302</v>
      </c>
      <c r="U16" s="1">
        <f t="shared" si="0"/>
        <v>0</v>
      </c>
      <c r="V16" s="9"/>
      <c r="W16" s="10"/>
      <c r="X16" s="10"/>
      <c r="Y16" s="11"/>
      <c r="Z16" s="11"/>
      <c r="AA16" s="11"/>
    </row>
    <row r="17" spans="1:27" x14ac:dyDescent="0.25">
      <c r="A17" s="6">
        <v>10</v>
      </c>
      <c r="B17" s="19"/>
      <c r="C17" s="7" t="s">
        <v>497</v>
      </c>
      <c r="D17" s="7" t="s">
        <v>729</v>
      </c>
      <c r="E17" s="17">
        <v>24733</v>
      </c>
      <c r="F17" s="7" t="s">
        <v>7</v>
      </c>
      <c r="G17" s="7" t="s">
        <v>78</v>
      </c>
      <c r="H17" s="7" t="s">
        <v>40</v>
      </c>
      <c r="I17" s="7" t="s">
        <v>35</v>
      </c>
      <c r="J17" s="8">
        <v>971841</v>
      </c>
      <c r="K17" s="7" t="s">
        <v>457</v>
      </c>
      <c r="L17" s="20">
        <v>24</v>
      </c>
      <c r="M17" s="20">
        <v>3</v>
      </c>
      <c r="N17" s="20">
        <v>3</v>
      </c>
      <c r="O17" s="8" t="s">
        <v>281</v>
      </c>
      <c r="P17" s="18" t="s">
        <v>87</v>
      </c>
      <c r="Q17" s="111">
        <f t="shared" si="1"/>
        <v>3</v>
      </c>
      <c r="R17" s="8" t="s">
        <v>77</v>
      </c>
      <c r="S17" s="18" t="str">
        <f t="shared" si="2"/>
        <v>17/05/2021</v>
      </c>
      <c r="T17" s="18">
        <v>44303</v>
      </c>
      <c r="U17" s="1">
        <f t="shared" si="0"/>
        <v>0</v>
      </c>
      <c r="V17" s="9"/>
      <c r="X17" s="10"/>
      <c r="Y17" s="11"/>
      <c r="AA17" s="11"/>
    </row>
    <row r="18" spans="1:27" x14ac:dyDescent="0.25">
      <c r="A18" s="6">
        <v>11</v>
      </c>
      <c r="B18" s="19"/>
      <c r="C18" s="7" t="s">
        <v>497</v>
      </c>
      <c r="D18" s="7" t="s">
        <v>729</v>
      </c>
      <c r="E18" s="17">
        <v>24513</v>
      </c>
      <c r="F18" s="7" t="s">
        <v>7</v>
      </c>
      <c r="G18" s="7" t="s">
        <v>78</v>
      </c>
      <c r="H18" s="7" t="s">
        <v>89</v>
      </c>
      <c r="I18" s="7" t="s">
        <v>35</v>
      </c>
      <c r="J18" s="8">
        <v>245435</v>
      </c>
      <c r="K18" s="7" t="s">
        <v>485</v>
      </c>
      <c r="L18" s="20">
        <v>16</v>
      </c>
      <c r="M18" s="20">
        <v>2</v>
      </c>
      <c r="N18" s="20">
        <v>3</v>
      </c>
      <c r="O18" s="8" t="s">
        <v>87</v>
      </c>
      <c r="P18" s="18" t="s">
        <v>284</v>
      </c>
      <c r="Q18" s="111">
        <f t="shared" si="1"/>
        <v>3</v>
      </c>
      <c r="R18" s="8" t="s">
        <v>77</v>
      </c>
      <c r="S18" s="18" t="str">
        <f t="shared" si="2"/>
        <v>19/05/2021</v>
      </c>
      <c r="T18" s="18">
        <v>44304</v>
      </c>
      <c r="U18" s="1">
        <f t="shared" si="0"/>
        <v>0</v>
      </c>
      <c r="V18" s="9"/>
      <c r="W18" s="10"/>
      <c r="X18" s="10"/>
      <c r="Y18" s="11"/>
      <c r="Z18" s="11"/>
      <c r="AA18" s="11"/>
    </row>
    <row r="19" spans="1:27" x14ac:dyDescent="0.25">
      <c r="A19" s="6">
        <v>12</v>
      </c>
      <c r="B19" s="19"/>
      <c r="C19" s="7" t="s">
        <v>497</v>
      </c>
      <c r="D19" s="7" t="s">
        <v>729</v>
      </c>
      <c r="E19" s="17">
        <v>25316</v>
      </c>
      <c r="F19" s="7" t="s">
        <v>7</v>
      </c>
      <c r="G19" s="7" t="s">
        <v>78</v>
      </c>
      <c r="H19" s="7" t="s">
        <v>199</v>
      </c>
      <c r="I19" s="7" t="s">
        <v>35</v>
      </c>
      <c r="J19" s="8">
        <v>245434</v>
      </c>
      <c r="K19" s="7" t="s">
        <v>500</v>
      </c>
      <c r="L19" s="20">
        <v>8</v>
      </c>
      <c r="M19" s="20">
        <v>1</v>
      </c>
      <c r="N19" s="20">
        <v>3</v>
      </c>
      <c r="O19" s="8" t="s">
        <v>90</v>
      </c>
      <c r="P19" s="18" t="s">
        <v>90</v>
      </c>
      <c r="Q19" s="111">
        <f t="shared" si="1"/>
        <v>3</v>
      </c>
      <c r="R19" s="8" t="s">
        <v>77</v>
      </c>
      <c r="S19" s="18" t="str">
        <f t="shared" si="2"/>
        <v>21/05/2021</v>
      </c>
      <c r="T19" s="18">
        <v>44305</v>
      </c>
      <c r="U19" s="1">
        <f t="shared" si="0"/>
        <v>0</v>
      </c>
      <c r="V19" s="9"/>
      <c r="W19" s="10"/>
      <c r="X19" s="10"/>
      <c r="Y19" s="11"/>
      <c r="Z19" s="11"/>
      <c r="AA19" s="11"/>
    </row>
    <row r="20" spans="1:27" x14ac:dyDescent="0.25">
      <c r="A20" s="6">
        <v>13</v>
      </c>
      <c r="B20" s="19"/>
      <c r="C20" s="7" t="s">
        <v>497</v>
      </c>
      <c r="D20" s="7" t="s">
        <v>729</v>
      </c>
      <c r="E20" s="17">
        <v>25317</v>
      </c>
      <c r="F20" s="7" t="s">
        <v>7</v>
      </c>
      <c r="G20" s="7" t="s">
        <v>78</v>
      </c>
      <c r="H20" s="7" t="s">
        <v>199</v>
      </c>
      <c r="I20" s="7" t="s">
        <v>35</v>
      </c>
      <c r="J20" s="8">
        <v>245434</v>
      </c>
      <c r="K20" s="7" t="s">
        <v>500</v>
      </c>
      <c r="L20" s="20">
        <v>8</v>
      </c>
      <c r="M20" s="20">
        <v>1</v>
      </c>
      <c r="N20" s="20">
        <v>3</v>
      </c>
      <c r="O20" s="8" t="s">
        <v>93</v>
      </c>
      <c r="P20" s="18" t="s">
        <v>93</v>
      </c>
      <c r="Q20" s="111">
        <f t="shared" si="1"/>
        <v>3</v>
      </c>
      <c r="R20" s="8" t="s">
        <v>77</v>
      </c>
      <c r="S20" s="18" t="str">
        <f t="shared" si="2"/>
        <v>26/05/2021</v>
      </c>
      <c r="T20" s="18">
        <v>44306</v>
      </c>
      <c r="U20" s="1">
        <f t="shared" si="0"/>
        <v>0</v>
      </c>
      <c r="V20" s="9"/>
      <c r="W20" s="10"/>
      <c r="X20" s="10"/>
      <c r="Y20" s="11"/>
      <c r="Z20" s="13"/>
      <c r="AA20" s="11"/>
    </row>
    <row r="21" spans="1:27" x14ac:dyDescent="0.25">
      <c r="A21" s="6">
        <v>14</v>
      </c>
      <c r="B21" s="19"/>
      <c r="C21" s="7" t="s">
        <v>497</v>
      </c>
      <c r="D21" s="7" t="s">
        <v>729</v>
      </c>
      <c r="E21" s="17">
        <v>24515</v>
      </c>
      <c r="F21" s="7" t="s">
        <v>7</v>
      </c>
      <c r="G21" s="7" t="s">
        <v>78</v>
      </c>
      <c r="H21" s="7" t="s">
        <v>89</v>
      </c>
      <c r="I21" s="7" t="s">
        <v>35</v>
      </c>
      <c r="J21" s="8">
        <v>245435</v>
      </c>
      <c r="K21" s="7" t="s">
        <v>485</v>
      </c>
      <c r="L21" s="20">
        <v>16</v>
      </c>
      <c r="M21" s="20">
        <v>2</v>
      </c>
      <c r="N21" s="20">
        <v>3</v>
      </c>
      <c r="O21" s="8" t="s">
        <v>99</v>
      </c>
      <c r="P21" s="18" t="s">
        <v>101</v>
      </c>
      <c r="Q21" s="111">
        <f t="shared" si="1"/>
        <v>3</v>
      </c>
      <c r="R21" s="8" t="s">
        <v>100</v>
      </c>
      <c r="S21" s="18" t="str">
        <f t="shared" si="2"/>
        <v>01/06/2021</v>
      </c>
      <c r="T21" s="18">
        <v>44307</v>
      </c>
      <c r="U21" s="1">
        <f t="shared" si="0"/>
        <v>0</v>
      </c>
      <c r="V21" s="10"/>
      <c r="W21" s="10"/>
      <c r="X21" s="10"/>
      <c r="Y21" s="11"/>
      <c r="Z21" s="11"/>
      <c r="AA21" s="11"/>
    </row>
    <row r="22" spans="1:27" x14ac:dyDescent="0.25">
      <c r="A22" s="6">
        <v>15</v>
      </c>
      <c r="B22" s="19"/>
      <c r="C22" s="7" t="s">
        <v>497</v>
      </c>
      <c r="D22" s="7" t="s">
        <v>729</v>
      </c>
      <c r="E22" s="17">
        <v>24737</v>
      </c>
      <c r="F22" s="7" t="s">
        <v>7</v>
      </c>
      <c r="G22" s="7" t="s">
        <v>78</v>
      </c>
      <c r="H22" s="7" t="s">
        <v>40</v>
      </c>
      <c r="I22" s="7" t="s">
        <v>35</v>
      </c>
      <c r="J22" s="8">
        <v>971841</v>
      </c>
      <c r="K22" s="7" t="s">
        <v>457</v>
      </c>
      <c r="L22" s="20">
        <v>24</v>
      </c>
      <c r="M22" s="20">
        <v>3</v>
      </c>
      <c r="N22" s="20">
        <v>3</v>
      </c>
      <c r="O22" s="8" t="s">
        <v>101</v>
      </c>
      <c r="P22" s="18" t="s">
        <v>290</v>
      </c>
      <c r="Q22" s="111">
        <f t="shared" si="1"/>
        <v>3</v>
      </c>
      <c r="R22" s="8" t="s">
        <v>100</v>
      </c>
      <c r="S22" s="18" t="str">
        <f t="shared" si="2"/>
        <v>02/06/2021</v>
      </c>
      <c r="T22" s="18">
        <v>44308</v>
      </c>
      <c r="U22" s="1">
        <f t="shared" si="0"/>
        <v>0</v>
      </c>
      <c r="V22" s="10"/>
      <c r="W22" s="10"/>
      <c r="X22" s="10"/>
      <c r="Y22" s="11"/>
      <c r="Z22" s="11"/>
      <c r="AA22" s="11"/>
    </row>
    <row r="23" spans="1:27" x14ac:dyDescent="0.25">
      <c r="A23" s="6">
        <v>16</v>
      </c>
      <c r="B23" s="19"/>
      <c r="C23" s="7" t="s">
        <v>497</v>
      </c>
      <c r="D23" s="7" t="s">
        <v>729</v>
      </c>
      <c r="E23" s="17">
        <v>24636</v>
      </c>
      <c r="F23" s="7" t="s">
        <v>7</v>
      </c>
      <c r="G23" s="7" t="s">
        <v>78</v>
      </c>
      <c r="H23" s="7" t="s">
        <v>68</v>
      </c>
      <c r="I23" s="7" t="s">
        <v>35</v>
      </c>
      <c r="J23" s="8">
        <v>245435</v>
      </c>
      <c r="K23" s="7" t="s">
        <v>485</v>
      </c>
      <c r="L23" s="20">
        <v>24</v>
      </c>
      <c r="M23" s="20">
        <v>3</v>
      </c>
      <c r="N23" s="20">
        <v>3</v>
      </c>
      <c r="O23" s="8" t="s">
        <v>295</v>
      </c>
      <c r="P23" s="18" t="s">
        <v>103</v>
      </c>
      <c r="Q23" s="111">
        <f t="shared" si="1"/>
        <v>3</v>
      </c>
      <c r="R23" s="8" t="s">
        <v>100</v>
      </c>
      <c r="S23" s="18" t="str">
        <f t="shared" si="2"/>
        <v>07/06/2021</v>
      </c>
      <c r="T23" s="18">
        <v>44309</v>
      </c>
      <c r="U23" s="1">
        <f t="shared" si="0"/>
        <v>0</v>
      </c>
      <c r="V23" s="10"/>
      <c r="W23" s="10"/>
      <c r="X23" s="10"/>
      <c r="Y23" s="11"/>
      <c r="Z23" s="11"/>
      <c r="AA23" s="11"/>
    </row>
    <row r="24" spans="1:27" x14ac:dyDescent="0.25">
      <c r="A24" s="6">
        <v>17</v>
      </c>
      <c r="B24" s="19"/>
      <c r="C24" s="7" t="s">
        <v>497</v>
      </c>
      <c r="D24" s="7" t="s">
        <v>729</v>
      </c>
      <c r="E24" s="17">
        <v>24736</v>
      </c>
      <c r="F24" s="7" t="s">
        <v>7</v>
      </c>
      <c r="G24" s="7" t="s">
        <v>78</v>
      </c>
      <c r="H24" s="7" t="s">
        <v>40</v>
      </c>
      <c r="I24" s="7" t="s">
        <v>35</v>
      </c>
      <c r="J24" s="8">
        <v>971841</v>
      </c>
      <c r="K24" s="7" t="s">
        <v>457</v>
      </c>
      <c r="L24" s="20">
        <v>24</v>
      </c>
      <c r="M24" s="20">
        <v>3</v>
      </c>
      <c r="N24" s="20">
        <v>3</v>
      </c>
      <c r="O24" s="8" t="s">
        <v>295</v>
      </c>
      <c r="P24" s="18" t="s">
        <v>103</v>
      </c>
      <c r="Q24" s="111">
        <f t="shared" si="1"/>
        <v>3</v>
      </c>
      <c r="R24" s="8" t="s">
        <v>100</v>
      </c>
      <c r="S24" s="18" t="str">
        <f t="shared" si="2"/>
        <v>07/06/2021</v>
      </c>
      <c r="T24" s="18">
        <v>44310</v>
      </c>
      <c r="U24" s="1">
        <f t="shared" si="0"/>
        <v>0</v>
      </c>
      <c r="V24" s="10"/>
      <c r="W24" s="10"/>
      <c r="X24" s="10"/>
      <c r="Y24" s="11"/>
      <c r="Z24" s="11"/>
      <c r="AA24" s="11"/>
    </row>
    <row r="25" spans="1:27" x14ac:dyDescent="0.25">
      <c r="A25" s="6">
        <v>18</v>
      </c>
      <c r="B25" s="19"/>
      <c r="C25" s="7" t="s">
        <v>497</v>
      </c>
      <c r="D25" s="7" t="s">
        <v>729</v>
      </c>
      <c r="E25" s="17">
        <v>24738</v>
      </c>
      <c r="F25" s="7" t="s">
        <v>7</v>
      </c>
      <c r="G25" s="7" t="s">
        <v>78</v>
      </c>
      <c r="H25" s="7" t="s">
        <v>40</v>
      </c>
      <c r="I25" s="7" t="s">
        <v>35</v>
      </c>
      <c r="J25" s="8">
        <v>971841</v>
      </c>
      <c r="K25" s="7" t="s">
        <v>457</v>
      </c>
      <c r="L25" s="20">
        <v>24</v>
      </c>
      <c r="M25" s="20">
        <v>3</v>
      </c>
      <c r="N25" s="20">
        <v>3</v>
      </c>
      <c r="O25" s="8" t="s">
        <v>107</v>
      </c>
      <c r="P25" s="18" t="s">
        <v>303</v>
      </c>
      <c r="Q25" s="111">
        <f t="shared" si="1"/>
        <v>3</v>
      </c>
      <c r="R25" s="8" t="s">
        <v>100</v>
      </c>
      <c r="S25" s="18" t="str">
        <f t="shared" si="2"/>
        <v>16/06/2021</v>
      </c>
      <c r="T25" s="18">
        <v>44311</v>
      </c>
      <c r="U25" s="1">
        <f t="shared" si="0"/>
        <v>0</v>
      </c>
      <c r="V25" s="14"/>
      <c r="W25" s="10"/>
      <c r="X25" s="10"/>
      <c r="Y25" s="11"/>
      <c r="Z25" s="11"/>
      <c r="AA25" s="11"/>
    </row>
    <row r="26" spans="1:27" x14ac:dyDescent="0.25">
      <c r="A26" s="6">
        <v>19</v>
      </c>
      <c r="B26" s="19"/>
      <c r="C26" s="7" t="s">
        <v>497</v>
      </c>
      <c r="D26" s="7" t="s">
        <v>729</v>
      </c>
      <c r="E26" s="17">
        <v>25321</v>
      </c>
      <c r="F26" s="7" t="s">
        <v>7</v>
      </c>
      <c r="G26" s="7" t="s">
        <v>78</v>
      </c>
      <c r="H26" s="7" t="s">
        <v>199</v>
      </c>
      <c r="I26" s="7" t="s">
        <v>35</v>
      </c>
      <c r="J26" s="8">
        <v>245434</v>
      </c>
      <c r="K26" s="7" t="s">
        <v>500</v>
      </c>
      <c r="L26" s="20">
        <v>8</v>
      </c>
      <c r="M26" s="20">
        <v>1</v>
      </c>
      <c r="N26" s="20">
        <v>3</v>
      </c>
      <c r="O26" s="8" t="s">
        <v>305</v>
      </c>
      <c r="P26" s="18" t="s">
        <v>305</v>
      </c>
      <c r="Q26" s="111">
        <f t="shared" si="1"/>
        <v>3</v>
      </c>
      <c r="R26" s="8" t="s">
        <v>100</v>
      </c>
      <c r="S26" s="18" t="str">
        <f t="shared" si="2"/>
        <v>23/06/2021</v>
      </c>
      <c r="T26" s="18">
        <v>44312</v>
      </c>
      <c r="U26" s="1">
        <f t="shared" si="0"/>
        <v>0</v>
      </c>
      <c r="V26" s="10"/>
      <c r="W26" s="10"/>
      <c r="X26" s="10"/>
      <c r="Y26" s="11"/>
      <c r="Z26" s="11"/>
      <c r="AA26" s="11"/>
    </row>
    <row r="27" spans="1:27" x14ac:dyDescent="0.25">
      <c r="A27" s="6">
        <v>20</v>
      </c>
      <c r="B27" s="19"/>
      <c r="C27" s="7" t="s">
        <v>497</v>
      </c>
      <c r="D27" s="7" t="s">
        <v>729</v>
      </c>
      <c r="E27" s="17">
        <v>24638</v>
      </c>
      <c r="F27" s="7" t="s">
        <v>7</v>
      </c>
      <c r="G27" s="7" t="s">
        <v>78</v>
      </c>
      <c r="H27" s="7" t="s">
        <v>68</v>
      </c>
      <c r="I27" s="7" t="s">
        <v>35</v>
      </c>
      <c r="J27" s="8">
        <v>245435</v>
      </c>
      <c r="K27" s="7" t="s">
        <v>485</v>
      </c>
      <c r="L27" s="20">
        <v>24</v>
      </c>
      <c r="M27" s="20">
        <v>3</v>
      </c>
      <c r="N27" s="20">
        <v>3</v>
      </c>
      <c r="O27" s="8" t="s">
        <v>108</v>
      </c>
      <c r="P27" s="18" t="s">
        <v>305</v>
      </c>
      <c r="Q27" s="111">
        <f t="shared" si="1"/>
        <v>3</v>
      </c>
      <c r="R27" s="8" t="s">
        <v>100</v>
      </c>
      <c r="S27" s="18" t="str">
        <f t="shared" si="2"/>
        <v>21/06/2021</v>
      </c>
      <c r="T27" s="18">
        <v>44313</v>
      </c>
      <c r="U27" s="1">
        <f t="shared" si="0"/>
        <v>0</v>
      </c>
      <c r="V27" s="10"/>
      <c r="X27" s="10"/>
      <c r="Y27" s="11"/>
      <c r="AA27" s="11"/>
    </row>
    <row r="28" spans="1:27" x14ac:dyDescent="0.25">
      <c r="A28" s="6">
        <v>21</v>
      </c>
      <c r="B28" s="19"/>
      <c r="C28" s="7" t="s">
        <v>497</v>
      </c>
      <c r="D28" s="7" t="s">
        <v>729</v>
      </c>
      <c r="E28" s="17">
        <v>24518</v>
      </c>
      <c r="F28" s="7" t="s">
        <v>7</v>
      </c>
      <c r="G28" s="7" t="s">
        <v>78</v>
      </c>
      <c r="H28" s="7" t="s">
        <v>89</v>
      </c>
      <c r="I28" s="7" t="s">
        <v>35</v>
      </c>
      <c r="J28" s="8">
        <v>245435</v>
      </c>
      <c r="K28" s="7" t="s">
        <v>485</v>
      </c>
      <c r="L28" s="20">
        <v>16</v>
      </c>
      <c r="M28" s="20">
        <v>2</v>
      </c>
      <c r="N28" s="20">
        <v>3</v>
      </c>
      <c r="O28" s="8" t="s">
        <v>110</v>
      </c>
      <c r="P28" s="18" t="s">
        <v>113</v>
      </c>
      <c r="Q28" s="111">
        <f t="shared" si="1"/>
        <v>3</v>
      </c>
      <c r="R28" s="8" t="s">
        <v>100</v>
      </c>
      <c r="S28" s="18" t="str">
        <f t="shared" si="2"/>
        <v>24/06/2021</v>
      </c>
      <c r="T28" s="18">
        <v>44314</v>
      </c>
      <c r="U28" s="1">
        <f t="shared" si="0"/>
        <v>0</v>
      </c>
      <c r="V28" s="14"/>
      <c r="W28" s="10"/>
      <c r="X28" s="10"/>
      <c r="Y28" s="11"/>
      <c r="Z28" s="11"/>
      <c r="AA28" s="11"/>
    </row>
    <row r="29" spans="1:27" x14ac:dyDescent="0.25">
      <c r="A29" s="6">
        <v>22</v>
      </c>
      <c r="B29" s="19"/>
      <c r="C29" s="7" t="s">
        <v>497</v>
      </c>
      <c r="D29" s="7" t="s">
        <v>729</v>
      </c>
      <c r="E29" s="17">
        <v>24519</v>
      </c>
      <c r="F29" s="7" t="s">
        <v>7</v>
      </c>
      <c r="G29" s="7" t="s">
        <v>78</v>
      </c>
      <c r="H29" s="7" t="s">
        <v>89</v>
      </c>
      <c r="I29" s="7" t="s">
        <v>35</v>
      </c>
      <c r="J29" s="8">
        <v>245435</v>
      </c>
      <c r="K29" s="7" t="s">
        <v>485</v>
      </c>
      <c r="L29" s="20">
        <v>16</v>
      </c>
      <c r="M29" s="20">
        <v>2</v>
      </c>
      <c r="N29" s="20">
        <v>3</v>
      </c>
      <c r="O29" s="8" t="s">
        <v>306</v>
      </c>
      <c r="P29" s="18" t="s">
        <v>115</v>
      </c>
      <c r="Q29" s="111">
        <f t="shared" si="1"/>
        <v>3</v>
      </c>
      <c r="R29" s="8" t="s">
        <v>100</v>
      </c>
      <c r="S29" s="18" t="str">
        <f t="shared" si="2"/>
        <v>28/06/2021</v>
      </c>
      <c r="T29" s="18">
        <v>44315</v>
      </c>
      <c r="U29" s="1">
        <f t="shared" si="0"/>
        <v>0</v>
      </c>
      <c r="V29" s="10"/>
      <c r="X29" s="10"/>
      <c r="Y29" s="11"/>
      <c r="AA29" s="11"/>
    </row>
    <row r="30" spans="1:27" x14ac:dyDescent="0.25">
      <c r="A30" s="6">
        <v>23</v>
      </c>
      <c r="B30" s="19"/>
      <c r="C30" s="7" t="s">
        <v>497</v>
      </c>
      <c r="D30" s="7" t="s">
        <v>729</v>
      </c>
      <c r="E30" s="17">
        <v>25322</v>
      </c>
      <c r="F30" s="7" t="s">
        <v>7</v>
      </c>
      <c r="G30" s="7" t="s">
        <v>78</v>
      </c>
      <c r="H30" s="7" t="s">
        <v>199</v>
      </c>
      <c r="I30" s="7" t="s">
        <v>35</v>
      </c>
      <c r="J30" s="8">
        <v>245434</v>
      </c>
      <c r="K30" s="7" t="s">
        <v>500</v>
      </c>
      <c r="L30" s="20">
        <v>8</v>
      </c>
      <c r="M30" s="20">
        <v>1</v>
      </c>
      <c r="N30" s="20">
        <v>3</v>
      </c>
      <c r="O30" s="8" t="s">
        <v>116</v>
      </c>
      <c r="P30" s="18" t="s">
        <v>116</v>
      </c>
      <c r="Q30" s="111">
        <f t="shared" si="1"/>
        <v>3</v>
      </c>
      <c r="R30" s="8" t="s">
        <v>100</v>
      </c>
      <c r="S30" s="18" t="str">
        <f t="shared" si="2"/>
        <v>30/06/2021</v>
      </c>
      <c r="T30" s="18">
        <v>44316</v>
      </c>
      <c r="U30" s="1">
        <f t="shared" si="0"/>
        <v>0</v>
      </c>
      <c r="V30" s="10"/>
      <c r="Y30" s="11"/>
      <c r="AA30" s="11"/>
    </row>
    <row r="31" spans="1:27" x14ac:dyDescent="0.25">
      <c r="A31" s="6">
        <v>24</v>
      </c>
      <c r="B31" s="19"/>
      <c r="C31" s="7" t="s">
        <v>497</v>
      </c>
      <c r="D31" s="7" t="s">
        <v>729</v>
      </c>
      <c r="E31" s="17">
        <v>24609</v>
      </c>
      <c r="F31" s="7" t="s">
        <v>7</v>
      </c>
      <c r="G31" s="7" t="s">
        <v>78</v>
      </c>
      <c r="H31" s="7" t="s">
        <v>317</v>
      </c>
      <c r="I31" s="7" t="s">
        <v>35</v>
      </c>
      <c r="J31" s="8">
        <v>322115</v>
      </c>
      <c r="K31" s="7" t="s">
        <v>501</v>
      </c>
      <c r="L31" s="20">
        <v>16</v>
      </c>
      <c r="M31" s="20">
        <v>2</v>
      </c>
      <c r="N31" s="20">
        <v>3</v>
      </c>
      <c r="O31" s="8" t="s">
        <v>308</v>
      </c>
      <c r="P31" s="18" t="s">
        <v>117</v>
      </c>
      <c r="Q31" s="111">
        <f t="shared" si="1"/>
        <v>3</v>
      </c>
      <c r="R31" s="8" t="s">
        <v>119</v>
      </c>
      <c r="S31" s="18" t="str">
        <f t="shared" si="2"/>
        <v>01/07/2021</v>
      </c>
      <c r="T31" s="18">
        <v>44317</v>
      </c>
      <c r="U31" s="1">
        <f t="shared" si="0"/>
        <v>0</v>
      </c>
      <c r="V31" s="10"/>
      <c r="W31" s="10"/>
      <c r="X31" s="10"/>
      <c r="Y31" s="11"/>
      <c r="Z31" s="11"/>
      <c r="AA31" s="11"/>
    </row>
    <row r="32" spans="1:27" x14ac:dyDescent="0.25">
      <c r="A32" s="6">
        <v>25</v>
      </c>
      <c r="B32" s="19"/>
      <c r="C32" s="7" t="s">
        <v>497</v>
      </c>
      <c r="D32" s="7" t="s">
        <v>729</v>
      </c>
      <c r="E32" s="17">
        <v>24610</v>
      </c>
      <c r="F32" s="7" t="s">
        <v>7</v>
      </c>
      <c r="G32" s="7" t="s">
        <v>78</v>
      </c>
      <c r="H32" s="7" t="s">
        <v>317</v>
      </c>
      <c r="I32" s="7" t="s">
        <v>35</v>
      </c>
      <c r="J32" s="8">
        <v>245435</v>
      </c>
      <c r="K32" s="7" t="s">
        <v>485</v>
      </c>
      <c r="L32" s="20">
        <v>16</v>
      </c>
      <c r="M32" s="20">
        <v>2</v>
      </c>
      <c r="N32" s="20">
        <v>3</v>
      </c>
      <c r="O32" s="8" t="s">
        <v>310</v>
      </c>
      <c r="P32" s="18" t="s">
        <v>311</v>
      </c>
      <c r="Q32" s="111">
        <f t="shared" si="1"/>
        <v>3</v>
      </c>
      <c r="R32" s="8" t="s">
        <v>119</v>
      </c>
      <c r="S32" s="18" t="str">
        <f t="shared" si="2"/>
        <v>05/07/2021</v>
      </c>
      <c r="T32" s="18">
        <v>44318</v>
      </c>
      <c r="U32" s="1">
        <f t="shared" si="0"/>
        <v>0</v>
      </c>
      <c r="V32" s="14"/>
      <c r="W32" s="10"/>
      <c r="X32" s="10"/>
      <c r="Y32" s="11"/>
      <c r="Z32" s="11"/>
      <c r="AA32" s="11"/>
    </row>
    <row r="33" spans="1:27" x14ac:dyDescent="0.25">
      <c r="A33" s="6">
        <v>26</v>
      </c>
      <c r="B33" s="19"/>
      <c r="C33" s="7" t="s">
        <v>497</v>
      </c>
      <c r="D33" s="7" t="s">
        <v>729</v>
      </c>
      <c r="E33" s="17">
        <v>24412</v>
      </c>
      <c r="F33" s="7" t="s">
        <v>7</v>
      </c>
      <c r="G33" s="7" t="s">
        <v>78</v>
      </c>
      <c r="H33" s="7" t="s">
        <v>302</v>
      </c>
      <c r="I33" s="7" t="s">
        <v>35</v>
      </c>
      <c r="J33" s="8">
        <v>499974</v>
      </c>
      <c r="K33" s="7" t="s">
        <v>502</v>
      </c>
      <c r="L33" s="20">
        <v>8</v>
      </c>
      <c r="M33" s="20">
        <v>1</v>
      </c>
      <c r="N33" s="20">
        <v>8</v>
      </c>
      <c r="O33" s="8" t="s">
        <v>311</v>
      </c>
      <c r="P33" s="18" t="s">
        <v>311</v>
      </c>
      <c r="Q33" s="111">
        <f t="shared" si="1"/>
        <v>8</v>
      </c>
      <c r="R33" s="8" t="s">
        <v>119</v>
      </c>
      <c r="S33" s="18" t="str">
        <f t="shared" si="2"/>
        <v>06/07/2021</v>
      </c>
      <c r="T33" s="18">
        <v>44319</v>
      </c>
      <c r="U33" s="1">
        <f t="shared" si="0"/>
        <v>0</v>
      </c>
      <c r="V33" s="10"/>
      <c r="X33" s="10"/>
      <c r="Y33" s="11"/>
      <c r="AA33" s="11"/>
    </row>
    <row r="34" spans="1:27" x14ac:dyDescent="0.25">
      <c r="A34" s="6">
        <v>27</v>
      </c>
      <c r="B34" s="19"/>
      <c r="C34" s="7" t="s">
        <v>497</v>
      </c>
      <c r="D34" s="7" t="s">
        <v>729</v>
      </c>
      <c r="E34" s="17">
        <v>25323</v>
      </c>
      <c r="F34" s="7" t="s">
        <v>7</v>
      </c>
      <c r="G34" s="7" t="s">
        <v>78</v>
      </c>
      <c r="H34" s="7" t="s">
        <v>199</v>
      </c>
      <c r="I34" s="7" t="s">
        <v>35</v>
      </c>
      <c r="J34" s="8">
        <v>245434</v>
      </c>
      <c r="K34" s="7" t="s">
        <v>500</v>
      </c>
      <c r="L34" s="20">
        <v>8</v>
      </c>
      <c r="M34" s="20">
        <v>1</v>
      </c>
      <c r="N34" s="20">
        <v>3</v>
      </c>
      <c r="O34" s="8" t="s">
        <v>123</v>
      </c>
      <c r="P34" s="18" t="s">
        <v>123</v>
      </c>
      <c r="Q34" s="111">
        <f t="shared" si="1"/>
        <v>3</v>
      </c>
      <c r="R34" s="8" t="s">
        <v>119</v>
      </c>
      <c r="S34" s="18" t="str">
        <f t="shared" si="2"/>
        <v>07/07/2021</v>
      </c>
      <c r="T34" s="18">
        <v>44320</v>
      </c>
      <c r="U34" s="1">
        <f t="shared" si="0"/>
        <v>0</v>
      </c>
      <c r="V34" s="10"/>
      <c r="W34" s="10"/>
      <c r="X34" s="10"/>
      <c r="Y34" s="11"/>
      <c r="Z34" s="11"/>
      <c r="AA34" s="11"/>
    </row>
    <row r="35" spans="1:27" x14ac:dyDescent="0.25">
      <c r="A35" s="6">
        <v>28</v>
      </c>
      <c r="B35" s="19"/>
      <c r="C35" s="7" t="s">
        <v>497</v>
      </c>
      <c r="D35" s="7" t="s">
        <v>729</v>
      </c>
      <c r="E35" s="17">
        <v>24520</v>
      </c>
      <c r="F35" s="7" t="s">
        <v>7</v>
      </c>
      <c r="G35" s="7" t="s">
        <v>78</v>
      </c>
      <c r="H35" s="7" t="s">
        <v>89</v>
      </c>
      <c r="I35" s="7" t="s">
        <v>35</v>
      </c>
      <c r="J35" s="8">
        <v>245435</v>
      </c>
      <c r="K35" s="7" t="s">
        <v>485</v>
      </c>
      <c r="L35" s="20">
        <v>16</v>
      </c>
      <c r="M35" s="20">
        <v>2</v>
      </c>
      <c r="N35" s="20">
        <v>3</v>
      </c>
      <c r="O35" s="8" t="s">
        <v>120</v>
      </c>
      <c r="P35" s="18" t="s">
        <v>121</v>
      </c>
      <c r="Q35" s="111">
        <f>N35</f>
        <v>3</v>
      </c>
      <c r="R35" s="8" t="s">
        <v>119</v>
      </c>
      <c r="S35" s="18" t="str">
        <f t="shared" si="2"/>
        <v>08/07/2021</v>
      </c>
      <c r="T35" s="18">
        <v>44321</v>
      </c>
      <c r="U35" s="1">
        <f t="shared" si="0"/>
        <v>0</v>
      </c>
      <c r="V35" s="10"/>
      <c r="Y35" s="11"/>
      <c r="AA35" s="11"/>
    </row>
    <row r="36" spans="1:27" x14ac:dyDescent="0.25">
      <c r="A36" s="6">
        <v>29</v>
      </c>
      <c r="B36" s="19"/>
      <c r="C36" s="7" t="s">
        <v>497</v>
      </c>
      <c r="D36" s="7" t="s">
        <v>729</v>
      </c>
      <c r="E36" s="17">
        <v>24724</v>
      </c>
      <c r="F36" s="7" t="s">
        <v>7</v>
      </c>
      <c r="G36" s="7" t="s">
        <v>78</v>
      </c>
      <c r="H36" s="7" t="s">
        <v>40</v>
      </c>
      <c r="I36" s="7" t="s">
        <v>35</v>
      </c>
      <c r="J36" s="8">
        <v>971841</v>
      </c>
      <c r="K36" s="7" t="s">
        <v>457</v>
      </c>
      <c r="L36" s="20">
        <v>24</v>
      </c>
      <c r="M36" s="20">
        <v>3</v>
      </c>
      <c r="N36" s="20">
        <v>7</v>
      </c>
      <c r="O36" s="8" t="s">
        <v>123</v>
      </c>
      <c r="P36" s="18" t="s">
        <v>121</v>
      </c>
      <c r="Q36" s="111">
        <f t="shared" si="1"/>
        <v>7</v>
      </c>
      <c r="R36" s="8" t="s">
        <v>119</v>
      </c>
      <c r="S36" s="18" t="str">
        <f t="shared" si="2"/>
        <v>07/07/2021</v>
      </c>
      <c r="T36" s="18">
        <v>44322</v>
      </c>
      <c r="U36" s="1">
        <f t="shared" si="0"/>
        <v>0</v>
      </c>
      <c r="V36" s="10"/>
      <c r="W36" s="10"/>
      <c r="X36" s="10"/>
      <c r="Y36" s="11"/>
      <c r="Z36" s="11"/>
      <c r="AA36" s="11"/>
    </row>
    <row r="37" spans="1:27" x14ac:dyDescent="0.25">
      <c r="A37" s="6">
        <v>30</v>
      </c>
      <c r="B37" s="19"/>
      <c r="C37" s="7" t="s">
        <v>497</v>
      </c>
      <c r="D37" s="7" t="s">
        <v>729</v>
      </c>
      <c r="E37" s="17">
        <v>24611</v>
      </c>
      <c r="F37" s="7" t="s">
        <v>7</v>
      </c>
      <c r="G37" s="7" t="s">
        <v>78</v>
      </c>
      <c r="H37" s="7" t="s">
        <v>317</v>
      </c>
      <c r="I37" s="7" t="s">
        <v>35</v>
      </c>
      <c r="J37" s="8">
        <v>322115</v>
      </c>
      <c r="K37" s="7" t="s">
        <v>501</v>
      </c>
      <c r="L37" s="20">
        <v>16</v>
      </c>
      <c r="M37" s="20">
        <v>2</v>
      </c>
      <c r="N37" s="20">
        <v>3</v>
      </c>
      <c r="O37" s="8" t="s">
        <v>126</v>
      </c>
      <c r="P37" s="18" t="s">
        <v>315</v>
      </c>
      <c r="Q37" s="111">
        <f t="shared" si="1"/>
        <v>3</v>
      </c>
      <c r="R37" s="8" t="s">
        <v>119</v>
      </c>
      <c r="S37" s="18" t="str">
        <f t="shared" si="2"/>
        <v>12/07/2021</v>
      </c>
      <c r="T37" s="18">
        <v>44323</v>
      </c>
      <c r="U37" s="1">
        <f t="shared" si="0"/>
        <v>0</v>
      </c>
      <c r="V37" s="10"/>
      <c r="Y37" s="11"/>
      <c r="AA37" s="11"/>
    </row>
    <row r="38" spans="1:27" x14ac:dyDescent="0.25">
      <c r="A38" s="6">
        <v>31</v>
      </c>
      <c r="B38" s="19"/>
      <c r="C38" s="7" t="s">
        <v>497</v>
      </c>
      <c r="D38" s="7" t="s">
        <v>729</v>
      </c>
      <c r="E38" s="17">
        <v>24725</v>
      </c>
      <c r="F38" s="7" t="s">
        <v>7</v>
      </c>
      <c r="G38" s="7" t="s">
        <v>78</v>
      </c>
      <c r="H38" s="7" t="s">
        <v>40</v>
      </c>
      <c r="I38" s="7" t="s">
        <v>35</v>
      </c>
      <c r="J38" s="8">
        <v>971841</v>
      </c>
      <c r="K38" s="7" t="s">
        <v>457</v>
      </c>
      <c r="L38" s="20">
        <v>24</v>
      </c>
      <c r="M38" s="20">
        <v>3</v>
      </c>
      <c r="N38" s="20">
        <v>7</v>
      </c>
      <c r="O38" s="8" t="s">
        <v>126</v>
      </c>
      <c r="P38" s="18" t="s">
        <v>128</v>
      </c>
      <c r="Q38" s="111">
        <f t="shared" si="1"/>
        <v>7</v>
      </c>
      <c r="R38" s="8" t="s">
        <v>119</v>
      </c>
      <c r="S38" s="18" t="str">
        <f t="shared" si="2"/>
        <v>12/07/2021</v>
      </c>
      <c r="T38" s="18">
        <v>44324</v>
      </c>
      <c r="U38" s="1">
        <f t="shared" si="0"/>
        <v>0</v>
      </c>
      <c r="V38" s="10"/>
      <c r="W38" s="10"/>
      <c r="Y38" s="11"/>
      <c r="Z38" s="11"/>
      <c r="AA38" s="11"/>
    </row>
    <row r="39" spans="1:27" x14ac:dyDescent="0.25">
      <c r="A39" s="6">
        <v>32</v>
      </c>
      <c r="B39" s="19"/>
      <c r="C39" s="7" t="s">
        <v>497</v>
      </c>
      <c r="D39" s="7" t="s">
        <v>729</v>
      </c>
      <c r="E39" s="17">
        <v>24521</v>
      </c>
      <c r="F39" s="7" t="s">
        <v>7</v>
      </c>
      <c r="G39" s="7" t="s">
        <v>78</v>
      </c>
      <c r="H39" s="7" t="s">
        <v>89</v>
      </c>
      <c r="I39" s="7" t="s">
        <v>35</v>
      </c>
      <c r="J39" s="8">
        <v>322115</v>
      </c>
      <c r="K39" s="7" t="s">
        <v>501</v>
      </c>
      <c r="L39" s="20">
        <v>16</v>
      </c>
      <c r="M39" s="20">
        <v>2</v>
      </c>
      <c r="N39" s="20">
        <v>3</v>
      </c>
      <c r="O39" s="8" t="s">
        <v>128</v>
      </c>
      <c r="P39" s="18" t="s">
        <v>318</v>
      </c>
      <c r="Q39" s="111">
        <f t="shared" si="1"/>
        <v>3</v>
      </c>
      <c r="R39" s="8" t="s">
        <v>119</v>
      </c>
      <c r="S39" s="18" t="str">
        <f t="shared" si="2"/>
        <v>14/07/2021</v>
      </c>
      <c r="T39" s="18">
        <v>44325</v>
      </c>
      <c r="U39" s="1">
        <f t="shared" si="0"/>
        <v>0</v>
      </c>
      <c r="Y39" s="11"/>
      <c r="AA39" s="11"/>
    </row>
    <row r="40" spans="1:27" x14ac:dyDescent="0.25">
      <c r="A40" s="6">
        <v>33</v>
      </c>
      <c r="B40" s="19"/>
      <c r="C40" s="7" t="s">
        <v>497</v>
      </c>
      <c r="D40" s="7" t="s">
        <v>729</v>
      </c>
      <c r="E40" s="17">
        <v>24641</v>
      </c>
      <c r="F40" s="7" t="s">
        <v>7</v>
      </c>
      <c r="G40" s="7" t="s">
        <v>78</v>
      </c>
      <c r="H40" s="7" t="s">
        <v>68</v>
      </c>
      <c r="I40" s="7" t="s">
        <v>35</v>
      </c>
      <c r="J40" s="8">
        <v>373645</v>
      </c>
      <c r="K40" s="7" t="s">
        <v>503</v>
      </c>
      <c r="L40" s="20">
        <v>24</v>
      </c>
      <c r="M40" s="20">
        <v>3</v>
      </c>
      <c r="N40" s="20">
        <v>3</v>
      </c>
      <c r="O40" s="8" t="s">
        <v>128</v>
      </c>
      <c r="P40" s="18" t="s">
        <v>129</v>
      </c>
      <c r="Q40" s="111">
        <f t="shared" si="1"/>
        <v>3</v>
      </c>
      <c r="R40" s="8" t="s">
        <v>119</v>
      </c>
      <c r="S40" s="18" t="str">
        <f t="shared" si="2"/>
        <v>14/07/2021</v>
      </c>
      <c r="T40" s="18">
        <v>44326</v>
      </c>
      <c r="U40" s="1">
        <f t="shared" ref="U40:U71" si="3">IF(P40&lt;=$E$3,1,0)</f>
        <v>0</v>
      </c>
      <c r="Y40" s="11"/>
      <c r="AA40" s="11"/>
    </row>
    <row r="41" spans="1:27" x14ac:dyDescent="0.25">
      <c r="A41" s="6">
        <v>34</v>
      </c>
      <c r="B41" s="19"/>
      <c r="C41" s="7" t="s">
        <v>497</v>
      </c>
      <c r="D41" s="7" t="s">
        <v>729</v>
      </c>
      <c r="E41" s="17">
        <v>25325</v>
      </c>
      <c r="F41" s="7" t="s">
        <v>7</v>
      </c>
      <c r="G41" s="7" t="s">
        <v>78</v>
      </c>
      <c r="H41" s="7" t="s">
        <v>199</v>
      </c>
      <c r="I41" s="7" t="s">
        <v>35</v>
      </c>
      <c r="J41" s="8">
        <v>245434</v>
      </c>
      <c r="K41" s="7" t="s">
        <v>500</v>
      </c>
      <c r="L41" s="20">
        <v>8</v>
      </c>
      <c r="M41" s="20">
        <v>1</v>
      </c>
      <c r="N41" s="20">
        <v>3</v>
      </c>
      <c r="O41" s="8" t="s">
        <v>357</v>
      </c>
      <c r="P41" s="18" t="s">
        <v>357</v>
      </c>
      <c r="Q41" s="111">
        <f t="shared" si="1"/>
        <v>3</v>
      </c>
      <c r="R41" s="8" t="s">
        <v>119</v>
      </c>
      <c r="S41" s="18" t="str">
        <f t="shared" si="2"/>
        <v>19/07/2021</v>
      </c>
      <c r="T41" s="18">
        <v>44327</v>
      </c>
      <c r="U41" s="1">
        <f t="shared" si="3"/>
        <v>0</v>
      </c>
      <c r="Y41" s="11"/>
      <c r="AA41" s="11"/>
    </row>
    <row r="42" spans="1:27" x14ac:dyDescent="0.25">
      <c r="A42" s="6">
        <v>35</v>
      </c>
      <c r="B42" s="19"/>
      <c r="C42" s="7" t="s">
        <v>497</v>
      </c>
      <c r="D42" s="7" t="s">
        <v>729</v>
      </c>
      <c r="E42" s="17">
        <v>24850</v>
      </c>
      <c r="F42" s="7" t="s">
        <v>7</v>
      </c>
      <c r="G42" s="7" t="s">
        <v>78</v>
      </c>
      <c r="H42" s="7" t="s">
        <v>84</v>
      </c>
      <c r="I42" s="7" t="s">
        <v>35</v>
      </c>
      <c r="J42" s="8">
        <v>322115</v>
      </c>
      <c r="K42" s="7" t="s">
        <v>501</v>
      </c>
      <c r="L42" s="20">
        <v>16</v>
      </c>
      <c r="M42" s="20">
        <v>2</v>
      </c>
      <c r="N42" s="20">
        <v>6</v>
      </c>
      <c r="O42" s="8" t="s">
        <v>357</v>
      </c>
      <c r="P42" s="18" t="s">
        <v>504</v>
      </c>
      <c r="Q42" s="111">
        <f t="shared" si="1"/>
        <v>6</v>
      </c>
      <c r="R42" s="8" t="s">
        <v>119</v>
      </c>
      <c r="S42" s="18" t="str">
        <f t="shared" si="2"/>
        <v>19/07/2021</v>
      </c>
      <c r="T42" s="18">
        <v>44328</v>
      </c>
      <c r="U42" s="1">
        <f t="shared" si="3"/>
        <v>0</v>
      </c>
      <c r="Y42" s="11"/>
      <c r="AA42" s="11"/>
    </row>
    <row r="43" spans="1:27" x14ac:dyDescent="0.25">
      <c r="A43" s="6">
        <v>36</v>
      </c>
      <c r="B43" s="19"/>
      <c r="C43" s="7" t="s">
        <v>497</v>
      </c>
      <c r="D43" s="7" t="s">
        <v>729</v>
      </c>
      <c r="E43" s="17">
        <v>24726</v>
      </c>
      <c r="F43" s="7" t="s">
        <v>7</v>
      </c>
      <c r="G43" s="7" t="s">
        <v>78</v>
      </c>
      <c r="H43" s="7" t="s">
        <v>40</v>
      </c>
      <c r="I43" s="7" t="s">
        <v>35</v>
      </c>
      <c r="J43" s="8">
        <v>389297</v>
      </c>
      <c r="K43" s="7" t="s">
        <v>505</v>
      </c>
      <c r="L43" s="20">
        <v>24</v>
      </c>
      <c r="M43" s="20">
        <v>3</v>
      </c>
      <c r="N43" s="20">
        <v>7</v>
      </c>
      <c r="O43" s="8" t="s">
        <v>357</v>
      </c>
      <c r="P43" s="18" t="s">
        <v>131</v>
      </c>
      <c r="Q43" s="111">
        <f t="shared" si="1"/>
        <v>7</v>
      </c>
      <c r="R43" s="8" t="s">
        <v>119</v>
      </c>
      <c r="S43" s="18" t="str">
        <f t="shared" si="2"/>
        <v>19/07/2021</v>
      </c>
      <c r="T43" s="18">
        <v>44329</v>
      </c>
      <c r="U43" s="1">
        <f t="shared" si="3"/>
        <v>0</v>
      </c>
      <c r="Y43" s="11"/>
      <c r="AA43" s="11"/>
    </row>
    <row r="44" spans="1:27" x14ac:dyDescent="0.25">
      <c r="A44" s="6">
        <v>37</v>
      </c>
      <c r="B44" s="19"/>
      <c r="C44" s="7" t="s">
        <v>497</v>
      </c>
      <c r="D44" s="7" t="s">
        <v>729</v>
      </c>
      <c r="E44" s="17">
        <v>24612</v>
      </c>
      <c r="F44" s="7" t="s">
        <v>7</v>
      </c>
      <c r="G44" s="7" t="s">
        <v>78</v>
      </c>
      <c r="H44" s="7" t="s">
        <v>317</v>
      </c>
      <c r="I44" s="7" t="s">
        <v>35</v>
      </c>
      <c r="J44" s="8">
        <v>245434</v>
      </c>
      <c r="K44" s="7" t="s">
        <v>500</v>
      </c>
      <c r="L44" s="20">
        <v>16</v>
      </c>
      <c r="M44" s="20">
        <v>2</v>
      </c>
      <c r="N44" s="20">
        <v>3</v>
      </c>
      <c r="O44" s="8" t="s">
        <v>132</v>
      </c>
      <c r="P44" s="18" t="s">
        <v>444</v>
      </c>
      <c r="Q44" s="111">
        <f t="shared" si="1"/>
        <v>3</v>
      </c>
      <c r="R44" s="8" t="s">
        <v>119</v>
      </c>
      <c r="S44" s="18" t="str">
        <f t="shared" si="2"/>
        <v>22/07/2021</v>
      </c>
      <c r="T44" s="18">
        <v>44330</v>
      </c>
      <c r="U44" s="1">
        <f t="shared" si="3"/>
        <v>0</v>
      </c>
      <c r="Y44" s="11"/>
      <c r="AA44" s="11"/>
    </row>
    <row r="45" spans="1:27" x14ac:dyDescent="0.25">
      <c r="A45" s="6">
        <v>38</v>
      </c>
      <c r="B45" s="19"/>
      <c r="C45" s="7" t="s">
        <v>497</v>
      </c>
      <c r="D45" s="7" t="s">
        <v>729</v>
      </c>
      <c r="E45" s="17">
        <v>24658</v>
      </c>
      <c r="F45" s="7" t="s">
        <v>7</v>
      </c>
      <c r="G45" s="7" t="s">
        <v>78</v>
      </c>
      <c r="H45" s="7" t="s">
        <v>68</v>
      </c>
      <c r="I45" s="7" t="s">
        <v>35</v>
      </c>
      <c r="J45" s="8">
        <v>245435</v>
      </c>
      <c r="K45" s="7" t="s">
        <v>485</v>
      </c>
      <c r="L45" s="20">
        <v>24</v>
      </c>
      <c r="M45" s="20">
        <v>3</v>
      </c>
      <c r="N45" s="20">
        <v>3</v>
      </c>
      <c r="O45" s="8" t="s">
        <v>131</v>
      </c>
      <c r="P45" s="18" t="s">
        <v>444</v>
      </c>
      <c r="Q45" s="111">
        <f t="shared" si="1"/>
        <v>3</v>
      </c>
      <c r="R45" s="8" t="s">
        <v>119</v>
      </c>
      <c r="S45" s="18" t="str">
        <f t="shared" si="2"/>
        <v>21/07/2021</v>
      </c>
      <c r="T45" s="18">
        <v>44331</v>
      </c>
      <c r="U45" s="1">
        <f t="shared" si="3"/>
        <v>0</v>
      </c>
      <c r="Y45" s="11"/>
      <c r="AA45" s="11"/>
    </row>
    <row r="46" spans="1:27" x14ac:dyDescent="0.25">
      <c r="A46" s="6">
        <v>39</v>
      </c>
      <c r="B46" s="19"/>
      <c r="C46" s="7" t="s">
        <v>497</v>
      </c>
      <c r="D46" s="7" t="s">
        <v>729</v>
      </c>
      <c r="E46" s="17">
        <v>24642</v>
      </c>
      <c r="F46" s="7" t="s">
        <v>7</v>
      </c>
      <c r="G46" s="7" t="s">
        <v>78</v>
      </c>
      <c r="H46" s="7" t="s">
        <v>68</v>
      </c>
      <c r="I46" s="7" t="s">
        <v>35</v>
      </c>
      <c r="J46" s="8">
        <v>322115</v>
      </c>
      <c r="K46" s="7" t="s">
        <v>501</v>
      </c>
      <c r="L46" s="20">
        <v>24</v>
      </c>
      <c r="M46" s="20">
        <v>3</v>
      </c>
      <c r="N46" s="20">
        <v>3</v>
      </c>
      <c r="O46" s="8" t="s">
        <v>131</v>
      </c>
      <c r="P46" s="18" t="s">
        <v>444</v>
      </c>
      <c r="Q46" s="111">
        <f t="shared" si="1"/>
        <v>3</v>
      </c>
      <c r="R46" s="8" t="s">
        <v>119</v>
      </c>
      <c r="S46" s="18" t="str">
        <f t="shared" si="2"/>
        <v>21/07/2021</v>
      </c>
      <c r="T46" s="18">
        <v>44332</v>
      </c>
      <c r="U46" s="1">
        <f t="shared" si="3"/>
        <v>0</v>
      </c>
      <c r="Y46" s="11"/>
      <c r="AA46" s="11"/>
    </row>
    <row r="47" spans="1:27" x14ac:dyDescent="0.25">
      <c r="A47" s="6">
        <v>40</v>
      </c>
      <c r="B47" s="19"/>
      <c r="C47" s="7" t="s">
        <v>497</v>
      </c>
      <c r="D47" s="7" t="s">
        <v>729</v>
      </c>
      <c r="E47" s="17">
        <v>25326</v>
      </c>
      <c r="F47" s="7" t="s">
        <v>7</v>
      </c>
      <c r="G47" s="7" t="s">
        <v>78</v>
      </c>
      <c r="H47" s="7" t="s">
        <v>199</v>
      </c>
      <c r="I47" s="7" t="s">
        <v>35</v>
      </c>
      <c r="J47" s="8">
        <v>245434</v>
      </c>
      <c r="K47" s="7" t="s">
        <v>500</v>
      </c>
      <c r="L47" s="20">
        <v>8</v>
      </c>
      <c r="M47" s="20">
        <v>1</v>
      </c>
      <c r="N47" s="20">
        <v>2</v>
      </c>
      <c r="O47" s="8" t="s">
        <v>136</v>
      </c>
      <c r="P47" s="18" t="s">
        <v>136</v>
      </c>
      <c r="Q47" s="111">
        <f t="shared" si="1"/>
        <v>2</v>
      </c>
      <c r="R47" s="8" t="s">
        <v>119</v>
      </c>
      <c r="S47" s="18" t="str">
        <f t="shared" si="2"/>
        <v>28/07/2021</v>
      </c>
      <c r="T47" s="18">
        <v>44333</v>
      </c>
      <c r="U47" s="1">
        <f t="shared" si="3"/>
        <v>0</v>
      </c>
      <c r="Y47" s="11"/>
      <c r="AA47" s="11"/>
    </row>
    <row r="48" spans="1:27" x14ac:dyDescent="0.25">
      <c r="A48" s="6">
        <v>41</v>
      </c>
      <c r="B48" s="19"/>
      <c r="C48" s="7" t="s">
        <v>497</v>
      </c>
      <c r="D48" s="7" t="s">
        <v>729</v>
      </c>
      <c r="E48" s="17">
        <v>24876</v>
      </c>
      <c r="F48" s="7" t="s">
        <v>7</v>
      </c>
      <c r="G48" s="7" t="s">
        <v>78</v>
      </c>
      <c r="H48" s="7" t="s">
        <v>148</v>
      </c>
      <c r="I48" s="7" t="s">
        <v>35</v>
      </c>
      <c r="J48" s="8">
        <v>245435</v>
      </c>
      <c r="K48" s="7" t="s">
        <v>485</v>
      </c>
      <c r="L48" s="20">
        <v>8</v>
      </c>
      <c r="M48" s="20">
        <v>1</v>
      </c>
      <c r="N48" s="20">
        <v>11</v>
      </c>
      <c r="O48" s="8" t="s">
        <v>137</v>
      </c>
      <c r="P48" s="18" t="s">
        <v>137</v>
      </c>
      <c r="Q48" s="111">
        <f t="shared" si="1"/>
        <v>11</v>
      </c>
      <c r="R48" s="8" t="s">
        <v>119</v>
      </c>
      <c r="S48" s="18" t="str">
        <f t="shared" si="2"/>
        <v>29/07/2021</v>
      </c>
      <c r="T48" s="18">
        <v>44334</v>
      </c>
      <c r="U48" s="1">
        <f t="shared" si="3"/>
        <v>0</v>
      </c>
      <c r="Y48" s="11"/>
      <c r="AA48" s="11"/>
    </row>
    <row r="49" spans="1:27" x14ac:dyDescent="0.25">
      <c r="A49" s="6">
        <v>42</v>
      </c>
      <c r="B49" s="19"/>
      <c r="C49" s="7" t="s">
        <v>497</v>
      </c>
      <c r="D49" s="7" t="s">
        <v>729</v>
      </c>
      <c r="E49" s="17">
        <v>24523</v>
      </c>
      <c r="F49" s="7" t="s">
        <v>7</v>
      </c>
      <c r="G49" s="7" t="s">
        <v>78</v>
      </c>
      <c r="H49" s="7" t="s">
        <v>89</v>
      </c>
      <c r="I49" s="7" t="s">
        <v>35</v>
      </c>
      <c r="J49" s="8">
        <v>322115</v>
      </c>
      <c r="K49" s="7" t="s">
        <v>501</v>
      </c>
      <c r="L49" s="20">
        <v>16</v>
      </c>
      <c r="M49" s="20">
        <v>2</v>
      </c>
      <c r="N49" s="20">
        <v>3</v>
      </c>
      <c r="O49" s="8" t="s">
        <v>137</v>
      </c>
      <c r="P49" s="18" t="s">
        <v>358</v>
      </c>
      <c r="Q49" s="111">
        <f t="shared" si="1"/>
        <v>3</v>
      </c>
      <c r="R49" s="8" t="s">
        <v>119</v>
      </c>
      <c r="S49" s="18" t="str">
        <f t="shared" si="2"/>
        <v>29/07/2021</v>
      </c>
      <c r="T49" s="18">
        <v>44335</v>
      </c>
      <c r="U49" s="1">
        <f t="shared" si="3"/>
        <v>0</v>
      </c>
      <c r="Y49" s="11"/>
      <c r="AA49" s="11"/>
    </row>
    <row r="50" spans="1:27" x14ac:dyDescent="0.25">
      <c r="A50" s="6">
        <v>43</v>
      </c>
      <c r="B50" s="19"/>
      <c r="C50" s="7" t="s">
        <v>497</v>
      </c>
      <c r="D50" s="7" t="s">
        <v>729</v>
      </c>
      <c r="E50" s="17">
        <v>24643</v>
      </c>
      <c r="F50" s="7" t="s">
        <v>7</v>
      </c>
      <c r="G50" s="7" t="s">
        <v>78</v>
      </c>
      <c r="H50" s="7" t="s">
        <v>68</v>
      </c>
      <c r="I50" s="7" t="s">
        <v>35</v>
      </c>
      <c r="J50" s="8">
        <v>373645</v>
      </c>
      <c r="K50" s="7" t="s">
        <v>503</v>
      </c>
      <c r="L50" s="20">
        <v>24</v>
      </c>
      <c r="M50" s="20">
        <v>3</v>
      </c>
      <c r="N50" s="20">
        <v>3</v>
      </c>
      <c r="O50" s="8" t="s">
        <v>136</v>
      </c>
      <c r="P50" s="18" t="s">
        <v>358</v>
      </c>
      <c r="Q50" s="111">
        <f t="shared" si="1"/>
        <v>3</v>
      </c>
      <c r="R50" s="8" t="s">
        <v>119</v>
      </c>
      <c r="S50" s="18" t="str">
        <f t="shared" si="2"/>
        <v>28/07/2021</v>
      </c>
      <c r="T50" s="18">
        <v>44336</v>
      </c>
      <c r="U50" s="1">
        <f t="shared" si="3"/>
        <v>0</v>
      </c>
      <c r="Y50" s="11"/>
      <c r="AA50" s="11"/>
    </row>
    <row r="51" spans="1:27" x14ac:dyDescent="0.25">
      <c r="A51" s="6">
        <v>44</v>
      </c>
      <c r="B51" s="19"/>
      <c r="C51" s="7" t="s">
        <v>497</v>
      </c>
      <c r="D51" s="7" t="s">
        <v>729</v>
      </c>
      <c r="E51" s="17">
        <v>24614</v>
      </c>
      <c r="F51" s="7" t="s">
        <v>7</v>
      </c>
      <c r="G51" s="7" t="s">
        <v>78</v>
      </c>
      <c r="H51" s="7" t="s">
        <v>317</v>
      </c>
      <c r="I51" s="7" t="s">
        <v>35</v>
      </c>
      <c r="J51" s="8">
        <v>245434</v>
      </c>
      <c r="K51" s="7" t="s">
        <v>500</v>
      </c>
      <c r="L51" s="20">
        <v>16</v>
      </c>
      <c r="M51" s="20">
        <v>2</v>
      </c>
      <c r="N51" s="20">
        <v>3</v>
      </c>
      <c r="O51" s="8" t="s">
        <v>139</v>
      </c>
      <c r="P51" s="18" t="s">
        <v>140</v>
      </c>
      <c r="Q51" s="111">
        <f t="shared" si="1"/>
        <v>3</v>
      </c>
      <c r="R51" s="8" t="s">
        <v>141</v>
      </c>
      <c r="S51" s="18" t="str">
        <f t="shared" si="2"/>
        <v>02/08/2021</v>
      </c>
      <c r="T51" s="18">
        <v>44337</v>
      </c>
      <c r="U51" s="1">
        <f t="shared" si="3"/>
        <v>0</v>
      </c>
      <c r="Y51" s="11"/>
      <c r="AA51" s="11"/>
    </row>
    <row r="52" spans="1:27" x14ac:dyDescent="0.25">
      <c r="A52" s="6">
        <v>45</v>
      </c>
      <c r="B52" s="19"/>
      <c r="C52" s="7" t="s">
        <v>497</v>
      </c>
      <c r="D52" s="7" t="s">
        <v>729</v>
      </c>
      <c r="E52" s="17">
        <v>25305</v>
      </c>
      <c r="F52" s="7" t="s">
        <v>7</v>
      </c>
      <c r="G52" s="7" t="s">
        <v>78</v>
      </c>
      <c r="H52" s="7" t="s">
        <v>199</v>
      </c>
      <c r="I52" s="7" t="s">
        <v>35</v>
      </c>
      <c r="J52" s="8">
        <v>373645</v>
      </c>
      <c r="K52" s="7" t="s">
        <v>503</v>
      </c>
      <c r="L52" s="20">
        <v>8</v>
      </c>
      <c r="M52" s="20">
        <v>1</v>
      </c>
      <c r="N52" s="20">
        <v>6</v>
      </c>
      <c r="O52" s="8" t="s">
        <v>140</v>
      </c>
      <c r="P52" s="18" t="s">
        <v>140</v>
      </c>
      <c r="Q52" s="111">
        <f t="shared" si="1"/>
        <v>6</v>
      </c>
      <c r="R52" s="8" t="s">
        <v>141</v>
      </c>
      <c r="S52" s="18" t="str">
        <f t="shared" si="2"/>
        <v>03/08/2021</v>
      </c>
      <c r="T52" s="18">
        <v>44338</v>
      </c>
      <c r="U52" s="1">
        <f t="shared" si="3"/>
        <v>0</v>
      </c>
      <c r="Y52" s="11"/>
      <c r="AA52" s="11"/>
    </row>
    <row r="53" spans="1:27" x14ac:dyDescent="0.25">
      <c r="A53" s="6">
        <v>46</v>
      </c>
      <c r="B53" s="19"/>
      <c r="C53" s="7" t="s">
        <v>497</v>
      </c>
      <c r="D53" s="7" t="s">
        <v>729</v>
      </c>
      <c r="E53" s="17">
        <v>24728</v>
      </c>
      <c r="F53" s="7" t="s">
        <v>7</v>
      </c>
      <c r="G53" s="7" t="s">
        <v>78</v>
      </c>
      <c r="H53" s="7" t="s">
        <v>40</v>
      </c>
      <c r="I53" s="7" t="s">
        <v>35</v>
      </c>
      <c r="J53" s="8">
        <v>322115</v>
      </c>
      <c r="K53" s="7" t="s">
        <v>501</v>
      </c>
      <c r="L53" s="20">
        <v>24</v>
      </c>
      <c r="M53" s="20">
        <v>3</v>
      </c>
      <c r="N53" s="20">
        <v>3</v>
      </c>
      <c r="O53" s="8" t="s">
        <v>139</v>
      </c>
      <c r="P53" s="18" t="s">
        <v>143</v>
      </c>
      <c r="Q53" s="111">
        <f t="shared" si="1"/>
        <v>3</v>
      </c>
      <c r="R53" s="8" t="s">
        <v>141</v>
      </c>
      <c r="S53" s="18" t="str">
        <f t="shared" si="2"/>
        <v>02/08/2021</v>
      </c>
      <c r="T53" s="18">
        <v>44339</v>
      </c>
      <c r="U53" s="1">
        <f t="shared" si="3"/>
        <v>0</v>
      </c>
      <c r="Y53" s="11"/>
      <c r="AA53" s="11"/>
    </row>
    <row r="54" spans="1:27" x14ac:dyDescent="0.25">
      <c r="A54" s="6">
        <v>47</v>
      </c>
      <c r="B54" s="19"/>
      <c r="C54" s="7" t="s">
        <v>497</v>
      </c>
      <c r="D54" s="7" t="s">
        <v>729</v>
      </c>
      <c r="E54" s="17">
        <v>25303</v>
      </c>
      <c r="F54" s="7" t="s">
        <v>7</v>
      </c>
      <c r="G54" s="7" t="s">
        <v>78</v>
      </c>
      <c r="H54" s="7" t="s">
        <v>199</v>
      </c>
      <c r="I54" s="7" t="s">
        <v>35</v>
      </c>
      <c r="J54" s="8">
        <v>329860</v>
      </c>
      <c r="K54" s="7" t="s">
        <v>506</v>
      </c>
      <c r="L54" s="20">
        <v>8</v>
      </c>
      <c r="M54" s="20">
        <v>1</v>
      </c>
      <c r="N54" s="20">
        <v>6</v>
      </c>
      <c r="O54" s="8" t="s">
        <v>145</v>
      </c>
      <c r="P54" s="18" t="s">
        <v>145</v>
      </c>
      <c r="Q54" s="111">
        <f t="shared" si="1"/>
        <v>6</v>
      </c>
      <c r="R54" s="8" t="s">
        <v>141</v>
      </c>
      <c r="S54" s="18" t="str">
        <f t="shared" si="2"/>
        <v>05/08/2021</v>
      </c>
      <c r="T54" s="18">
        <v>44340</v>
      </c>
      <c r="U54" s="1">
        <f t="shared" si="3"/>
        <v>0</v>
      </c>
      <c r="Y54" s="11"/>
      <c r="AA54" s="11"/>
    </row>
    <row r="55" spans="1:27" x14ac:dyDescent="0.25">
      <c r="A55" s="6">
        <v>48</v>
      </c>
      <c r="B55" s="19"/>
      <c r="C55" s="7" t="s">
        <v>497</v>
      </c>
      <c r="D55" s="7" t="s">
        <v>729</v>
      </c>
      <c r="E55" s="17">
        <v>24637</v>
      </c>
      <c r="F55" s="7" t="s">
        <v>7</v>
      </c>
      <c r="G55" s="7" t="s">
        <v>78</v>
      </c>
      <c r="H55" s="7" t="s">
        <v>68</v>
      </c>
      <c r="I55" s="7" t="s">
        <v>35</v>
      </c>
      <c r="J55" s="8">
        <v>245434</v>
      </c>
      <c r="K55" s="7" t="s">
        <v>500</v>
      </c>
      <c r="L55" s="20">
        <v>24</v>
      </c>
      <c r="M55" s="20">
        <v>3</v>
      </c>
      <c r="N55" s="20">
        <v>3</v>
      </c>
      <c r="O55" s="8" t="s">
        <v>143</v>
      </c>
      <c r="P55" s="18" t="s">
        <v>146</v>
      </c>
      <c r="Q55" s="111">
        <f t="shared" si="1"/>
        <v>3</v>
      </c>
      <c r="R55" s="8" t="s">
        <v>141</v>
      </c>
      <c r="S55" s="18" t="str">
        <f t="shared" si="2"/>
        <v>04/08/2021</v>
      </c>
      <c r="T55" s="18">
        <v>44341</v>
      </c>
      <c r="U55" s="1">
        <f t="shared" si="3"/>
        <v>0</v>
      </c>
      <c r="Y55" s="11"/>
      <c r="AA55" s="11"/>
    </row>
    <row r="56" spans="1:27" x14ac:dyDescent="0.25">
      <c r="A56" s="6">
        <v>49</v>
      </c>
      <c r="B56" s="19"/>
      <c r="C56" s="7" t="s">
        <v>497</v>
      </c>
      <c r="D56" s="7" t="s">
        <v>729</v>
      </c>
      <c r="E56" s="17">
        <v>24644</v>
      </c>
      <c r="F56" s="7" t="s">
        <v>7</v>
      </c>
      <c r="G56" s="7" t="s">
        <v>78</v>
      </c>
      <c r="H56" s="7" t="s">
        <v>68</v>
      </c>
      <c r="I56" s="7" t="s">
        <v>35</v>
      </c>
      <c r="J56" s="8">
        <v>373645</v>
      </c>
      <c r="K56" s="7" t="s">
        <v>503</v>
      </c>
      <c r="L56" s="20">
        <v>24</v>
      </c>
      <c r="M56" s="20">
        <v>3</v>
      </c>
      <c r="N56" s="20">
        <v>3</v>
      </c>
      <c r="O56" s="8" t="s">
        <v>143</v>
      </c>
      <c r="P56" s="18" t="s">
        <v>146</v>
      </c>
      <c r="Q56" s="111">
        <f t="shared" si="1"/>
        <v>3</v>
      </c>
      <c r="R56" s="8" t="s">
        <v>141</v>
      </c>
      <c r="S56" s="18" t="str">
        <f t="shared" si="2"/>
        <v>04/08/2021</v>
      </c>
      <c r="T56" s="18">
        <v>44342</v>
      </c>
      <c r="U56" s="1">
        <f t="shared" si="3"/>
        <v>0</v>
      </c>
      <c r="Y56" s="11"/>
      <c r="AA56" s="11"/>
    </row>
    <row r="57" spans="1:27" x14ac:dyDescent="0.25">
      <c r="A57" s="6">
        <v>50</v>
      </c>
      <c r="B57" s="19"/>
      <c r="C57" s="7" t="s">
        <v>497</v>
      </c>
      <c r="D57" s="7" t="s">
        <v>729</v>
      </c>
      <c r="E57" s="17">
        <v>24525</v>
      </c>
      <c r="F57" s="7" t="s">
        <v>7</v>
      </c>
      <c r="G57" s="7" t="s">
        <v>78</v>
      </c>
      <c r="H57" s="7" t="s">
        <v>89</v>
      </c>
      <c r="I57" s="7" t="s">
        <v>35</v>
      </c>
      <c r="J57" s="8">
        <v>322115</v>
      </c>
      <c r="K57" s="7" t="s">
        <v>501</v>
      </c>
      <c r="L57" s="20">
        <v>16</v>
      </c>
      <c r="M57" s="20">
        <v>2</v>
      </c>
      <c r="N57" s="20">
        <v>3</v>
      </c>
      <c r="O57" s="8" t="s">
        <v>151</v>
      </c>
      <c r="P57" s="18" t="s">
        <v>152</v>
      </c>
      <c r="Q57" s="111">
        <f>N57</f>
        <v>3</v>
      </c>
      <c r="R57" s="8" t="s">
        <v>141</v>
      </c>
      <c r="S57" s="18" t="str">
        <f t="shared" si="2"/>
        <v>10/08/2021</v>
      </c>
      <c r="T57" s="18">
        <v>44343</v>
      </c>
      <c r="U57" s="1">
        <f t="shared" si="3"/>
        <v>0</v>
      </c>
      <c r="Y57" s="11"/>
    </row>
    <row r="58" spans="1:27" x14ac:dyDescent="0.25">
      <c r="A58" s="6">
        <v>51</v>
      </c>
      <c r="B58" s="19"/>
      <c r="C58" s="7" t="s">
        <v>497</v>
      </c>
      <c r="D58" s="7" t="s">
        <v>729</v>
      </c>
      <c r="E58" s="17">
        <v>24645</v>
      </c>
      <c r="F58" s="7" t="s">
        <v>7</v>
      </c>
      <c r="G58" s="7" t="s">
        <v>78</v>
      </c>
      <c r="H58" s="7" t="s">
        <v>68</v>
      </c>
      <c r="I58" s="7" t="s">
        <v>35</v>
      </c>
      <c r="J58" s="8">
        <v>373645</v>
      </c>
      <c r="K58" s="7" t="s">
        <v>503</v>
      </c>
      <c r="L58" s="20">
        <v>24</v>
      </c>
      <c r="M58" s="20">
        <v>3</v>
      </c>
      <c r="N58" s="20">
        <v>3</v>
      </c>
      <c r="O58" s="8" t="s">
        <v>149</v>
      </c>
      <c r="P58" s="18" t="s">
        <v>152</v>
      </c>
      <c r="Q58" s="111">
        <f t="shared" si="1"/>
        <v>3</v>
      </c>
      <c r="R58" s="8" t="s">
        <v>141</v>
      </c>
      <c r="S58" s="18" t="str">
        <f t="shared" si="2"/>
        <v>09/08/2021</v>
      </c>
      <c r="T58" s="18">
        <v>44344</v>
      </c>
      <c r="U58" s="1">
        <f t="shared" si="3"/>
        <v>0</v>
      </c>
      <c r="Y58" s="11"/>
    </row>
    <row r="59" spans="1:27" x14ac:dyDescent="0.25">
      <c r="A59" s="6">
        <v>52</v>
      </c>
      <c r="B59" s="19"/>
      <c r="C59" s="7" t="s">
        <v>497</v>
      </c>
      <c r="D59" s="7" t="s">
        <v>729</v>
      </c>
      <c r="E59" s="17">
        <v>24615</v>
      </c>
      <c r="F59" s="7" t="s">
        <v>7</v>
      </c>
      <c r="G59" s="7" t="s">
        <v>78</v>
      </c>
      <c r="H59" s="7" t="s">
        <v>317</v>
      </c>
      <c r="I59" s="7" t="s">
        <v>35</v>
      </c>
      <c r="J59" s="8">
        <v>245434</v>
      </c>
      <c r="K59" s="7" t="s">
        <v>500</v>
      </c>
      <c r="L59" s="20">
        <v>16</v>
      </c>
      <c r="M59" s="20">
        <v>2</v>
      </c>
      <c r="N59" s="20">
        <v>3</v>
      </c>
      <c r="O59" s="8" t="s">
        <v>153</v>
      </c>
      <c r="P59" s="18" t="s">
        <v>429</v>
      </c>
      <c r="Q59" s="111">
        <f t="shared" si="1"/>
        <v>3</v>
      </c>
      <c r="R59" s="8" t="s">
        <v>141</v>
      </c>
      <c r="S59" s="18" t="str">
        <f t="shared" si="2"/>
        <v>12/08/2021</v>
      </c>
      <c r="T59" s="18">
        <v>44345</v>
      </c>
      <c r="U59" s="1">
        <f t="shared" si="3"/>
        <v>0</v>
      </c>
      <c r="Y59" s="11"/>
    </row>
    <row r="60" spans="1:27" x14ac:dyDescent="0.25">
      <c r="A60" s="6">
        <v>53</v>
      </c>
      <c r="B60" s="19"/>
      <c r="C60" s="7" t="s">
        <v>497</v>
      </c>
      <c r="D60" s="7" t="s">
        <v>729</v>
      </c>
      <c r="E60" s="17">
        <v>24526</v>
      </c>
      <c r="F60" s="7" t="s">
        <v>7</v>
      </c>
      <c r="G60" s="7" t="s">
        <v>78</v>
      </c>
      <c r="H60" s="7" t="s">
        <v>89</v>
      </c>
      <c r="I60" s="7" t="s">
        <v>35</v>
      </c>
      <c r="J60" s="8">
        <v>245435</v>
      </c>
      <c r="K60" s="7" t="s">
        <v>485</v>
      </c>
      <c r="L60" s="20">
        <v>16</v>
      </c>
      <c r="M60" s="20">
        <v>2</v>
      </c>
      <c r="N60" s="20">
        <v>3</v>
      </c>
      <c r="O60" s="8" t="s">
        <v>154</v>
      </c>
      <c r="P60" s="18" t="s">
        <v>155</v>
      </c>
      <c r="Q60" s="111">
        <f t="shared" si="1"/>
        <v>3</v>
      </c>
      <c r="R60" s="8" t="s">
        <v>141</v>
      </c>
      <c r="S60" s="18" t="str">
        <f t="shared" si="2"/>
        <v>16/08/2021</v>
      </c>
      <c r="T60" s="18">
        <v>44346</v>
      </c>
      <c r="U60" s="1">
        <f t="shared" si="3"/>
        <v>0</v>
      </c>
      <c r="Y60" s="11"/>
    </row>
    <row r="61" spans="1:27" x14ac:dyDescent="0.25">
      <c r="A61" s="6">
        <v>54</v>
      </c>
      <c r="B61" s="19"/>
      <c r="C61" s="7" t="s">
        <v>497</v>
      </c>
      <c r="D61" s="7" t="s">
        <v>729</v>
      </c>
      <c r="E61" s="17">
        <v>24729</v>
      </c>
      <c r="F61" s="7" t="s">
        <v>7</v>
      </c>
      <c r="G61" s="7" t="s">
        <v>78</v>
      </c>
      <c r="H61" s="7" t="s">
        <v>40</v>
      </c>
      <c r="I61" s="7" t="s">
        <v>35</v>
      </c>
      <c r="J61" s="8">
        <v>389297</v>
      </c>
      <c r="K61" s="7" t="s">
        <v>505</v>
      </c>
      <c r="L61" s="20">
        <v>24</v>
      </c>
      <c r="M61" s="20">
        <v>3</v>
      </c>
      <c r="N61" s="20">
        <v>3</v>
      </c>
      <c r="O61" s="8" t="s">
        <v>154</v>
      </c>
      <c r="P61" s="18" t="s">
        <v>156</v>
      </c>
      <c r="Q61" s="111">
        <f t="shared" si="1"/>
        <v>3</v>
      </c>
      <c r="R61" s="8" t="s">
        <v>141</v>
      </c>
      <c r="S61" s="18" t="str">
        <f t="shared" si="2"/>
        <v>16/08/2021</v>
      </c>
      <c r="T61" s="18">
        <v>44347</v>
      </c>
      <c r="U61" s="1">
        <f t="shared" si="3"/>
        <v>0</v>
      </c>
      <c r="Y61" s="11"/>
    </row>
    <row r="62" spans="1:27" x14ac:dyDescent="0.25">
      <c r="A62" s="6">
        <v>55</v>
      </c>
      <c r="B62" s="19"/>
      <c r="C62" s="7" t="s">
        <v>497</v>
      </c>
      <c r="D62" s="7" t="s">
        <v>729</v>
      </c>
      <c r="E62" s="17">
        <v>24616</v>
      </c>
      <c r="F62" s="7" t="s">
        <v>7</v>
      </c>
      <c r="G62" s="7" t="s">
        <v>78</v>
      </c>
      <c r="H62" s="7" t="s">
        <v>317</v>
      </c>
      <c r="I62" s="7" t="s">
        <v>35</v>
      </c>
      <c r="J62" s="8">
        <v>245434</v>
      </c>
      <c r="K62" s="7" t="s">
        <v>500</v>
      </c>
      <c r="L62" s="20">
        <v>16</v>
      </c>
      <c r="M62" s="20">
        <v>2</v>
      </c>
      <c r="N62" s="20">
        <v>3</v>
      </c>
      <c r="O62" s="8" t="s">
        <v>157</v>
      </c>
      <c r="P62" s="18" t="s">
        <v>158</v>
      </c>
      <c r="Q62" s="111">
        <f t="shared" si="1"/>
        <v>3</v>
      </c>
      <c r="R62" s="8" t="s">
        <v>141</v>
      </c>
      <c r="S62" s="18" t="str">
        <f t="shared" si="2"/>
        <v>19/08/2021</v>
      </c>
      <c r="T62" s="18">
        <v>44348</v>
      </c>
      <c r="U62" s="1">
        <f t="shared" si="3"/>
        <v>0</v>
      </c>
      <c r="Y62" s="11"/>
    </row>
    <row r="63" spans="1:27" x14ac:dyDescent="0.25">
      <c r="A63" s="6">
        <v>56</v>
      </c>
      <c r="B63" s="19"/>
      <c r="C63" s="7" t="s">
        <v>497</v>
      </c>
      <c r="D63" s="7" t="s">
        <v>729</v>
      </c>
      <c r="E63" s="17">
        <v>25306</v>
      </c>
      <c r="F63" s="7" t="s">
        <v>7</v>
      </c>
      <c r="G63" s="7" t="s">
        <v>78</v>
      </c>
      <c r="H63" s="7" t="s">
        <v>199</v>
      </c>
      <c r="I63" s="7" t="s">
        <v>35</v>
      </c>
      <c r="J63" s="8">
        <v>245434</v>
      </c>
      <c r="K63" s="7" t="s">
        <v>500</v>
      </c>
      <c r="L63" s="20">
        <v>8</v>
      </c>
      <c r="M63" s="20">
        <v>1</v>
      </c>
      <c r="N63" s="20">
        <v>6</v>
      </c>
      <c r="O63" s="8" t="s">
        <v>161</v>
      </c>
      <c r="P63" s="18" t="s">
        <v>161</v>
      </c>
      <c r="Q63" s="111">
        <f t="shared" si="1"/>
        <v>6</v>
      </c>
      <c r="R63" s="8" t="s">
        <v>141</v>
      </c>
      <c r="S63" s="18" t="str">
        <f t="shared" si="2"/>
        <v>23/08/2021</v>
      </c>
      <c r="T63" s="18">
        <v>44349</v>
      </c>
      <c r="U63" s="1">
        <f t="shared" si="3"/>
        <v>0</v>
      </c>
      <c r="Y63" s="11"/>
    </row>
    <row r="64" spans="1:27" x14ac:dyDescent="0.25">
      <c r="A64" s="6">
        <v>57</v>
      </c>
      <c r="B64" s="19"/>
      <c r="C64" s="7" t="s">
        <v>497</v>
      </c>
      <c r="D64" s="7" t="s">
        <v>729</v>
      </c>
      <c r="E64" s="17">
        <v>24617</v>
      </c>
      <c r="F64" s="7" t="s">
        <v>7</v>
      </c>
      <c r="G64" s="7" t="s">
        <v>78</v>
      </c>
      <c r="H64" s="7" t="s">
        <v>317</v>
      </c>
      <c r="I64" s="7" t="s">
        <v>35</v>
      </c>
      <c r="J64" s="8">
        <v>245434</v>
      </c>
      <c r="K64" s="7" t="s">
        <v>500</v>
      </c>
      <c r="L64" s="20">
        <v>16</v>
      </c>
      <c r="M64" s="20">
        <v>2</v>
      </c>
      <c r="N64" s="20">
        <v>3</v>
      </c>
      <c r="O64" s="8" t="s">
        <v>164</v>
      </c>
      <c r="P64" s="18" t="s">
        <v>165</v>
      </c>
      <c r="Q64" s="111">
        <f t="shared" si="1"/>
        <v>3</v>
      </c>
      <c r="R64" s="8" t="s">
        <v>141</v>
      </c>
      <c r="S64" s="18" t="str">
        <f t="shared" si="2"/>
        <v>24/08/2021</v>
      </c>
      <c r="T64" s="18">
        <v>44350</v>
      </c>
      <c r="U64" s="1">
        <f t="shared" si="3"/>
        <v>0</v>
      </c>
      <c r="Y64" s="11"/>
    </row>
    <row r="65" spans="1:26" x14ac:dyDescent="0.25">
      <c r="A65" s="6">
        <v>58</v>
      </c>
      <c r="B65" s="19"/>
      <c r="C65" s="7" t="s">
        <v>497</v>
      </c>
      <c r="D65" s="7" t="s">
        <v>729</v>
      </c>
      <c r="E65" s="17">
        <v>24647</v>
      </c>
      <c r="F65" s="7" t="s">
        <v>7</v>
      </c>
      <c r="G65" s="7" t="s">
        <v>78</v>
      </c>
      <c r="H65" s="7" t="s">
        <v>68</v>
      </c>
      <c r="I65" s="7" t="s">
        <v>35</v>
      </c>
      <c r="J65" s="8">
        <v>245435</v>
      </c>
      <c r="K65" s="7" t="s">
        <v>485</v>
      </c>
      <c r="L65" s="20">
        <v>24</v>
      </c>
      <c r="M65" s="20">
        <v>3</v>
      </c>
      <c r="N65" s="20">
        <v>3</v>
      </c>
      <c r="O65" s="8" t="s">
        <v>161</v>
      </c>
      <c r="P65" s="18" t="s">
        <v>165</v>
      </c>
      <c r="Q65" s="111">
        <f t="shared" si="1"/>
        <v>3</v>
      </c>
      <c r="R65" s="8" t="s">
        <v>141</v>
      </c>
      <c r="S65" s="18" t="str">
        <f t="shared" si="2"/>
        <v>23/08/2021</v>
      </c>
      <c r="T65" s="18">
        <v>44351</v>
      </c>
      <c r="U65" s="1">
        <f t="shared" si="3"/>
        <v>0</v>
      </c>
      <c r="Y65" s="11"/>
    </row>
    <row r="66" spans="1:26" x14ac:dyDescent="0.25">
      <c r="A66" s="6">
        <v>59</v>
      </c>
      <c r="B66" s="19"/>
      <c r="C66" s="7" t="s">
        <v>497</v>
      </c>
      <c r="D66" s="7" t="s">
        <v>729</v>
      </c>
      <c r="E66" s="17">
        <v>24527</v>
      </c>
      <c r="F66" s="7" t="s">
        <v>7</v>
      </c>
      <c r="G66" s="7" t="s">
        <v>78</v>
      </c>
      <c r="H66" s="7" t="s">
        <v>89</v>
      </c>
      <c r="I66" s="7" t="s">
        <v>35</v>
      </c>
      <c r="J66" s="8">
        <v>245435</v>
      </c>
      <c r="K66" s="7" t="s">
        <v>485</v>
      </c>
      <c r="L66" s="20">
        <v>16</v>
      </c>
      <c r="M66" s="20">
        <v>2</v>
      </c>
      <c r="N66" s="20">
        <v>3</v>
      </c>
      <c r="O66" s="8" t="s">
        <v>166</v>
      </c>
      <c r="P66" s="18" t="s">
        <v>167</v>
      </c>
      <c r="Q66" s="111">
        <f t="shared" si="1"/>
        <v>3</v>
      </c>
      <c r="R66" s="8" t="s">
        <v>141</v>
      </c>
      <c r="S66" s="18" t="str">
        <f t="shared" si="2"/>
        <v>26/08/2021</v>
      </c>
      <c r="T66" s="18">
        <v>44352</v>
      </c>
      <c r="U66" s="1">
        <f t="shared" si="3"/>
        <v>0</v>
      </c>
      <c r="Y66" s="11"/>
    </row>
    <row r="67" spans="1:26" x14ac:dyDescent="0.25">
      <c r="A67" s="6">
        <v>60</v>
      </c>
      <c r="B67" s="19"/>
      <c r="C67" s="7" t="s">
        <v>497</v>
      </c>
      <c r="D67" s="7" t="s">
        <v>729</v>
      </c>
      <c r="E67" s="17">
        <v>24727</v>
      </c>
      <c r="F67" s="7" t="s">
        <v>7</v>
      </c>
      <c r="G67" s="7" t="s">
        <v>78</v>
      </c>
      <c r="H67" s="7" t="s">
        <v>40</v>
      </c>
      <c r="I67" s="7" t="s">
        <v>35</v>
      </c>
      <c r="J67" s="8">
        <v>971841</v>
      </c>
      <c r="K67" s="7" t="s">
        <v>457</v>
      </c>
      <c r="L67" s="20">
        <v>24</v>
      </c>
      <c r="M67" s="20">
        <v>3</v>
      </c>
      <c r="N67" s="20">
        <v>3</v>
      </c>
      <c r="O67" s="8" t="s">
        <v>166</v>
      </c>
      <c r="P67" s="18" t="s">
        <v>323</v>
      </c>
      <c r="Q67" s="111">
        <f t="shared" si="1"/>
        <v>3</v>
      </c>
      <c r="R67" s="8" t="s">
        <v>141</v>
      </c>
      <c r="S67" s="18" t="str">
        <f t="shared" si="2"/>
        <v>26/08/2021</v>
      </c>
      <c r="T67" s="18">
        <v>44353</v>
      </c>
      <c r="U67" s="1">
        <f t="shared" si="3"/>
        <v>0</v>
      </c>
      <c r="Y67" s="11"/>
    </row>
    <row r="68" spans="1:26" x14ac:dyDescent="0.25">
      <c r="A68" s="6">
        <v>61</v>
      </c>
      <c r="B68" s="19"/>
      <c r="C68" s="7" t="s">
        <v>497</v>
      </c>
      <c r="D68" s="7" t="s">
        <v>729</v>
      </c>
      <c r="E68" s="17">
        <v>25307</v>
      </c>
      <c r="F68" s="7" t="s">
        <v>7</v>
      </c>
      <c r="G68" s="7" t="s">
        <v>78</v>
      </c>
      <c r="H68" s="7" t="s">
        <v>199</v>
      </c>
      <c r="I68" s="7" t="s">
        <v>35</v>
      </c>
      <c r="J68" s="8">
        <v>245434</v>
      </c>
      <c r="K68" s="7" t="s">
        <v>500</v>
      </c>
      <c r="L68" s="20">
        <v>8</v>
      </c>
      <c r="M68" s="20">
        <v>1</v>
      </c>
      <c r="N68" s="20">
        <v>6</v>
      </c>
      <c r="O68" s="8" t="s">
        <v>168</v>
      </c>
      <c r="P68" s="18" t="s">
        <v>168</v>
      </c>
      <c r="Q68" s="111">
        <f t="shared" si="1"/>
        <v>6</v>
      </c>
      <c r="R68" s="8" t="s">
        <v>141</v>
      </c>
      <c r="S68" s="18" t="str">
        <f t="shared" si="2"/>
        <v>30/08/2021</v>
      </c>
      <c r="T68" s="18">
        <v>44354</v>
      </c>
      <c r="U68" s="1">
        <f t="shared" si="3"/>
        <v>0</v>
      </c>
      <c r="Y68" s="11"/>
    </row>
    <row r="69" spans="1:26" x14ac:dyDescent="0.25">
      <c r="A69" s="6">
        <v>62</v>
      </c>
      <c r="B69" s="19"/>
      <c r="C69" s="7" t="s">
        <v>497</v>
      </c>
      <c r="D69" s="7" t="s">
        <v>729</v>
      </c>
      <c r="E69" s="17">
        <v>24528</v>
      </c>
      <c r="F69" s="7" t="s">
        <v>7</v>
      </c>
      <c r="G69" s="7" t="s">
        <v>78</v>
      </c>
      <c r="H69" s="7" t="s">
        <v>89</v>
      </c>
      <c r="I69" s="7" t="s">
        <v>35</v>
      </c>
      <c r="J69" s="8">
        <v>245435</v>
      </c>
      <c r="K69" s="7" t="s">
        <v>485</v>
      </c>
      <c r="L69" s="20">
        <v>16</v>
      </c>
      <c r="M69" s="20">
        <v>2</v>
      </c>
      <c r="N69" s="20">
        <v>3</v>
      </c>
      <c r="O69" s="8" t="s">
        <v>168</v>
      </c>
      <c r="P69" s="18" t="s">
        <v>169</v>
      </c>
      <c r="Q69" s="111">
        <f t="shared" si="1"/>
        <v>3</v>
      </c>
      <c r="R69" s="8" t="s">
        <v>141</v>
      </c>
      <c r="S69" s="18" t="str">
        <f t="shared" si="2"/>
        <v>30/08/2021</v>
      </c>
      <c r="T69" s="18">
        <v>44355</v>
      </c>
      <c r="U69" s="1">
        <f t="shared" si="3"/>
        <v>0</v>
      </c>
      <c r="Y69" s="11"/>
    </row>
    <row r="70" spans="1:26" x14ac:dyDescent="0.25">
      <c r="A70" s="6">
        <v>63</v>
      </c>
      <c r="B70" s="19"/>
      <c r="C70" s="7" t="s">
        <v>497</v>
      </c>
      <c r="D70" s="7" t="s">
        <v>729</v>
      </c>
      <c r="E70" s="17">
        <v>24741</v>
      </c>
      <c r="F70" s="7" t="s">
        <v>7</v>
      </c>
      <c r="G70" s="7" t="s">
        <v>78</v>
      </c>
      <c r="H70" s="7" t="s">
        <v>40</v>
      </c>
      <c r="I70" s="7" t="s">
        <v>35</v>
      </c>
      <c r="J70" s="8">
        <v>971841</v>
      </c>
      <c r="K70" s="7" t="s">
        <v>457</v>
      </c>
      <c r="L70" s="20">
        <v>24</v>
      </c>
      <c r="M70" s="20">
        <v>3</v>
      </c>
      <c r="N70" s="20">
        <v>3</v>
      </c>
      <c r="O70" s="8" t="s">
        <v>168</v>
      </c>
      <c r="P70" s="18" t="s">
        <v>170</v>
      </c>
      <c r="Q70" s="111">
        <f t="shared" si="1"/>
        <v>3</v>
      </c>
      <c r="R70" s="8" t="s">
        <v>141</v>
      </c>
      <c r="S70" s="18" t="str">
        <f t="shared" si="2"/>
        <v>30/08/2021</v>
      </c>
      <c r="T70" s="18">
        <v>44356</v>
      </c>
      <c r="U70" s="1">
        <f t="shared" si="3"/>
        <v>0</v>
      </c>
      <c r="Y70" s="11"/>
    </row>
    <row r="71" spans="1:26" x14ac:dyDescent="0.25">
      <c r="A71" s="6">
        <v>64</v>
      </c>
      <c r="B71" s="19"/>
      <c r="C71" s="7" t="s">
        <v>497</v>
      </c>
      <c r="D71" s="7" t="s">
        <v>729</v>
      </c>
      <c r="E71" s="17">
        <v>24648</v>
      </c>
      <c r="F71" s="7" t="s">
        <v>7</v>
      </c>
      <c r="G71" s="7" t="s">
        <v>78</v>
      </c>
      <c r="H71" s="7" t="s">
        <v>68</v>
      </c>
      <c r="I71" s="7" t="s">
        <v>35</v>
      </c>
      <c r="J71" s="8">
        <v>245435</v>
      </c>
      <c r="K71" s="7" t="s">
        <v>485</v>
      </c>
      <c r="L71" s="20">
        <v>24</v>
      </c>
      <c r="M71" s="20">
        <v>3</v>
      </c>
      <c r="N71" s="20">
        <v>3</v>
      </c>
      <c r="O71" s="18">
        <v>44440</v>
      </c>
      <c r="P71" s="18" t="s">
        <v>174</v>
      </c>
      <c r="Q71" s="111">
        <f t="shared" si="1"/>
        <v>3</v>
      </c>
      <c r="R71" s="8" t="s">
        <v>173</v>
      </c>
      <c r="S71" s="18">
        <f t="shared" si="2"/>
        <v>44440</v>
      </c>
      <c r="T71" s="18">
        <v>44357</v>
      </c>
      <c r="U71" s="1">
        <f t="shared" si="3"/>
        <v>0</v>
      </c>
      <c r="Y71" s="11"/>
    </row>
    <row r="72" spans="1:26" x14ac:dyDescent="0.25">
      <c r="A72" s="6">
        <v>65</v>
      </c>
      <c r="B72" s="19"/>
      <c r="C72" s="7" t="s">
        <v>497</v>
      </c>
      <c r="D72" s="7" t="s">
        <v>729</v>
      </c>
      <c r="E72" s="17">
        <v>24649</v>
      </c>
      <c r="F72" s="7" t="s">
        <v>7</v>
      </c>
      <c r="G72" s="7" t="s">
        <v>78</v>
      </c>
      <c r="H72" s="7" t="s">
        <v>68</v>
      </c>
      <c r="I72" s="7" t="s">
        <v>35</v>
      </c>
      <c r="J72" s="8">
        <v>245435</v>
      </c>
      <c r="K72" s="7" t="s">
        <v>485</v>
      </c>
      <c r="L72" s="20">
        <v>24</v>
      </c>
      <c r="M72" s="20">
        <v>3</v>
      </c>
      <c r="N72" s="20">
        <v>3</v>
      </c>
      <c r="O72" s="8" t="s">
        <v>177</v>
      </c>
      <c r="P72" s="18" t="s">
        <v>179</v>
      </c>
      <c r="Q72" s="111">
        <f t="shared" si="1"/>
        <v>3</v>
      </c>
      <c r="R72" s="8" t="s">
        <v>173</v>
      </c>
      <c r="S72" s="18" t="str">
        <f t="shared" si="2"/>
        <v>06/09/2021</v>
      </c>
      <c r="T72" s="18">
        <v>44358</v>
      </c>
      <c r="U72" s="1">
        <f t="shared" ref="U72:U107" si="4">IF(P72&lt;=$E$3,1,0)</f>
        <v>0</v>
      </c>
      <c r="Y72" s="11"/>
    </row>
    <row r="73" spans="1:26" x14ac:dyDescent="0.25">
      <c r="A73" s="6">
        <v>66</v>
      </c>
      <c r="B73" s="19"/>
      <c r="C73" s="7" t="s">
        <v>497</v>
      </c>
      <c r="D73" s="7" t="s">
        <v>729</v>
      </c>
      <c r="E73" s="17">
        <v>26985</v>
      </c>
      <c r="F73" s="7" t="s">
        <v>7</v>
      </c>
      <c r="G73" s="7" t="s">
        <v>78</v>
      </c>
      <c r="H73" s="7" t="s">
        <v>401</v>
      </c>
      <c r="I73" s="7" t="s">
        <v>35</v>
      </c>
      <c r="J73" s="8">
        <v>445938</v>
      </c>
      <c r="K73" s="7" t="s">
        <v>507</v>
      </c>
      <c r="L73" s="20">
        <v>16</v>
      </c>
      <c r="M73" s="20">
        <v>2</v>
      </c>
      <c r="N73" s="20">
        <v>3</v>
      </c>
      <c r="O73" s="8" t="s">
        <v>181</v>
      </c>
      <c r="P73" s="18" t="s">
        <v>179</v>
      </c>
      <c r="Q73" s="111">
        <f t="shared" ref="Q73:Q74" si="5">N73</f>
        <v>3</v>
      </c>
      <c r="R73" s="8" t="s">
        <v>173</v>
      </c>
      <c r="S73" s="18" t="str">
        <f t="shared" ref="S73:S107" si="6">O73</f>
        <v>07/09/2021</v>
      </c>
      <c r="T73" s="18">
        <v>44359</v>
      </c>
      <c r="U73" s="1">
        <f t="shared" si="4"/>
        <v>0</v>
      </c>
      <c r="V73" s="15"/>
      <c r="W73" s="15"/>
      <c r="X73" s="15"/>
      <c r="Y73" s="16"/>
      <c r="Z73" s="16"/>
    </row>
    <row r="74" spans="1:26" x14ac:dyDescent="0.25">
      <c r="A74" s="6">
        <v>67</v>
      </c>
      <c r="B74" s="19"/>
      <c r="C74" s="7" t="s">
        <v>497</v>
      </c>
      <c r="D74" s="7" t="s">
        <v>729</v>
      </c>
      <c r="E74" s="17">
        <v>24742</v>
      </c>
      <c r="F74" s="7" t="s">
        <v>7</v>
      </c>
      <c r="G74" s="7" t="s">
        <v>78</v>
      </c>
      <c r="H74" s="7" t="s">
        <v>40</v>
      </c>
      <c r="I74" s="7" t="s">
        <v>35</v>
      </c>
      <c r="J74" s="8">
        <v>971841</v>
      </c>
      <c r="K74" s="7" t="s">
        <v>457</v>
      </c>
      <c r="L74" s="20">
        <v>24</v>
      </c>
      <c r="M74" s="20">
        <v>3</v>
      </c>
      <c r="N74" s="20">
        <v>3</v>
      </c>
      <c r="O74" s="8" t="s">
        <v>177</v>
      </c>
      <c r="P74" s="18" t="s">
        <v>179</v>
      </c>
      <c r="Q74" s="111">
        <f t="shared" si="5"/>
        <v>3</v>
      </c>
      <c r="R74" s="8" t="s">
        <v>173</v>
      </c>
      <c r="S74" s="18" t="str">
        <f t="shared" si="6"/>
        <v>06/09/2021</v>
      </c>
      <c r="T74" s="18">
        <v>44360</v>
      </c>
      <c r="U74" s="1">
        <f t="shared" si="4"/>
        <v>0</v>
      </c>
    </row>
    <row r="75" spans="1:26" x14ac:dyDescent="0.25">
      <c r="A75" s="6">
        <v>68</v>
      </c>
      <c r="B75" s="19"/>
      <c r="C75" s="7" t="s">
        <v>497</v>
      </c>
      <c r="D75" s="7" t="s">
        <v>729</v>
      </c>
      <c r="E75" s="17">
        <v>24619</v>
      </c>
      <c r="F75" s="7" t="s">
        <v>7</v>
      </c>
      <c r="G75" s="7" t="s">
        <v>78</v>
      </c>
      <c r="H75" s="7" t="s">
        <v>317</v>
      </c>
      <c r="I75" s="7" t="s">
        <v>35</v>
      </c>
      <c r="J75" s="8">
        <v>971841</v>
      </c>
      <c r="K75" s="7" t="s">
        <v>457</v>
      </c>
      <c r="L75" s="20">
        <v>16</v>
      </c>
      <c r="M75" s="20">
        <v>2</v>
      </c>
      <c r="N75" s="20">
        <v>3</v>
      </c>
      <c r="O75" s="8" t="s">
        <v>180</v>
      </c>
      <c r="P75" s="18" t="s">
        <v>182</v>
      </c>
      <c r="Q75" s="111">
        <f>N75</f>
        <v>3</v>
      </c>
      <c r="R75" s="8" t="s">
        <v>173</v>
      </c>
      <c r="S75" s="18" t="str">
        <f t="shared" si="6"/>
        <v>09/09/2021</v>
      </c>
      <c r="T75" s="18">
        <v>44361</v>
      </c>
      <c r="U75" s="1">
        <f t="shared" si="4"/>
        <v>0</v>
      </c>
    </row>
    <row r="76" spans="1:26" x14ac:dyDescent="0.25">
      <c r="A76" s="6">
        <v>69</v>
      </c>
      <c r="B76" s="19"/>
      <c r="C76" s="7" t="s">
        <v>497</v>
      </c>
      <c r="D76" s="7" t="s">
        <v>729</v>
      </c>
      <c r="E76" s="17">
        <v>24620</v>
      </c>
      <c r="F76" s="7" t="s">
        <v>7</v>
      </c>
      <c r="G76" s="7" t="s">
        <v>78</v>
      </c>
      <c r="H76" s="7" t="s">
        <v>317</v>
      </c>
      <c r="I76" s="7" t="s">
        <v>35</v>
      </c>
      <c r="J76" s="8">
        <v>245434</v>
      </c>
      <c r="K76" s="7" t="s">
        <v>500</v>
      </c>
      <c r="L76" s="20">
        <v>16</v>
      </c>
      <c r="M76" s="20">
        <v>2</v>
      </c>
      <c r="N76" s="20">
        <v>3</v>
      </c>
      <c r="O76" s="8" t="s">
        <v>184</v>
      </c>
      <c r="P76" s="18" t="s">
        <v>185</v>
      </c>
      <c r="Q76" s="111">
        <f t="shared" ref="Q76:Q93" si="7">N76</f>
        <v>3</v>
      </c>
      <c r="R76" s="8" t="s">
        <v>173</v>
      </c>
      <c r="S76" s="18" t="str">
        <f t="shared" si="6"/>
        <v>13/09/2021</v>
      </c>
      <c r="T76" s="18">
        <v>44362</v>
      </c>
      <c r="U76" s="1">
        <f t="shared" si="4"/>
        <v>0</v>
      </c>
    </row>
    <row r="77" spans="1:26" x14ac:dyDescent="0.25">
      <c r="A77" s="6">
        <v>70</v>
      </c>
      <c r="B77" s="19"/>
      <c r="C77" s="7" t="s">
        <v>497</v>
      </c>
      <c r="D77" s="7" t="s">
        <v>729</v>
      </c>
      <c r="E77" s="17">
        <v>24530</v>
      </c>
      <c r="F77" s="7" t="s">
        <v>7</v>
      </c>
      <c r="G77" s="7" t="s">
        <v>78</v>
      </c>
      <c r="H77" s="7" t="s">
        <v>89</v>
      </c>
      <c r="I77" s="7" t="s">
        <v>35</v>
      </c>
      <c r="J77" s="8">
        <v>245435</v>
      </c>
      <c r="K77" s="7" t="s">
        <v>485</v>
      </c>
      <c r="L77" s="20">
        <v>16</v>
      </c>
      <c r="M77" s="20">
        <v>2</v>
      </c>
      <c r="N77" s="20">
        <v>3</v>
      </c>
      <c r="O77" s="8" t="s">
        <v>184</v>
      </c>
      <c r="P77" s="18" t="s">
        <v>185</v>
      </c>
      <c r="Q77" s="111">
        <f t="shared" si="7"/>
        <v>3</v>
      </c>
      <c r="R77" s="8" t="s">
        <v>173</v>
      </c>
      <c r="S77" s="18" t="str">
        <f t="shared" si="6"/>
        <v>13/09/2021</v>
      </c>
      <c r="T77" s="18">
        <v>44363</v>
      </c>
      <c r="U77" s="1">
        <f t="shared" si="4"/>
        <v>0</v>
      </c>
    </row>
    <row r="78" spans="1:26" x14ac:dyDescent="0.25">
      <c r="A78" s="6">
        <v>71</v>
      </c>
      <c r="B78" s="19"/>
      <c r="C78" s="7" t="s">
        <v>497</v>
      </c>
      <c r="D78" s="7" t="s">
        <v>729</v>
      </c>
      <c r="E78" s="17">
        <v>25308</v>
      </c>
      <c r="F78" s="7" t="s">
        <v>7</v>
      </c>
      <c r="G78" s="7" t="s">
        <v>78</v>
      </c>
      <c r="H78" s="7" t="s">
        <v>199</v>
      </c>
      <c r="I78" s="7" t="s">
        <v>35</v>
      </c>
      <c r="J78" s="8">
        <v>306572</v>
      </c>
      <c r="K78" s="7" t="s">
        <v>508</v>
      </c>
      <c r="L78" s="20">
        <v>8</v>
      </c>
      <c r="M78" s="20">
        <v>1</v>
      </c>
      <c r="N78" s="20">
        <v>6</v>
      </c>
      <c r="O78" s="8" t="s">
        <v>189</v>
      </c>
      <c r="P78" s="18" t="s">
        <v>189</v>
      </c>
      <c r="Q78" s="111">
        <f t="shared" si="7"/>
        <v>6</v>
      </c>
      <c r="R78" s="8" t="s">
        <v>173</v>
      </c>
      <c r="S78" s="18" t="str">
        <f t="shared" si="6"/>
        <v>17/09/2021</v>
      </c>
      <c r="T78" s="18">
        <v>44364</v>
      </c>
      <c r="U78" s="1">
        <f t="shared" si="4"/>
        <v>0</v>
      </c>
    </row>
    <row r="79" spans="1:26" x14ac:dyDescent="0.25">
      <c r="A79" s="6">
        <v>72</v>
      </c>
      <c r="B79" s="19"/>
      <c r="C79" s="7" t="s">
        <v>497</v>
      </c>
      <c r="D79" s="7" t="s">
        <v>729</v>
      </c>
      <c r="E79" s="17">
        <v>24744</v>
      </c>
      <c r="F79" s="7" t="s">
        <v>7</v>
      </c>
      <c r="G79" s="7" t="s">
        <v>78</v>
      </c>
      <c r="H79" s="7" t="s">
        <v>40</v>
      </c>
      <c r="I79" s="7" t="s">
        <v>35</v>
      </c>
      <c r="J79" s="8">
        <v>971841</v>
      </c>
      <c r="K79" s="7" t="s">
        <v>457</v>
      </c>
      <c r="L79" s="20">
        <v>24</v>
      </c>
      <c r="M79" s="20">
        <v>3</v>
      </c>
      <c r="N79" s="20">
        <v>3</v>
      </c>
      <c r="O79" s="8" t="s">
        <v>361</v>
      </c>
      <c r="P79" s="18" t="s">
        <v>191</v>
      </c>
      <c r="Q79" s="111">
        <f t="shared" si="7"/>
        <v>3</v>
      </c>
      <c r="R79" s="8" t="s">
        <v>173</v>
      </c>
      <c r="S79" s="18" t="str">
        <f t="shared" si="6"/>
        <v>20/09/2021</v>
      </c>
      <c r="T79" s="18">
        <v>44365</v>
      </c>
      <c r="U79" s="1">
        <f t="shared" si="4"/>
        <v>0</v>
      </c>
    </row>
    <row r="80" spans="1:26" x14ac:dyDescent="0.25">
      <c r="A80" s="6">
        <v>73</v>
      </c>
      <c r="B80" s="19"/>
      <c r="C80" s="7" t="s">
        <v>497</v>
      </c>
      <c r="D80" s="7" t="s">
        <v>729</v>
      </c>
      <c r="E80" s="17">
        <v>24621</v>
      </c>
      <c r="F80" s="7" t="s">
        <v>7</v>
      </c>
      <c r="G80" s="7" t="s">
        <v>78</v>
      </c>
      <c r="H80" s="7" t="s">
        <v>317</v>
      </c>
      <c r="I80" s="7" t="s">
        <v>35</v>
      </c>
      <c r="J80" s="8">
        <v>245434</v>
      </c>
      <c r="K80" s="7" t="s">
        <v>500</v>
      </c>
      <c r="L80" s="20">
        <v>16</v>
      </c>
      <c r="M80" s="20">
        <v>2</v>
      </c>
      <c r="N80" s="20">
        <v>3</v>
      </c>
      <c r="O80" s="8" t="s">
        <v>192</v>
      </c>
      <c r="P80" s="18" t="s">
        <v>193</v>
      </c>
      <c r="Q80" s="111">
        <f t="shared" si="7"/>
        <v>3</v>
      </c>
      <c r="R80" s="8" t="s">
        <v>173</v>
      </c>
      <c r="S80" s="18" t="str">
        <f t="shared" si="6"/>
        <v>23/09/2021</v>
      </c>
      <c r="T80" s="18">
        <v>44366</v>
      </c>
      <c r="U80" s="1">
        <f t="shared" si="4"/>
        <v>0</v>
      </c>
    </row>
    <row r="81" spans="1:25" x14ac:dyDescent="0.25">
      <c r="A81" s="6">
        <v>74</v>
      </c>
      <c r="B81" s="19"/>
      <c r="C81" s="7" t="s">
        <v>497</v>
      </c>
      <c r="D81" s="7" t="s">
        <v>729</v>
      </c>
      <c r="E81" s="17">
        <v>24531</v>
      </c>
      <c r="F81" s="7" t="s">
        <v>7</v>
      </c>
      <c r="G81" s="7" t="s">
        <v>78</v>
      </c>
      <c r="H81" s="7" t="s">
        <v>89</v>
      </c>
      <c r="I81" s="7" t="s">
        <v>35</v>
      </c>
      <c r="J81" s="8">
        <v>245435</v>
      </c>
      <c r="K81" s="7" t="s">
        <v>485</v>
      </c>
      <c r="L81" s="20">
        <v>16</v>
      </c>
      <c r="M81" s="20">
        <v>2</v>
      </c>
      <c r="N81" s="20">
        <v>3</v>
      </c>
      <c r="O81" s="8" t="s">
        <v>192</v>
      </c>
      <c r="P81" s="18" t="s">
        <v>193</v>
      </c>
      <c r="Q81" s="111">
        <f t="shared" si="7"/>
        <v>3</v>
      </c>
      <c r="R81" s="8" t="s">
        <v>173</v>
      </c>
      <c r="S81" s="18" t="str">
        <f t="shared" si="6"/>
        <v>23/09/2021</v>
      </c>
      <c r="T81" s="18">
        <v>44367</v>
      </c>
      <c r="U81" s="1">
        <f t="shared" si="4"/>
        <v>0</v>
      </c>
    </row>
    <row r="82" spans="1:25" x14ac:dyDescent="0.25">
      <c r="A82" s="6">
        <v>75</v>
      </c>
      <c r="B82" s="19"/>
      <c r="C82" s="7" t="s">
        <v>497</v>
      </c>
      <c r="D82" s="7" t="s">
        <v>729</v>
      </c>
      <c r="E82" s="17">
        <v>24622</v>
      </c>
      <c r="F82" s="7" t="s">
        <v>7</v>
      </c>
      <c r="G82" s="7" t="s">
        <v>78</v>
      </c>
      <c r="H82" s="7" t="s">
        <v>317</v>
      </c>
      <c r="I82" s="7" t="s">
        <v>35</v>
      </c>
      <c r="J82" s="8">
        <v>245434</v>
      </c>
      <c r="K82" s="7" t="s">
        <v>500</v>
      </c>
      <c r="L82" s="20">
        <v>16</v>
      </c>
      <c r="M82" s="20">
        <v>2</v>
      </c>
      <c r="N82" s="20">
        <v>3</v>
      </c>
      <c r="O82" s="8" t="s">
        <v>195</v>
      </c>
      <c r="P82" s="18" t="s">
        <v>196</v>
      </c>
      <c r="Q82" s="111">
        <f t="shared" si="7"/>
        <v>3</v>
      </c>
      <c r="R82" s="8" t="s">
        <v>173</v>
      </c>
      <c r="S82" s="18" t="str">
        <f t="shared" si="6"/>
        <v>27/09/2021</v>
      </c>
      <c r="T82" s="18">
        <v>44368</v>
      </c>
      <c r="U82" s="1">
        <f t="shared" si="4"/>
        <v>0</v>
      </c>
    </row>
    <row r="83" spans="1:25" x14ac:dyDescent="0.25">
      <c r="A83" s="6">
        <v>76</v>
      </c>
      <c r="B83" s="19"/>
      <c r="C83" s="7" t="s">
        <v>497</v>
      </c>
      <c r="D83" s="7" t="s">
        <v>729</v>
      </c>
      <c r="E83" s="17">
        <v>24651</v>
      </c>
      <c r="F83" s="7" t="s">
        <v>7</v>
      </c>
      <c r="G83" s="7" t="s">
        <v>78</v>
      </c>
      <c r="H83" s="7" t="s">
        <v>68</v>
      </c>
      <c r="I83" s="7" t="s">
        <v>35</v>
      </c>
      <c r="J83" s="8">
        <v>322115</v>
      </c>
      <c r="K83" s="7" t="s">
        <v>501</v>
      </c>
      <c r="L83" s="20">
        <v>24</v>
      </c>
      <c r="M83" s="20">
        <v>3</v>
      </c>
      <c r="N83" s="20">
        <v>3</v>
      </c>
      <c r="O83" s="8" t="s">
        <v>195</v>
      </c>
      <c r="P83" s="18" t="s">
        <v>197</v>
      </c>
      <c r="Q83" s="111">
        <f t="shared" si="7"/>
        <v>3</v>
      </c>
      <c r="R83" s="8" t="s">
        <v>173</v>
      </c>
      <c r="S83" s="18" t="str">
        <f>O83</f>
        <v>27/09/2021</v>
      </c>
      <c r="T83" s="18">
        <v>44369</v>
      </c>
      <c r="U83" s="1">
        <f t="shared" si="4"/>
        <v>0</v>
      </c>
    </row>
    <row r="84" spans="1:25" x14ac:dyDescent="0.25">
      <c r="A84" s="6">
        <v>77</v>
      </c>
      <c r="B84" s="19"/>
      <c r="C84" s="7" t="s">
        <v>497</v>
      </c>
      <c r="D84" s="7" t="s">
        <v>729</v>
      </c>
      <c r="E84" s="17">
        <v>26147</v>
      </c>
      <c r="F84" s="7" t="s">
        <v>7</v>
      </c>
      <c r="G84" s="7" t="s">
        <v>78</v>
      </c>
      <c r="H84" s="7" t="s">
        <v>279</v>
      </c>
      <c r="I84" s="7" t="s">
        <v>35</v>
      </c>
      <c r="J84" s="8">
        <v>445938</v>
      </c>
      <c r="K84" s="7" t="s">
        <v>507</v>
      </c>
      <c r="L84" s="20">
        <v>16</v>
      </c>
      <c r="M84" s="20">
        <v>2</v>
      </c>
      <c r="N84" s="20">
        <v>1</v>
      </c>
      <c r="O84" s="8" t="s">
        <v>196</v>
      </c>
      <c r="P84" s="18" t="s">
        <v>197</v>
      </c>
      <c r="Q84" s="111">
        <f t="shared" si="7"/>
        <v>1</v>
      </c>
      <c r="R84" s="8" t="s">
        <v>173</v>
      </c>
      <c r="S84" s="18" t="str">
        <f t="shared" si="6"/>
        <v>28/09/2021</v>
      </c>
      <c r="T84" s="18">
        <v>44370</v>
      </c>
      <c r="U84" s="1">
        <f t="shared" si="4"/>
        <v>0</v>
      </c>
    </row>
    <row r="85" spans="1:25" x14ac:dyDescent="0.25">
      <c r="A85" s="6">
        <v>78</v>
      </c>
      <c r="B85" s="19"/>
      <c r="C85" s="7" t="s">
        <v>497</v>
      </c>
      <c r="D85" s="7" t="s">
        <v>729</v>
      </c>
      <c r="E85" s="17">
        <v>24532</v>
      </c>
      <c r="F85" s="7" t="s">
        <v>7</v>
      </c>
      <c r="G85" s="7" t="s">
        <v>78</v>
      </c>
      <c r="H85" s="7" t="s">
        <v>89</v>
      </c>
      <c r="I85" s="7" t="s">
        <v>35</v>
      </c>
      <c r="J85" s="8">
        <v>245435</v>
      </c>
      <c r="K85" s="7" t="s">
        <v>485</v>
      </c>
      <c r="L85" s="20">
        <v>16</v>
      </c>
      <c r="M85" s="20">
        <v>2</v>
      </c>
      <c r="N85" s="20">
        <v>3</v>
      </c>
      <c r="O85" s="8" t="s">
        <v>197</v>
      </c>
      <c r="P85" s="18" t="s">
        <v>198</v>
      </c>
      <c r="Q85" s="111">
        <f t="shared" si="7"/>
        <v>3</v>
      </c>
      <c r="R85" s="8" t="s">
        <v>173</v>
      </c>
      <c r="S85" s="18" t="str">
        <f t="shared" si="6"/>
        <v>29/09/2021</v>
      </c>
      <c r="T85" s="18">
        <v>44371</v>
      </c>
      <c r="U85" s="1">
        <f t="shared" si="4"/>
        <v>0</v>
      </c>
    </row>
    <row r="86" spans="1:25" x14ac:dyDescent="0.25">
      <c r="A86" s="6">
        <v>79</v>
      </c>
      <c r="B86" s="19"/>
      <c r="C86" s="7" t="s">
        <v>497</v>
      </c>
      <c r="D86" s="7" t="s">
        <v>729</v>
      </c>
      <c r="E86" s="17">
        <v>25310</v>
      </c>
      <c r="F86" s="7" t="s">
        <v>7</v>
      </c>
      <c r="G86" s="7" t="s">
        <v>78</v>
      </c>
      <c r="H86" s="7" t="s">
        <v>199</v>
      </c>
      <c r="I86" s="7" t="s">
        <v>35</v>
      </c>
      <c r="J86" s="8">
        <v>245434</v>
      </c>
      <c r="K86" s="7" t="s">
        <v>500</v>
      </c>
      <c r="L86" s="20">
        <v>8</v>
      </c>
      <c r="M86" s="20">
        <v>1</v>
      </c>
      <c r="N86" s="20">
        <v>6</v>
      </c>
      <c r="O86" s="8" t="s">
        <v>200</v>
      </c>
      <c r="P86" s="18" t="s">
        <v>200</v>
      </c>
      <c r="Q86" s="111">
        <f t="shared" si="7"/>
        <v>6</v>
      </c>
      <c r="R86" s="8" t="s">
        <v>202</v>
      </c>
      <c r="S86" s="18" t="str">
        <f t="shared" si="6"/>
        <v>01/10/2021</v>
      </c>
      <c r="T86" s="18">
        <v>44372</v>
      </c>
      <c r="U86" s="1">
        <f t="shared" si="4"/>
        <v>0</v>
      </c>
    </row>
    <row r="87" spans="1:25" x14ac:dyDescent="0.25">
      <c r="A87" s="6">
        <v>80</v>
      </c>
      <c r="B87" s="19"/>
      <c r="C87" s="7" t="s">
        <v>497</v>
      </c>
      <c r="D87" s="7" t="s">
        <v>729</v>
      </c>
      <c r="E87" s="17">
        <v>24623</v>
      </c>
      <c r="F87" s="7" t="s">
        <v>7</v>
      </c>
      <c r="G87" s="7" t="s">
        <v>78</v>
      </c>
      <c r="H87" s="7" t="s">
        <v>317</v>
      </c>
      <c r="I87" s="7" t="s">
        <v>35</v>
      </c>
      <c r="J87" s="8">
        <v>245434</v>
      </c>
      <c r="K87" s="7" t="s">
        <v>500</v>
      </c>
      <c r="L87" s="20">
        <v>16</v>
      </c>
      <c r="M87" s="20">
        <v>2</v>
      </c>
      <c r="N87" s="20">
        <v>3</v>
      </c>
      <c r="O87" s="8" t="s">
        <v>327</v>
      </c>
      <c r="P87" s="18" t="s">
        <v>203</v>
      </c>
      <c r="Q87" s="111">
        <f t="shared" si="7"/>
        <v>3</v>
      </c>
      <c r="R87" s="8" t="s">
        <v>202</v>
      </c>
      <c r="S87" s="18" t="str">
        <f t="shared" si="6"/>
        <v>04/10/2021</v>
      </c>
      <c r="T87" s="18">
        <v>44373</v>
      </c>
      <c r="U87" s="1">
        <f t="shared" si="4"/>
        <v>0</v>
      </c>
    </row>
    <row r="88" spans="1:25" x14ac:dyDescent="0.25">
      <c r="A88" s="6">
        <v>81</v>
      </c>
      <c r="B88" s="19"/>
      <c r="C88" s="7" t="s">
        <v>497</v>
      </c>
      <c r="D88" s="7" t="s">
        <v>729</v>
      </c>
      <c r="E88" s="17">
        <v>25311</v>
      </c>
      <c r="F88" s="7" t="s">
        <v>7</v>
      </c>
      <c r="G88" s="7" t="s">
        <v>78</v>
      </c>
      <c r="H88" s="7" t="s">
        <v>199</v>
      </c>
      <c r="I88" s="7" t="s">
        <v>35</v>
      </c>
      <c r="J88" s="8">
        <v>322115</v>
      </c>
      <c r="K88" s="7" t="s">
        <v>501</v>
      </c>
      <c r="L88" s="20">
        <v>8</v>
      </c>
      <c r="M88" s="20">
        <v>1</v>
      </c>
      <c r="N88" s="20">
        <v>6</v>
      </c>
      <c r="O88" s="8" t="s">
        <v>203</v>
      </c>
      <c r="P88" s="18" t="s">
        <v>203</v>
      </c>
      <c r="Q88" s="111">
        <f t="shared" si="7"/>
        <v>6</v>
      </c>
      <c r="R88" s="8" t="s">
        <v>202</v>
      </c>
      <c r="S88" s="18" t="str">
        <f t="shared" si="6"/>
        <v>05/10/2021</v>
      </c>
      <c r="T88" s="18">
        <v>44374</v>
      </c>
      <c r="U88" s="1">
        <f t="shared" si="4"/>
        <v>0</v>
      </c>
    </row>
    <row r="89" spans="1:25" x14ac:dyDescent="0.25">
      <c r="A89" s="6">
        <v>82</v>
      </c>
      <c r="B89" s="19"/>
      <c r="C89" s="7" t="s">
        <v>497</v>
      </c>
      <c r="D89" s="7" t="s">
        <v>729</v>
      </c>
      <c r="E89" s="17">
        <v>24879</v>
      </c>
      <c r="F89" s="7" t="s">
        <v>7</v>
      </c>
      <c r="G89" s="7" t="s">
        <v>78</v>
      </c>
      <c r="H89" s="7" t="s">
        <v>34</v>
      </c>
      <c r="I89" s="7" t="s">
        <v>35</v>
      </c>
      <c r="J89" s="8">
        <v>325029</v>
      </c>
      <c r="K89" s="7" t="s">
        <v>509</v>
      </c>
      <c r="L89" s="20">
        <v>8</v>
      </c>
      <c r="M89" s="20">
        <v>1</v>
      </c>
      <c r="N89" s="20">
        <v>10</v>
      </c>
      <c r="O89" s="8" t="s">
        <v>203</v>
      </c>
      <c r="P89" s="18" t="s">
        <v>203</v>
      </c>
      <c r="Q89" s="111">
        <f t="shared" si="7"/>
        <v>10</v>
      </c>
      <c r="R89" s="8" t="s">
        <v>202</v>
      </c>
      <c r="S89" s="18" t="str">
        <f t="shared" si="6"/>
        <v>05/10/2021</v>
      </c>
      <c r="T89" s="18">
        <v>44375</v>
      </c>
      <c r="U89" s="1">
        <f t="shared" si="4"/>
        <v>0</v>
      </c>
    </row>
    <row r="90" spans="1:25" x14ac:dyDescent="0.25">
      <c r="A90" s="6">
        <v>83</v>
      </c>
      <c r="B90" s="19"/>
      <c r="C90" s="7" t="s">
        <v>497</v>
      </c>
      <c r="D90" s="7" t="s">
        <v>729</v>
      </c>
      <c r="E90" s="17">
        <v>24745</v>
      </c>
      <c r="F90" s="7" t="s">
        <v>7</v>
      </c>
      <c r="G90" s="7" t="s">
        <v>78</v>
      </c>
      <c r="H90" s="7" t="s">
        <v>40</v>
      </c>
      <c r="I90" s="7" t="s">
        <v>35</v>
      </c>
      <c r="J90" s="8">
        <v>322115</v>
      </c>
      <c r="K90" s="7" t="s">
        <v>501</v>
      </c>
      <c r="L90" s="20">
        <v>24</v>
      </c>
      <c r="M90" s="20">
        <v>3</v>
      </c>
      <c r="N90" s="20">
        <v>3</v>
      </c>
      <c r="O90" s="8" t="s">
        <v>204</v>
      </c>
      <c r="P90" s="18" t="s">
        <v>206</v>
      </c>
      <c r="Q90" s="111">
        <f t="shared" si="7"/>
        <v>3</v>
      </c>
      <c r="R90" s="8" t="s">
        <v>202</v>
      </c>
      <c r="S90" s="18" t="str">
        <f t="shared" si="6"/>
        <v>06/10/2021</v>
      </c>
      <c r="T90" s="18">
        <v>44376</v>
      </c>
      <c r="U90" s="1">
        <f t="shared" si="4"/>
        <v>0</v>
      </c>
    </row>
    <row r="91" spans="1:25" x14ac:dyDescent="0.25">
      <c r="A91" s="6">
        <v>84</v>
      </c>
      <c r="B91" s="19"/>
      <c r="C91" s="7" t="s">
        <v>497</v>
      </c>
      <c r="D91" s="7" t="s">
        <v>729</v>
      </c>
      <c r="E91" s="17">
        <v>25312</v>
      </c>
      <c r="F91" s="7" t="s">
        <v>7</v>
      </c>
      <c r="G91" s="7" t="s">
        <v>78</v>
      </c>
      <c r="H91" s="7" t="s">
        <v>199</v>
      </c>
      <c r="I91" s="7" t="s">
        <v>35</v>
      </c>
      <c r="J91" s="8">
        <v>245434</v>
      </c>
      <c r="K91" s="7" t="s">
        <v>500</v>
      </c>
      <c r="L91" s="20">
        <v>8</v>
      </c>
      <c r="M91" s="20">
        <v>1</v>
      </c>
      <c r="N91" s="20">
        <v>5</v>
      </c>
      <c r="O91" s="8" t="s">
        <v>208</v>
      </c>
      <c r="P91" s="18" t="s">
        <v>208</v>
      </c>
      <c r="Q91" s="111">
        <f t="shared" si="7"/>
        <v>5</v>
      </c>
      <c r="R91" s="8" t="s">
        <v>202</v>
      </c>
      <c r="S91" s="18" t="str">
        <f t="shared" si="6"/>
        <v>11/10/2021</v>
      </c>
      <c r="T91" s="18">
        <v>44377</v>
      </c>
      <c r="U91" s="1">
        <f t="shared" si="4"/>
        <v>0</v>
      </c>
    </row>
    <row r="92" spans="1:25" x14ac:dyDescent="0.25">
      <c r="A92" s="6">
        <v>85</v>
      </c>
      <c r="B92" s="19"/>
      <c r="C92" s="7" t="s">
        <v>497</v>
      </c>
      <c r="D92" s="7" t="s">
        <v>729</v>
      </c>
      <c r="E92" s="17">
        <v>24534</v>
      </c>
      <c r="F92" s="7" t="s">
        <v>7</v>
      </c>
      <c r="G92" s="7" t="s">
        <v>78</v>
      </c>
      <c r="H92" s="7" t="s">
        <v>89</v>
      </c>
      <c r="I92" s="7" t="s">
        <v>35</v>
      </c>
      <c r="J92" s="8">
        <v>245435</v>
      </c>
      <c r="K92" s="7" t="s">
        <v>485</v>
      </c>
      <c r="L92" s="20">
        <v>16</v>
      </c>
      <c r="M92" s="20">
        <v>2</v>
      </c>
      <c r="N92" s="20">
        <v>3</v>
      </c>
      <c r="O92" s="8" t="s">
        <v>210</v>
      </c>
      <c r="P92" s="18" t="s">
        <v>211</v>
      </c>
      <c r="Q92" s="111">
        <f t="shared" si="7"/>
        <v>3</v>
      </c>
      <c r="R92" s="8" t="s">
        <v>202</v>
      </c>
      <c r="S92" s="18" t="str">
        <f t="shared" si="6"/>
        <v>14/10/2021</v>
      </c>
      <c r="T92" s="18">
        <v>44378</v>
      </c>
      <c r="U92" s="1">
        <f t="shared" si="4"/>
        <v>0</v>
      </c>
    </row>
    <row r="93" spans="1:25" x14ac:dyDescent="0.25">
      <c r="A93" s="6">
        <v>86</v>
      </c>
      <c r="B93" s="19"/>
      <c r="C93" s="7" t="s">
        <v>497</v>
      </c>
      <c r="D93" s="7" t="s">
        <v>729</v>
      </c>
      <c r="E93" s="17">
        <v>24653</v>
      </c>
      <c r="F93" s="7" t="s">
        <v>7</v>
      </c>
      <c r="G93" s="7" t="s">
        <v>78</v>
      </c>
      <c r="H93" s="7" t="s">
        <v>68</v>
      </c>
      <c r="I93" s="7" t="s">
        <v>35</v>
      </c>
      <c r="J93" s="8">
        <v>322115</v>
      </c>
      <c r="K93" s="7" t="s">
        <v>501</v>
      </c>
      <c r="L93" s="20">
        <v>24</v>
      </c>
      <c r="M93" s="20">
        <v>3</v>
      </c>
      <c r="N93" s="20">
        <v>3</v>
      </c>
      <c r="O93" s="8" t="s">
        <v>209</v>
      </c>
      <c r="P93" s="18" t="s">
        <v>211</v>
      </c>
      <c r="Q93" s="111">
        <f t="shared" si="7"/>
        <v>3</v>
      </c>
      <c r="R93" s="8" t="s">
        <v>202</v>
      </c>
      <c r="S93" s="18" t="str">
        <f t="shared" si="6"/>
        <v>13/10/2021</v>
      </c>
      <c r="T93" s="18">
        <v>44379</v>
      </c>
      <c r="U93" s="1">
        <f t="shared" si="4"/>
        <v>0</v>
      </c>
    </row>
    <row r="94" spans="1:25" x14ac:dyDescent="0.25">
      <c r="A94" s="6">
        <v>87</v>
      </c>
      <c r="B94" s="19"/>
      <c r="C94" s="7" t="s">
        <v>497</v>
      </c>
      <c r="D94" s="7" t="s">
        <v>729</v>
      </c>
      <c r="E94" s="17">
        <v>29390</v>
      </c>
      <c r="F94" s="7" t="s">
        <v>10</v>
      </c>
      <c r="G94" s="7" t="s">
        <v>74</v>
      </c>
      <c r="H94" s="7" t="s">
        <v>65</v>
      </c>
      <c r="I94" s="7" t="s">
        <v>35</v>
      </c>
      <c r="J94" s="8">
        <v>370733</v>
      </c>
      <c r="K94" s="7" t="s">
        <v>499</v>
      </c>
      <c r="L94" s="20">
        <v>24</v>
      </c>
      <c r="M94" s="20">
        <v>3</v>
      </c>
      <c r="N94" s="20">
        <v>4</v>
      </c>
      <c r="O94" s="8" t="s">
        <v>210</v>
      </c>
      <c r="P94" s="18">
        <v>44485</v>
      </c>
      <c r="Q94" s="111">
        <f>N94</f>
        <v>4</v>
      </c>
      <c r="R94" s="8" t="s">
        <v>202</v>
      </c>
      <c r="S94" s="18" t="str">
        <f t="shared" si="6"/>
        <v>14/10/2021</v>
      </c>
      <c r="T94" s="18">
        <v>44484</v>
      </c>
      <c r="U94" s="1">
        <f>IF(P94&lt;=$E$3,1,0)</f>
        <v>1</v>
      </c>
      <c r="V94" s="1" t="s">
        <v>699</v>
      </c>
      <c r="W94" s="1">
        <v>15</v>
      </c>
      <c r="X94" s="1">
        <v>245435</v>
      </c>
      <c r="Y94" t="s">
        <v>485</v>
      </c>
    </row>
    <row r="95" spans="1:25" x14ac:dyDescent="0.25">
      <c r="A95" s="6">
        <v>88</v>
      </c>
      <c r="B95" s="19"/>
      <c r="C95" s="7" t="s">
        <v>497</v>
      </c>
      <c r="D95" s="7" t="s">
        <v>729</v>
      </c>
      <c r="E95" s="17">
        <v>24654</v>
      </c>
      <c r="F95" s="7" t="s">
        <v>7</v>
      </c>
      <c r="G95" s="7" t="s">
        <v>78</v>
      </c>
      <c r="H95" s="7" t="s">
        <v>68</v>
      </c>
      <c r="I95" s="7" t="s">
        <v>35</v>
      </c>
      <c r="J95" s="8">
        <v>245435</v>
      </c>
      <c r="K95" s="7" t="s">
        <v>485</v>
      </c>
      <c r="L95" s="20">
        <v>24</v>
      </c>
      <c r="M95" s="20">
        <v>3</v>
      </c>
      <c r="N95" s="20">
        <v>3</v>
      </c>
      <c r="O95" s="8" t="s">
        <v>333</v>
      </c>
      <c r="P95" s="18" t="s">
        <v>215</v>
      </c>
      <c r="Q95" s="111">
        <f t="shared" ref="Q95:Q107" si="8">N95</f>
        <v>3</v>
      </c>
      <c r="R95" s="8" t="s">
        <v>202</v>
      </c>
      <c r="S95" s="18" t="str">
        <f t="shared" si="6"/>
        <v>18/10/2021</v>
      </c>
      <c r="T95" s="18">
        <v>44381</v>
      </c>
      <c r="U95" s="1">
        <f t="shared" si="4"/>
        <v>0</v>
      </c>
    </row>
    <row r="96" spans="1:25" x14ac:dyDescent="0.25">
      <c r="A96" s="6">
        <v>89</v>
      </c>
      <c r="B96" s="19"/>
      <c r="C96" s="7" t="s">
        <v>497</v>
      </c>
      <c r="D96" s="7" t="s">
        <v>729</v>
      </c>
      <c r="E96" s="17">
        <v>24746</v>
      </c>
      <c r="F96" s="7" t="s">
        <v>7</v>
      </c>
      <c r="G96" s="7" t="s">
        <v>78</v>
      </c>
      <c r="H96" s="7" t="s">
        <v>40</v>
      </c>
      <c r="I96" s="7" t="s">
        <v>35</v>
      </c>
      <c r="J96" s="8">
        <v>971841</v>
      </c>
      <c r="K96" s="7" t="s">
        <v>457</v>
      </c>
      <c r="L96" s="20">
        <v>24</v>
      </c>
      <c r="M96" s="20">
        <v>3</v>
      </c>
      <c r="N96" s="20">
        <v>3</v>
      </c>
      <c r="O96" s="8" t="s">
        <v>333</v>
      </c>
      <c r="P96" s="18" t="s">
        <v>215</v>
      </c>
      <c r="Q96" s="111">
        <f t="shared" si="8"/>
        <v>3</v>
      </c>
      <c r="R96" s="8" t="s">
        <v>202</v>
      </c>
      <c r="S96" s="18" t="str">
        <f t="shared" si="6"/>
        <v>18/10/2021</v>
      </c>
      <c r="T96" s="18">
        <v>44382</v>
      </c>
      <c r="U96" s="1">
        <f t="shared" si="4"/>
        <v>0</v>
      </c>
    </row>
    <row r="97" spans="1:26" x14ac:dyDescent="0.25">
      <c r="A97" s="6">
        <v>90</v>
      </c>
      <c r="B97" s="19"/>
      <c r="C97" s="7" t="s">
        <v>497</v>
      </c>
      <c r="D97" s="7" t="s">
        <v>729</v>
      </c>
      <c r="E97" s="17">
        <v>24624</v>
      </c>
      <c r="F97" s="7" t="s">
        <v>7</v>
      </c>
      <c r="G97" s="7" t="s">
        <v>78</v>
      </c>
      <c r="H97" s="7" t="s">
        <v>317</v>
      </c>
      <c r="I97" s="7" t="s">
        <v>35</v>
      </c>
      <c r="J97" s="8">
        <v>245434</v>
      </c>
      <c r="K97" s="7" t="s">
        <v>500</v>
      </c>
      <c r="L97" s="20">
        <v>16</v>
      </c>
      <c r="M97" s="20">
        <v>2</v>
      </c>
      <c r="N97" s="20">
        <v>3</v>
      </c>
      <c r="O97" s="8" t="s">
        <v>216</v>
      </c>
      <c r="P97" s="18" t="s">
        <v>218</v>
      </c>
      <c r="Q97" s="111">
        <f t="shared" si="8"/>
        <v>3</v>
      </c>
      <c r="R97" s="8" t="s">
        <v>202</v>
      </c>
      <c r="S97" s="18" t="str">
        <f t="shared" si="6"/>
        <v>21/10/2021</v>
      </c>
      <c r="T97" s="18">
        <v>44383</v>
      </c>
      <c r="U97" s="1">
        <f t="shared" si="4"/>
        <v>0</v>
      </c>
    </row>
    <row r="98" spans="1:26" x14ac:dyDescent="0.25">
      <c r="A98" s="6">
        <v>91</v>
      </c>
      <c r="B98" s="19"/>
      <c r="C98" s="7" t="s">
        <v>497</v>
      </c>
      <c r="D98" s="7" t="s">
        <v>729</v>
      </c>
      <c r="E98" s="17">
        <v>24888</v>
      </c>
      <c r="F98" s="7" t="s">
        <v>7</v>
      </c>
      <c r="G98" s="7" t="s">
        <v>78</v>
      </c>
      <c r="H98" s="7" t="s">
        <v>235</v>
      </c>
      <c r="I98" s="7" t="s">
        <v>35</v>
      </c>
      <c r="J98" s="8">
        <v>245435</v>
      </c>
      <c r="K98" s="7" t="s">
        <v>485</v>
      </c>
      <c r="L98" s="20">
        <v>8</v>
      </c>
      <c r="M98" s="20">
        <v>1</v>
      </c>
      <c r="N98" s="20">
        <v>4</v>
      </c>
      <c r="O98" s="8" t="s">
        <v>218</v>
      </c>
      <c r="P98" s="18" t="s">
        <v>218</v>
      </c>
      <c r="Q98" s="111">
        <f t="shared" si="8"/>
        <v>4</v>
      </c>
      <c r="R98" s="8" t="s">
        <v>202</v>
      </c>
      <c r="S98" s="18" t="str">
        <f t="shared" si="6"/>
        <v>22/10/2021</v>
      </c>
      <c r="T98" s="18">
        <v>44384</v>
      </c>
      <c r="U98" s="1">
        <f t="shared" si="4"/>
        <v>0</v>
      </c>
    </row>
    <row r="99" spans="1:26" x14ac:dyDescent="0.25">
      <c r="A99" s="6">
        <v>92</v>
      </c>
      <c r="B99" s="19"/>
      <c r="C99" s="7" t="s">
        <v>497</v>
      </c>
      <c r="D99" s="7" t="s">
        <v>729</v>
      </c>
      <c r="E99" s="17">
        <v>24655</v>
      </c>
      <c r="F99" s="7" t="s">
        <v>7</v>
      </c>
      <c r="G99" s="7" t="s">
        <v>78</v>
      </c>
      <c r="H99" s="7" t="s">
        <v>68</v>
      </c>
      <c r="I99" s="7" t="s">
        <v>35</v>
      </c>
      <c r="J99" s="8">
        <v>245435</v>
      </c>
      <c r="K99" s="7" t="s">
        <v>485</v>
      </c>
      <c r="L99" s="20">
        <v>24</v>
      </c>
      <c r="M99" s="20">
        <v>3</v>
      </c>
      <c r="N99" s="20">
        <v>3</v>
      </c>
      <c r="O99" s="8" t="s">
        <v>221</v>
      </c>
      <c r="P99" s="18" t="s">
        <v>224</v>
      </c>
      <c r="Q99" s="111">
        <f t="shared" si="8"/>
        <v>3</v>
      </c>
      <c r="R99" s="8" t="s">
        <v>202</v>
      </c>
      <c r="S99" s="18" t="str">
        <f t="shared" si="6"/>
        <v>26/10/2021</v>
      </c>
      <c r="T99" s="18">
        <v>44385</v>
      </c>
      <c r="U99" s="1">
        <f t="shared" si="4"/>
        <v>0</v>
      </c>
    </row>
    <row r="100" spans="1:26" x14ac:dyDescent="0.25">
      <c r="A100" s="6">
        <v>93</v>
      </c>
      <c r="B100" s="19"/>
      <c r="C100" s="7" t="s">
        <v>497</v>
      </c>
      <c r="D100" s="7" t="s">
        <v>729</v>
      </c>
      <c r="E100" s="17">
        <v>24851</v>
      </c>
      <c r="F100" s="7" t="s">
        <v>7</v>
      </c>
      <c r="G100" s="7" t="s">
        <v>78</v>
      </c>
      <c r="H100" s="7" t="s">
        <v>84</v>
      </c>
      <c r="I100" s="7" t="s">
        <v>35</v>
      </c>
      <c r="J100" s="8">
        <v>322115</v>
      </c>
      <c r="K100" s="7" t="s">
        <v>501</v>
      </c>
      <c r="L100" s="20">
        <v>16</v>
      </c>
      <c r="M100" s="20">
        <v>2</v>
      </c>
      <c r="N100" s="20">
        <v>6</v>
      </c>
      <c r="O100" s="8" t="s">
        <v>222</v>
      </c>
      <c r="P100" s="18" t="s">
        <v>224</v>
      </c>
      <c r="Q100" s="111">
        <f t="shared" si="8"/>
        <v>6</v>
      </c>
      <c r="R100" s="8" t="s">
        <v>202</v>
      </c>
      <c r="S100" s="18" t="str">
        <f t="shared" si="6"/>
        <v>27/10/2021</v>
      </c>
      <c r="T100" s="18">
        <v>44386</v>
      </c>
      <c r="U100" s="1">
        <f t="shared" si="4"/>
        <v>0</v>
      </c>
    </row>
    <row r="101" spans="1:26" x14ac:dyDescent="0.25">
      <c r="A101" s="6">
        <v>94</v>
      </c>
      <c r="B101" s="19"/>
      <c r="C101" s="7" t="s">
        <v>497</v>
      </c>
      <c r="D101" s="7" t="s">
        <v>729</v>
      </c>
      <c r="E101" s="17">
        <v>24626</v>
      </c>
      <c r="F101" s="7" t="s">
        <v>7</v>
      </c>
      <c r="G101" s="7" t="s">
        <v>78</v>
      </c>
      <c r="H101" s="7" t="s">
        <v>317</v>
      </c>
      <c r="I101" s="7" t="s">
        <v>35</v>
      </c>
      <c r="J101" s="8">
        <v>245434</v>
      </c>
      <c r="K101" s="7" t="s">
        <v>500</v>
      </c>
      <c r="L101" s="20">
        <v>16</v>
      </c>
      <c r="M101" s="20">
        <v>2</v>
      </c>
      <c r="N101" s="20">
        <v>3</v>
      </c>
      <c r="O101" s="8" t="s">
        <v>365</v>
      </c>
      <c r="P101" s="18" t="s">
        <v>228</v>
      </c>
      <c r="Q101" s="111">
        <f t="shared" si="8"/>
        <v>3</v>
      </c>
      <c r="R101" s="8" t="s">
        <v>227</v>
      </c>
      <c r="S101" s="18" t="str">
        <f t="shared" si="6"/>
        <v>04/11/2021</v>
      </c>
      <c r="T101" s="18">
        <v>44387</v>
      </c>
      <c r="U101" s="1">
        <f t="shared" si="4"/>
        <v>0</v>
      </c>
    </row>
    <row r="102" spans="1:26" x14ac:dyDescent="0.25">
      <c r="A102" s="6">
        <v>95</v>
      </c>
      <c r="B102" s="19"/>
      <c r="C102" s="7" t="s">
        <v>497</v>
      </c>
      <c r="D102" s="7" t="s">
        <v>729</v>
      </c>
      <c r="E102" s="17">
        <v>24627</v>
      </c>
      <c r="F102" s="7" t="s">
        <v>7</v>
      </c>
      <c r="G102" s="7" t="s">
        <v>78</v>
      </c>
      <c r="H102" s="7" t="s">
        <v>317</v>
      </c>
      <c r="I102" s="7" t="s">
        <v>35</v>
      </c>
      <c r="J102" s="8">
        <v>373645</v>
      </c>
      <c r="K102" s="7" t="s">
        <v>503</v>
      </c>
      <c r="L102" s="20">
        <v>16</v>
      </c>
      <c r="M102" s="20">
        <v>2</v>
      </c>
      <c r="N102" s="20">
        <v>3</v>
      </c>
      <c r="O102" s="8" t="s">
        <v>232</v>
      </c>
      <c r="P102" s="18" t="s">
        <v>233</v>
      </c>
      <c r="Q102" s="111">
        <f t="shared" si="8"/>
        <v>3</v>
      </c>
      <c r="R102" s="8" t="s">
        <v>227</v>
      </c>
      <c r="S102" s="18" t="str">
        <f t="shared" si="6"/>
        <v>11/11/2021</v>
      </c>
      <c r="T102" s="18">
        <v>44388</v>
      </c>
      <c r="U102" s="1">
        <f t="shared" si="4"/>
        <v>0</v>
      </c>
    </row>
    <row r="103" spans="1:26" x14ac:dyDescent="0.25">
      <c r="A103" s="6">
        <v>96</v>
      </c>
      <c r="B103" s="19"/>
      <c r="C103" s="7" t="s">
        <v>497</v>
      </c>
      <c r="D103" s="7" t="s">
        <v>729</v>
      </c>
      <c r="E103" s="17">
        <v>24747</v>
      </c>
      <c r="F103" s="7" t="s">
        <v>7</v>
      </c>
      <c r="G103" s="7" t="s">
        <v>78</v>
      </c>
      <c r="H103" s="7" t="s">
        <v>40</v>
      </c>
      <c r="I103" s="7" t="s">
        <v>35</v>
      </c>
      <c r="J103" s="8">
        <v>971841</v>
      </c>
      <c r="K103" s="7" t="s">
        <v>457</v>
      </c>
      <c r="L103" s="20">
        <v>24</v>
      </c>
      <c r="M103" s="20">
        <v>3</v>
      </c>
      <c r="N103" s="20">
        <v>3</v>
      </c>
      <c r="O103" s="8" t="s">
        <v>366</v>
      </c>
      <c r="P103" s="18" t="s">
        <v>233</v>
      </c>
      <c r="Q103" s="111">
        <f t="shared" si="8"/>
        <v>3</v>
      </c>
      <c r="R103" s="8" t="s">
        <v>227</v>
      </c>
      <c r="S103" s="18" t="str">
        <f t="shared" si="6"/>
        <v>10/11/2021</v>
      </c>
      <c r="T103" s="18">
        <v>44389</v>
      </c>
      <c r="U103" s="1">
        <f t="shared" si="4"/>
        <v>0</v>
      </c>
    </row>
    <row r="104" spans="1:26" x14ac:dyDescent="0.25">
      <c r="A104" s="6">
        <v>97</v>
      </c>
      <c r="B104" s="19"/>
      <c r="C104" s="7" t="s">
        <v>497</v>
      </c>
      <c r="D104" s="7" t="s">
        <v>729</v>
      </c>
      <c r="E104" s="17">
        <v>24657</v>
      </c>
      <c r="F104" s="7" t="s">
        <v>7</v>
      </c>
      <c r="G104" s="7" t="s">
        <v>78</v>
      </c>
      <c r="H104" s="7" t="s">
        <v>68</v>
      </c>
      <c r="I104" s="7" t="s">
        <v>35</v>
      </c>
      <c r="J104" s="8">
        <v>245435</v>
      </c>
      <c r="K104" s="7" t="s">
        <v>485</v>
      </c>
      <c r="L104" s="20">
        <v>24</v>
      </c>
      <c r="M104" s="20">
        <v>3</v>
      </c>
      <c r="N104" s="20">
        <v>4</v>
      </c>
      <c r="O104" s="8" t="s">
        <v>238</v>
      </c>
      <c r="P104" s="18" t="s">
        <v>240</v>
      </c>
      <c r="Q104" s="111">
        <f t="shared" si="8"/>
        <v>4</v>
      </c>
      <c r="R104" s="8" t="s">
        <v>227</v>
      </c>
      <c r="S104" s="18" t="str">
        <f t="shared" si="6"/>
        <v>17/11/2021</v>
      </c>
      <c r="T104" s="18">
        <v>44390</v>
      </c>
      <c r="U104" s="1">
        <f t="shared" si="4"/>
        <v>0</v>
      </c>
    </row>
    <row r="105" spans="1:26" x14ac:dyDescent="0.25">
      <c r="A105" s="6">
        <v>98</v>
      </c>
      <c r="B105" s="19"/>
      <c r="C105" s="7" t="s">
        <v>497</v>
      </c>
      <c r="D105" s="7" t="s">
        <v>729</v>
      </c>
      <c r="E105" s="17">
        <v>24629</v>
      </c>
      <c r="F105" s="7" t="s">
        <v>7</v>
      </c>
      <c r="G105" s="7" t="s">
        <v>78</v>
      </c>
      <c r="H105" s="7" t="s">
        <v>317</v>
      </c>
      <c r="I105" s="7" t="s">
        <v>35</v>
      </c>
      <c r="J105" s="8">
        <v>245434</v>
      </c>
      <c r="K105" s="7" t="s">
        <v>500</v>
      </c>
      <c r="L105" s="20">
        <v>16</v>
      </c>
      <c r="M105" s="20">
        <v>2</v>
      </c>
      <c r="N105" s="20">
        <v>3</v>
      </c>
      <c r="O105" s="8" t="s">
        <v>242</v>
      </c>
      <c r="P105" s="18" t="s">
        <v>244</v>
      </c>
      <c r="Q105" s="111">
        <f t="shared" si="8"/>
        <v>3</v>
      </c>
      <c r="R105" s="8" t="s">
        <v>227</v>
      </c>
      <c r="S105" s="18" t="str">
        <f t="shared" si="6"/>
        <v>25/11/2021</v>
      </c>
      <c r="T105" s="18">
        <v>44391</v>
      </c>
      <c r="U105" s="1">
        <f t="shared" si="4"/>
        <v>0</v>
      </c>
    </row>
    <row r="106" spans="1:26" x14ac:dyDescent="0.25">
      <c r="A106" s="6">
        <v>99</v>
      </c>
      <c r="B106" s="19"/>
      <c r="C106" s="7" t="s">
        <v>497</v>
      </c>
      <c r="D106" s="7" t="s">
        <v>729</v>
      </c>
      <c r="E106" s="17">
        <v>24630</v>
      </c>
      <c r="F106" s="7" t="s">
        <v>7</v>
      </c>
      <c r="G106" s="7" t="s">
        <v>78</v>
      </c>
      <c r="H106" s="7" t="s">
        <v>317</v>
      </c>
      <c r="I106" s="7" t="s">
        <v>35</v>
      </c>
      <c r="J106" s="8">
        <v>245434</v>
      </c>
      <c r="K106" s="7" t="s">
        <v>500</v>
      </c>
      <c r="L106" s="20">
        <v>16</v>
      </c>
      <c r="M106" s="20">
        <v>2</v>
      </c>
      <c r="N106" s="20">
        <v>3</v>
      </c>
      <c r="O106" s="8" t="s">
        <v>384</v>
      </c>
      <c r="P106" s="18" t="s">
        <v>246</v>
      </c>
      <c r="Q106" s="111">
        <f t="shared" si="8"/>
        <v>3</v>
      </c>
      <c r="R106" s="8" t="s">
        <v>227</v>
      </c>
      <c r="S106" s="18" t="str">
        <f t="shared" si="6"/>
        <v>29/11/2021</v>
      </c>
      <c r="T106" s="18">
        <v>44392</v>
      </c>
      <c r="U106" s="1">
        <f t="shared" si="4"/>
        <v>0</v>
      </c>
    </row>
    <row r="107" spans="1:26" x14ac:dyDescent="0.25">
      <c r="A107" s="6">
        <v>100</v>
      </c>
      <c r="B107" s="19"/>
      <c r="C107" s="7" t="s">
        <v>497</v>
      </c>
      <c r="D107" s="7" t="s">
        <v>729</v>
      </c>
      <c r="E107" s="17">
        <v>24632</v>
      </c>
      <c r="F107" s="7" t="s">
        <v>7</v>
      </c>
      <c r="G107" s="7" t="s">
        <v>78</v>
      </c>
      <c r="H107" s="7" t="s">
        <v>317</v>
      </c>
      <c r="I107" s="7" t="s">
        <v>35</v>
      </c>
      <c r="J107" s="8">
        <v>245434</v>
      </c>
      <c r="K107" s="7" t="s">
        <v>500</v>
      </c>
      <c r="L107" s="20">
        <v>16</v>
      </c>
      <c r="M107" s="20">
        <v>2</v>
      </c>
      <c r="N107" s="20">
        <v>2</v>
      </c>
      <c r="O107" s="8" t="s">
        <v>441</v>
      </c>
      <c r="P107" s="18" t="s">
        <v>510</v>
      </c>
      <c r="Q107" s="111">
        <f t="shared" si="8"/>
        <v>2</v>
      </c>
      <c r="R107" s="8" t="s">
        <v>249</v>
      </c>
      <c r="S107" s="18" t="str">
        <f t="shared" si="6"/>
        <v>13/12/2021</v>
      </c>
      <c r="T107" s="18">
        <v>44393</v>
      </c>
      <c r="U107" s="1">
        <f t="shared" si="4"/>
        <v>0</v>
      </c>
    </row>
    <row r="108" spans="1:26" s="131" customFormat="1" x14ac:dyDescent="0.25">
      <c r="A108" s="155">
        <v>101</v>
      </c>
      <c r="B108" s="156"/>
      <c r="C108" s="132" t="s">
        <v>497</v>
      </c>
      <c r="D108" s="132" t="s">
        <v>730</v>
      </c>
      <c r="E108" s="133">
        <v>30518</v>
      </c>
      <c r="F108" s="132" t="s">
        <v>10</v>
      </c>
      <c r="G108" s="132" t="s">
        <v>511</v>
      </c>
      <c r="H108" s="132" t="s">
        <v>65</v>
      </c>
      <c r="I108" s="132" t="s">
        <v>35</v>
      </c>
      <c r="J108" s="134">
        <v>245435</v>
      </c>
      <c r="K108" s="132" t="s">
        <v>485</v>
      </c>
      <c r="L108" s="157">
        <v>24</v>
      </c>
      <c r="M108" s="157">
        <v>3</v>
      </c>
      <c r="N108" s="157">
        <v>12</v>
      </c>
      <c r="O108" s="134" t="s">
        <v>59</v>
      </c>
      <c r="P108" s="136">
        <v>44303</v>
      </c>
      <c r="Q108" s="158">
        <v>7</v>
      </c>
      <c r="R108" s="134" t="s">
        <v>60</v>
      </c>
      <c r="S108" s="136" t="s">
        <v>59</v>
      </c>
      <c r="T108" s="136">
        <v>44303</v>
      </c>
      <c r="U108" s="130">
        <f>IF(T108&lt;=$E$3,1,0)</f>
        <v>1</v>
      </c>
      <c r="V108" s="159" t="s">
        <v>699</v>
      </c>
      <c r="W108" s="160">
        <v>7</v>
      </c>
      <c r="X108" s="160">
        <v>245435</v>
      </c>
      <c r="Y108" s="161" t="s">
        <v>485</v>
      </c>
      <c r="Z108" s="161"/>
    </row>
    <row r="109" spans="1:26" x14ac:dyDescent="0.25">
      <c r="A109" s="6">
        <v>102</v>
      </c>
      <c r="B109" s="19"/>
      <c r="C109" s="7" t="s">
        <v>497</v>
      </c>
      <c r="D109" s="7" t="s">
        <v>730</v>
      </c>
      <c r="E109" s="17">
        <v>24884</v>
      </c>
      <c r="F109" s="7" t="s">
        <v>7</v>
      </c>
      <c r="G109" s="7" t="s">
        <v>78</v>
      </c>
      <c r="H109" s="7" t="s">
        <v>34</v>
      </c>
      <c r="I109" s="7" t="s">
        <v>35</v>
      </c>
      <c r="J109" s="8">
        <v>245434</v>
      </c>
      <c r="K109" s="7" t="s">
        <v>500</v>
      </c>
      <c r="L109" s="20">
        <v>8</v>
      </c>
      <c r="M109" s="20">
        <v>1</v>
      </c>
      <c r="N109" s="20">
        <v>10</v>
      </c>
      <c r="O109" s="8" t="s">
        <v>275</v>
      </c>
      <c r="P109" s="18">
        <v>44322</v>
      </c>
      <c r="Q109" s="111">
        <v>8</v>
      </c>
      <c r="R109" s="8" t="s">
        <v>77</v>
      </c>
      <c r="S109" s="18">
        <v>44344</v>
      </c>
      <c r="T109" s="18">
        <v>44344</v>
      </c>
      <c r="U109" s="1">
        <f>IF(T109&lt;=$E$3,1,0)</f>
        <v>1</v>
      </c>
      <c r="V109" s="9" t="s">
        <v>699</v>
      </c>
      <c r="W109" s="10">
        <v>9</v>
      </c>
      <c r="X109" s="10">
        <v>245435</v>
      </c>
      <c r="Y109" s="11" t="s">
        <v>485</v>
      </c>
      <c r="Z109" s="11"/>
    </row>
    <row r="110" spans="1:26" x14ac:dyDescent="0.25">
      <c r="A110" s="6">
        <v>103</v>
      </c>
      <c r="B110" s="19"/>
      <c r="C110" s="7" t="s">
        <v>497</v>
      </c>
      <c r="D110" s="7" t="s">
        <v>730</v>
      </c>
      <c r="E110" s="17">
        <v>24886</v>
      </c>
      <c r="F110" s="7" t="s">
        <v>7</v>
      </c>
      <c r="G110" s="7" t="s">
        <v>78</v>
      </c>
      <c r="H110" s="7" t="s">
        <v>34</v>
      </c>
      <c r="I110" s="7" t="s">
        <v>35</v>
      </c>
      <c r="J110" s="8">
        <v>245434</v>
      </c>
      <c r="K110" s="7" t="s">
        <v>500</v>
      </c>
      <c r="L110" s="20">
        <v>8</v>
      </c>
      <c r="M110" s="20">
        <v>1</v>
      </c>
      <c r="N110" s="20">
        <v>8</v>
      </c>
      <c r="O110" s="8" t="s">
        <v>380</v>
      </c>
      <c r="P110" s="18" t="s">
        <v>380</v>
      </c>
      <c r="Q110" s="111">
        <v>8</v>
      </c>
      <c r="R110" s="8" t="s">
        <v>77</v>
      </c>
      <c r="S110" s="18">
        <v>44347</v>
      </c>
      <c r="T110" s="18">
        <v>44347</v>
      </c>
      <c r="U110" s="1">
        <f>IF(T110&lt;=$E$3,1,0)</f>
        <v>1</v>
      </c>
      <c r="V110" s="9" t="s">
        <v>699</v>
      </c>
      <c r="W110" s="10">
        <v>8</v>
      </c>
      <c r="X110" s="10">
        <v>971871</v>
      </c>
      <c r="Y110" s="11" t="s">
        <v>457</v>
      </c>
      <c r="Z110" s="11"/>
    </row>
    <row r="111" spans="1:26" x14ac:dyDescent="0.25">
      <c r="A111" s="6">
        <v>104</v>
      </c>
      <c r="B111" s="19"/>
      <c r="C111" s="7" t="s">
        <v>497</v>
      </c>
      <c r="D111" s="7" t="s">
        <v>730</v>
      </c>
      <c r="E111" s="17">
        <v>31049</v>
      </c>
      <c r="F111" s="7" t="s">
        <v>10</v>
      </c>
      <c r="G111" s="7" t="s">
        <v>498</v>
      </c>
      <c r="H111" s="7" t="s">
        <v>346</v>
      </c>
      <c r="I111" s="7" t="s">
        <v>35</v>
      </c>
      <c r="J111" s="8">
        <v>370733</v>
      </c>
      <c r="K111" s="7" t="s">
        <v>499</v>
      </c>
      <c r="L111" s="20">
        <v>16</v>
      </c>
      <c r="M111" s="20">
        <v>2</v>
      </c>
      <c r="N111" s="20">
        <v>10</v>
      </c>
      <c r="O111" s="8" t="s">
        <v>284</v>
      </c>
      <c r="P111" s="18" t="s">
        <v>90</v>
      </c>
      <c r="Q111" s="111">
        <v>10</v>
      </c>
      <c r="R111" s="8" t="s">
        <v>77</v>
      </c>
      <c r="S111" s="18" t="s">
        <v>284</v>
      </c>
      <c r="T111" s="18">
        <v>44337</v>
      </c>
      <c r="U111" s="1">
        <f>IF(T111&lt;=$E$3,1,0)</f>
        <v>1</v>
      </c>
      <c r="V111" s="9" t="s">
        <v>699</v>
      </c>
      <c r="W111" s="10">
        <v>9</v>
      </c>
      <c r="X111" s="10">
        <v>370733</v>
      </c>
      <c r="Y111" s="11" t="s">
        <v>731</v>
      </c>
      <c r="Z111" s="181" t="s">
        <v>732</v>
      </c>
    </row>
    <row r="112" spans="1:26" x14ac:dyDescent="0.25">
      <c r="A112" s="6">
        <v>105</v>
      </c>
      <c r="B112" s="19"/>
      <c r="C112" s="7" t="s">
        <v>497</v>
      </c>
      <c r="D112" s="7" t="s">
        <v>730</v>
      </c>
      <c r="E112" s="17">
        <v>31205</v>
      </c>
      <c r="F112" s="7" t="s">
        <v>10</v>
      </c>
      <c r="G112" s="7" t="s">
        <v>498</v>
      </c>
      <c r="H112" s="7" t="s">
        <v>65</v>
      </c>
      <c r="I112" s="7" t="s">
        <v>35</v>
      </c>
      <c r="J112" s="8">
        <v>245435</v>
      </c>
      <c r="K112" s="7" t="s">
        <v>485</v>
      </c>
      <c r="L112" s="20">
        <v>24</v>
      </c>
      <c r="M112" s="20">
        <v>3</v>
      </c>
      <c r="N112" s="20">
        <v>10</v>
      </c>
      <c r="O112" s="8" t="s">
        <v>90</v>
      </c>
      <c r="P112" s="18" t="s">
        <v>512</v>
      </c>
      <c r="Q112" s="111">
        <v>10</v>
      </c>
      <c r="R112" s="8" t="s">
        <v>77</v>
      </c>
      <c r="S112" s="18" t="s">
        <v>90</v>
      </c>
      <c r="T112" s="18">
        <v>44339</v>
      </c>
      <c r="U112" s="1">
        <f t="shared" ref="U112:U173" si="9">IF(T112&lt;=$E$3,1,0)</f>
        <v>1</v>
      </c>
      <c r="V112" s="9" t="s">
        <v>699</v>
      </c>
      <c r="W112" s="10">
        <v>11</v>
      </c>
      <c r="X112" s="10">
        <v>245435</v>
      </c>
      <c r="Y112" s="11" t="s">
        <v>485</v>
      </c>
      <c r="Z112" s="11"/>
    </row>
    <row r="113" spans="1:26" x14ac:dyDescent="0.25">
      <c r="A113" s="6">
        <v>106</v>
      </c>
      <c r="B113" s="19"/>
      <c r="C113" s="7" t="s">
        <v>497</v>
      </c>
      <c r="D113" s="7" t="s">
        <v>730</v>
      </c>
      <c r="E113" s="17">
        <v>24874</v>
      </c>
      <c r="F113" s="7" t="s">
        <v>7</v>
      </c>
      <c r="G113" s="7" t="s">
        <v>78</v>
      </c>
      <c r="H113" s="7" t="s">
        <v>148</v>
      </c>
      <c r="I113" s="7" t="s">
        <v>35</v>
      </c>
      <c r="J113" s="8">
        <v>245435</v>
      </c>
      <c r="K113" s="7" t="s">
        <v>485</v>
      </c>
      <c r="L113" s="20">
        <v>8</v>
      </c>
      <c r="M113" s="20">
        <v>1</v>
      </c>
      <c r="N113" s="20">
        <v>11</v>
      </c>
      <c r="O113" s="8" t="s">
        <v>426</v>
      </c>
      <c r="P113" s="18" t="s">
        <v>426</v>
      </c>
      <c r="Q113" s="111">
        <v>8</v>
      </c>
      <c r="R113" s="8" t="s">
        <v>77</v>
      </c>
      <c r="S113" s="18">
        <v>44343</v>
      </c>
      <c r="T113" s="18">
        <v>44343</v>
      </c>
      <c r="U113" s="1">
        <f t="shared" si="9"/>
        <v>1</v>
      </c>
      <c r="V113" s="9" t="s">
        <v>699</v>
      </c>
      <c r="W113" s="10">
        <v>8</v>
      </c>
      <c r="X113" s="1">
        <v>245435</v>
      </c>
      <c r="Y113" s="11" t="s">
        <v>485</v>
      </c>
      <c r="Z113" t="s">
        <v>733</v>
      </c>
    </row>
    <row r="114" spans="1:26" x14ac:dyDescent="0.25">
      <c r="A114" s="6">
        <v>107</v>
      </c>
      <c r="B114" s="19"/>
      <c r="C114" s="7" t="s">
        <v>497</v>
      </c>
      <c r="D114" s="7" t="s">
        <v>730</v>
      </c>
      <c r="E114" s="17">
        <v>24514</v>
      </c>
      <c r="F114" s="7" t="s">
        <v>7</v>
      </c>
      <c r="G114" s="7" t="s">
        <v>78</v>
      </c>
      <c r="H114" s="7" t="s">
        <v>89</v>
      </c>
      <c r="I114" s="7" t="s">
        <v>35</v>
      </c>
      <c r="J114" s="8">
        <v>322115</v>
      </c>
      <c r="K114" s="7" t="s">
        <v>501</v>
      </c>
      <c r="L114" s="20">
        <v>16</v>
      </c>
      <c r="M114" s="20">
        <v>2</v>
      </c>
      <c r="N114" s="20">
        <v>3</v>
      </c>
      <c r="O114" s="8" t="s">
        <v>91</v>
      </c>
      <c r="P114" s="18" t="s">
        <v>426</v>
      </c>
      <c r="Q114" s="111">
        <v>13</v>
      </c>
      <c r="R114" s="8" t="s">
        <v>77</v>
      </c>
      <c r="S114" s="18" t="s">
        <v>91</v>
      </c>
      <c r="T114" s="18" t="s">
        <v>426</v>
      </c>
      <c r="U114" s="1">
        <v>1</v>
      </c>
      <c r="V114" s="9" t="s">
        <v>699</v>
      </c>
      <c r="W114" s="10">
        <v>7</v>
      </c>
      <c r="X114" s="10">
        <v>245435</v>
      </c>
      <c r="Y114" s="11" t="s">
        <v>485</v>
      </c>
      <c r="Z114" s="11"/>
    </row>
    <row r="115" spans="1:26" x14ac:dyDescent="0.25">
      <c r="A115" s="6">
        <v>108</v>
      </c>
      <c r="B115" s="19"/>
      <c r="C115" s="7" t="s">
        <v>497</v>
      </c>
      <c r="D115" s="7" t="s">
        <v>730</v>
      </c>
      <c r="E115" s="17">
        <v>24811</v>
      </c>
      <c r="F115" s="7" t="s">
        <v>7</v>
      </c>
      <c r="G115" s="7" t="s">
        <v>78</v>
      </c>
      <c r="H115" s="7" t="s">
        <v>294</v>
      </c>
      <c r="I115" s="7" t="s">
        <v>35</v>
      </c>
      <c r="J115" s="8">
        <v>971841</v>
      </c>
      <c r="K115" s="7" t="s">
        <v>457</v>
      </c>
      <c r="L115" s="20">
        <v>8</v>
      </c>
      <c r="M115" s="20">
        <v>1</v>
      </c>
      <c r="N115" s="20">
        <v>6</v>
      </c>
      <c r="O115" s="8" t="s">
        <v>426</v>
      </c>
      <c r="P115" s="18" t="s">
        <v>426</v>
      </c>
      <c r="Q115" s="111">
        <v>10</v>
      </c>
      <c r="R115" s="8" t="s">
        <v>77</v>
      </c>
      <c r="S115" s="18" t="s">
        <v>426</v>
      </c>
      <c r="T115" s="18" t="s">
        <v>426</v>
      </c>
      <c r="U115" s="1">
        <v>1</v>
      </c>
      <c r="V115" s="9" t="s">
        <v>699</v>
      </c>
      <c r="W115" s="10">
        <v>10</v>
      </c>
      <c r="X115" s="10">
        <v>971871</v>
      </c>
      <c r="Y115" s="11" t="s">
        <v>457</v>
      </c>
      <c r="Z115" s="11"/>
    </row>
    <row r="116" spans="1:26" x14ac:dyDescent="0.25">
      <c r="A116" s="6">
        <v>109</v>
      </c>
      <c r="B116" s="19"/>
      <c r="C116" s="7" t="s">
        <v>497</v>
      </c>
      <c r="D116" s="7" t="s">
        <v>730</v>
      </c>
      <c r="E116" s="17">
        <v>24735</v>
      </c>
      <c r="F116" s="7" t="s">
        <v>7</v>
      </c>
      <c r="G116" s="7" t="s">
        <v>78</v>
      </c>
      <c r="H116" s="7" t="s">
        <v>40</v>
      </c>
      <c r="I116" s="7" t="s">
        <v>35</v>
      </c>
      <c r="J116" s="8">
        <v>971841</v>
      </c>
      <c r="K116" s="7" t="s">
        <v>457</v>
      </c>
      <c r="L116" s="20">
        <v>24</v>
      </c>
      <c r="M116" s="20">
        <v>3</v>
      </c>
      <c r="N116" s="20">
        <v>3</v>
      </c>
      <c r="O116" s="8" t="s">
        <v>93</v>
      </c>
      <c r="P116" s="18" t="s">
        <v>428</v>
      </c>
      <c r="Q116" s="111">
        <v>9</v>
      </c>
      <c r="R116" s="8" t="s">
        <v>77</v>
      </c>
      <c r="S116" s="18" t="s">
        <v>93</v>
      </c>
      <c r="T116" s="18" t="s">
        <v>428</v>
      </c>
      <c r="U116" s="1">
        <v>1</v>
      </c>
      <c r="V116" s="169" t="s">
        <v>699</v>
      </c>
      <c r="W116" s="10">
        <v>7</v>
      </c>
      <c r="X116" s="10">
        <v>971871</v>
      </c>
      <c r="Y116" s="11" t="s">
        <v>457</v>
      </c>
      <c r="Z116" s="12"/>
    </row>
    <row r="117" spans="1:26" x14ac:dyDescent="0.25">
      <c r="A117" s="6">
        <v>110</v>
      </c>
      <c r="B117" s="19"/>
      <c r="C117" s="7" t="s">
        <v>497</v>
      </c>
      <c r="D117" s="7" t="s">
        <v>730</v>
      </c>
      <c r="E117" s="17">
        <v>25318</v>
      </c>
      <c r="F117" s="7" t="s">
        <v>7</v>
      </c>
      <c r="G117" s="7" t="s">
        <v>78</v>
      </c>
      <c r="H117" s="7" t="s">
        <v>199</v>
      </c>
      <c r="I117" s="7" t="s">
        <v>35</v>
      </c>
      <c r="J117" s="8">
        <v>245434</v>
      </c>
      <c r="K117" s="7" t="s">
        <v>500</v>
      </c>
      <c r="L117" s="20">
        <v>8</v>
      </c>
      <c r="M117" s="20">
        <v>1</v>
      </c>
      <c r="N117" s="20">
        <v>3</v>
      </c>
      <c r="O117" s="8" t="s">
        <v>350</v>
      </c>
      <c r="P117" s="18" t="s">
        <v>350</v>
      </c>
      <c r="Q117" s="111">
        <v>10</v>
      </c>
      <c r="R117" s="8" t="s">
        <v>77</v>
      </c>
      <c r="S117" s="18">
        <v>44347</v>
      </c>
      <c r="T117" s="18">
        <v>44347</v>
      </c>
      <c r="U117" s="1">
        <f t="shared" si="9"/>
        <v>1</v>
      </c>
      <c r="V117" s="14" t="s">
        <v>701</v>
      </c>
      <c r="W117" s="10"/>
      <c r="X117" s="10"/>
      <c r="Y117" s="11"/>
      <c r="Z117" s="11"/>
    </row>
    <row r="118" spans="1:26" x14ac:dyDescent="0.25">
      <c r="A118" s="6">
        <v>111</v>
      </c>
      <c r="B118" s="19"/>
      <c r="C118" s="7" t="s">
        <v>497</v>
      </c>
      <c r="D118" s="7" t="s">
        <v>730</v>
      </c>
      <c r="E118" s="17">
        <v>24635</v>
      </c>
      <c r="F118" s="7" t="s">
        <v>7</v>
      </c>
      <c r="G118" s="7" t="s">
        <v>78</v>
      </c>
      <c r="H118" s="7" t="s">
        <v>68</v>
      </c>
      <c r="I118" s="7" t="s">
        <v>35</v>
      </c>
      <c r="J118" s="8">
        <v>322115</v>
      </c>
      <c r="K118" s="7" t="s">
        <v>501</v>
      </c>
      <c r="L118" s="20">
        <v>24</v>
      </c>
      <c r="M118" s="20">
        <v>3</v>
      </c>
      <c r="N118" s="20">
        <v>4</v>
      </c>
      <c r="O118" s="8" t="s">
        <v>350</v>
      </c>
      <c r="P118" s="18" t="s">
        <v>101</v>
      </c>
      <c r="Q118" s="111">
        <v>8</v>
      </c>
      <c r="R118" s="8" t="s">
        <v>77</v>
      </c>
      <c r="S118" s="18">
        <v>44347</v>
      </c>
      <c r="T118" s="18">
        <v>44349</v>
      </c>
      <c r="U118" s="1">
        <f t="shared" si="9"/>
        <v>1</v>
      </c>
      <c r="V118" s="10" t="s">
        <v>699</v>
      </c>
      <c r="W118" s="10">
        <v>5</v>
      </c>
      <c r="X118" s="10">
        <v>322115</v>
      </c>
      <c r="Y118" s="11" t="s">
        <v>501</v>
      </c>
      <c r="Z118" s="11"/>
    </row>
    <row r="119" spans="1:26" x14ac:dyDescent="0.25">
      <c r="A119" s="6">
        <v>112</v>
      </c>
      <c r="B119" s="19"/>
      <c r="C119" s="7" t="s">
        <v>497</v>
      </c>
      <c r="D119" s="7" t="s">
        <v>730</v>
      </c>
      <c r="E119" s="17">
        <v>24882</v>
      </c>
      <c r="F119" s="7" t="s">
        <v>7</v>
      </c>
      <c r="G119" s="7" t="s">
        <v>78</v>
      </c>
      <c r="H119" s="7" t="s">
        <v>34</v>
      </c>
      <c r="I119" s="7" t="s">
        <v>35</v>
      </c>
      <c r="J119" s="8">
        <v>245434</v>
      </c>
      <c r="K119" s="7" t="s">
        <v>500</v>
      </c>
      <c r="L119" s="20">
        <v>8</v>
      </c>
      <c r="M119" s="20">
        <v>1</v>
      </c>
      <c r="N119" s="20">
        <v>10</v>
      </c>
      <c r="O119" s="8" t="s">
        <v>289</v>
      </c>
      <c r="P119" s="18" t="s">
        <v>289</v>
      </c>
      <c r="Q119" s="111">
        <v>10</v>
      </c>
      <c r="R119" s="8" t="s">
        <v>100</v>
      </c>
      <c r="S119" s="18" t="s">
        <v>289</v>
      </c>
      <c r="T119" s="18">
        <v>44350</v>
      </c>
      <c r="U119" s="1">
        <f t="shared" si="9"/>
        <v>1</v>
      </c>
      <c r="V119" s="10" t="s">
        <v>699</v>
      </c>
      <c r="W119" s="10">
        <v>10</v>
      </c>
      <c r="X119" s="10">
        <v>971871</v>
      </c>
      <c r="Y119" s="11" t="s">
        <v>457</v>
      </c>
      <c r="Z119" s="181" t="s">
        <v>734</v>
      </c>
    </row>
    <row r="120" spans="1:26" x14ac:dyDescent="0.25">
      <c r="A120" s="6">
        <v>113</v>
      </c>
      <c r="B120" s="19"/>
      <c r="C120" s="7" t="s">
        <v>497</v>
      </c>
      <c r="D120" s="7" t="s">
        <v>730</v>
      </c>
      <c r="E120" s="17">
        <v>24516</v>
      </c>
      <c r="F120" s="7" t="s">
        <v>7</v>
      </c>
      <c r="G120" s="7" t="s">
        <v>78</v>
      </c>
      <c r="H120" s="7" t="s">
        <v>89</v>
      </c>
      <c r="I120" s="7" t="s">
        <v>35</v>
      </c>
      <c r="J120" s="8">
        <v>245435</v>
      </c>
      <c r="K120" s="7" t="s">
        <v>485</v>
      </c>
      <c r="L120" s="20">
        <v>16</v>
      </c>
      <c r="M120" s="20">
        <v>2</v>
      </c>
      <c r="N120" s="20">
        <v>3</v>
      </c>
      <c r="O120" s="8" t="s">
        <v>104</v>
      </c>
      <c r="P120" s="18" t="s">
        <v>298</v>
      </c>
      <c r="Q120" s="111">
        <v>8</v>
      </c>
      <c r="R120" s="8" t="s">
        <v>100</v>
      </c>
      <c r="S120" s="18" t="s">
        <v>104</v>
      </c>
      <c r="T120" s="18">
        <v>44358</v>
      </c>
      <c r="U120" s="1">
        <f t="shared" si="9"/>
        <v>1</v>
      </c>
      <c r="V120" s="10" t="s">
        <v>699</v>
      </c>
      <c r="W120" s="10">
        <v>9</v>
      </c>
      <c r="X120" s="10">
        <v>245435</v>
      </c>
      <c r="Y120" s="11" t="s">
        <v>485</v>
      </c>
      <c r="Z120" t="s">
        <v>735</v>
      </c>
    </row>
    <row r="121" spans="1:26" x14ac:dyDescent="0.25">
      <c r="A121" s="6">
        <v>114</v>
      </c>
      <c r="B121" s="19"/>
      <c r="C121" s="7" t="s">
        <v>497</v>
      </c>
      <c r="D121" s="7" t="s">
        <v>730</v>
      </c>
      <c r="E121" s="17">
        <v>29376</v>
      </c>
      <c r="F121" s="7" t="s">
        <v>10</v>
      </c>
      <c r="G121" s="7" t="s">
        <v>74</v>
      </c>
      <c r="H121" s="7" t="s">
        <v>65</v>
      </c>
      <c r="I121" s="7" t="s">
        <v>35</v>
      </c>
      <c r="J121" s="8">
        <v>322115</v>
      </c>
      <c r="K121" s="7" t="s">
        <v>501</v>
      </c>
      <c r="L121" s="20">
        <v>24</v>
      </c>
      <c r="M121" s="20">
        <v>3</v>
      </c>
      <c r="N121" s="20">
        <v>13</v>
      </c>
      <c r="O121" s="8" t="s">
        <v>103</v>
      </c>
      <c r="P121" s="18" t="s">
        <v>298</v>
      </c>
      <c r="Q121" s="111">
        <v>13</v>
      </c>
      <c r="R121" s="8" t="s">
        <v>100</v>
      </c>
      <c r="S121" s="18" t="s">
        <v>103</v>
      </c>
      <c r="T121" s="18">
        <v>44358</v>
      </c>
      <c r="U121" s="1">
        <f t="shared" si="9"/>
        <v>1</v>
      </c>
      <c r="V121" s="10" t="s">
        <v>699</v>
      </c>
      <c r="W121" s="10">
        <v>13</v>
      </c>
      <c r="X121" s="10">
        <v>245435</v>
      </c>
      <c r="Y121" s="11" t="s">
        <v>485</v>
      </c>
      <c r="Z121" s="11"/>
    </row>
    <row r="122" spans="1:26" x14ac:dyDescent="0.25">
      <c r="A122" s="6">
        <v>115</v>
      </c>
      <c r="B122" s="19"/>
      <c r="C122" s="7" t="s">
        <v>497</v>
      </c>
      <c r="D122" s="7" t="s">
        <v>730</v>
      </c>
      <c r="E122" s="17">
        <v>25320</v>
      </c>
      <c r="F122" s="7" t="s">
        <v>7</v>
      </c>
      <c r="G122" s="7" t="s">
        <v>78</v>
      </c>
      <c r="H122" s="7" t="s">
        <v>199</v>
      </c>
      <c r="I122" s="7" t="s">
        <v>35</v>
      </c>
      <c r="J122" s="8">
        <v>245434</v>
      </c>
      <c r="K122" s="7" t="s">
        <v>500</v>
      </c>
      <c r="L122" s="20">
        <v>8</v>
      </c>
      <c r="M122" s="20">
        <v>1</v>
      </c>
      <c r="N122" s="20">
        <v>3</v>
      </c>
      <c r="O122" s="8" t="s">
        <v>300</v>
      </c>
      <c r="P122" s="18" t="s">
        <v>300</v>
      </c>
      <c r="Q122" s="111">
        <v>9</v>
      </c>
      <c r="R122" s="8" t="s">
        <v>100</v>
      </c>
      <c r="S122" s="18" t="s">
        <v>300</v>
      </c>
      <c r="T122" s="18">
        <v>44362</v>
      </c>
      <c r="U122" s="1">
        <f t="shared" si="9"/>
        <v>1</v>
      </c>
      <c r="V122" s="169" t="s">
        <v>699</v>
      </c>
      <c r="W122" s="10">
        <v>8</v>
      </c>
      <c r="X122" s="10">
        <v>245434</v>
      </c>
      <c r="Y122" s="11" t="s">
        <v>500</v>
      </c>
      <c r="Z122" s="11" t="s">
        <v>736</v>
      </c>
    </row>
    <row r="123" spans="1:26" x14ac:dyDescent="0.25">
      <c r="A123" s="6">
        <v>116</v>
      </c>
      <c r="B123" s="19"/>
      <c r="C123" s="7" t="s">
        <v>497</v>
      </c>
      <c r="D123" s="7" t="s">
        <v>730</v>
      </c>
      <c r="E123" s="17">
        <v>24517</v>
      </c>
      <c r="F123" s="7" t="s">
        <v>7</v>
      </c>
      <c r="G123" s="7" t="s">
        <v>78</v>
      </c>
      <c r="H123" s="7" t="s">
        <v>89</v>
      </c>
      <c r="I123" s="7" t="s">
        <v>35</v>
      </c>
      <c r="J123" s="8">
        <v>245435</v>
      </c>
      <c r="K123" s="7" t="s">
        <v>485</v>
      </c>
      <c r="L123" s="20">
        <v>16</v>
      </c>
      <c r="M123" s="20">
        <v>2</v>
      </c>
      <c r="N123" s="20">
        <v>3</v>
      </c>
      <c r="O123" s="8" t="s">
        <v>299</v>
      </c>
      <c r="P123" s="18" t="s">
        <v>300</v>
      </c>
      <c r="Q123" s="111">
        <v>8</v>
      </c>
      <c r="R123" s="8" t="s">
        <v>100</v>
      </c>
      <c r="S123" s="18" t="s">
        <v>299</v>
      </c>
      <c r="T123" s="18">
        <v>44362</v>
      </c>
      <c r="U123" s="1">
        <f t="shared" si="9"/>
        <v>1</v>
      </c>
      <c r="V123" s="9" t="s">
        <v>699</v>
      </c>
      <c r="W123" s="183" t="s">
        <v>737</v>
      </c>
      <c r="X123" s="183" t="s">
        <v>737</v>
      </c>
      <c r="Y123" s="181" t="s">
        <v>737</v>
      </c>
      <c r="Z123" s="182" t="s">
        <v>738</v>
      </c>
    </row>
    <row r="124" spans="1:26" x14ac:dyDescent="0.25">
      <c r="A124" s="6">
        <v>117</v>
      </c>
      <c r="B124" s="19"/>
      <c r="C124" s="7" t="s">
        <v>497</v>
      </c>
      <c r="D124" s="7" t="s">
        <v>730</v>
      </c>
      <c r="E124" s="17">
        <v>31048</v>
      </c>
      <c r="F124" s="7" t="s">
        <v>10</v>
      </c>
      <c r="G124" s="7" t="s">
        <v>498</v>
      </c>
      <c r="H124" s="7" t="s">
        <v>346</v>
      </c>
      <c r="I124" s="7" t="s">
        <v>35</v>
      </c>
      <c r="J124" s="8">
        <v>370733</v>
      </c>
      <c r="K124" s="7" t="s">
        <v>499</v>
      </c>
      <c r="L124" s="20">
        <v>16</v>
      </c>
      <c r="M124" s="20">
        <v>2</v>
      </c>
      <c r="N124" s="20">
        <v>10</v>
      </c>
      <c r="O124" s="8" t="s">
        <v>299</v>
      </c>
      <c r="P124" s="18" t="s">
        <v>300</v>
      </c>
      <c r="Q124" s="111">
        <v>10</v>
      </c>
      <c r="R124" s="8" t="s">
        <v>100</v>
      </c>
      <c r="S124" s="18" t="s">
        <v>299</v>
      </c>
      <c r="T124" s="18">
        <v>44362</v>
      </c>
      <c r="U124" s="1">
        <f t="shared" si="9"/>
        <v>1</v>
      </c>
      <c r="V124" s="14" t="s">
        <v>701</v>
      </c>
      <c r="W124" s="10"/>
      <c r="X124" s="10"/>
      <c r="Y124" s="11"/>
      <c r="Z124" s="11" t="s">
        <v>739</v>
      </c>
    </row>
    <row r="125" spans="1:26" x14ac:dyDescent="0.25">
      <c r="A125" s="6">
        <v>118</v>
      </c>
      <c r="B125" s="19"/>
      <c r="C125" s="7" t="s">
        <v>497</v>
      </c>
      <c r="D125" s="7" t="s">
        <v>730</v>
      </c>
      <c r="E125" s="17">
        <v>24861</v>
      </c>
      <c r="F125" s="7" t="s">
        <v>7</v>
      </c>
      <c r="G125" s="7" t="s">
        <v>78</v>
      </c>
      <c r="H125" s="7" t="s">
        <v>362</v>
      </c>
      <c r="I125" s="7" t="s">
        <v>35</v>
      </c>
      <c r="J125" s="8">
        <v>445938</v>
      </c>
      <c r="K125" s="7" t="s">
        <v>507</v>
      </c>
      <c r="L125" s="20">
        <v>24</v>
      </c>
      <c r="M125" s="20">
        <v>3</v>
      </c>
      <c r="N125" s="20">
        <v>3</v>
      </c>
      <c r="O125" s="8" t="s">
        <v>299</v>
      </c>
      <c r="P125" s="18" t="s">
        <v>107</v>
      </c>
      <c r="Q125" s="111">
        <v>9</v>
      </c>
      <c r="R125" s="8" t="s">
        <v>100</v>
      </c>
      <c r="S125" s="18" t="s">
        <v>592</v>
      </c>
      <c r="T125" s="18">
        <v>44362</v>
      </c>
      <c r="U125" s="1">
        <f t="shared" si="9"/>
        <v>1</v>
      </c>
      <c r="V125" s="10" t="s">
        <v>699</v>
      </c>
      <c r="W125" s="10">
        <v>7</v>
      </c>
      <c r="X125" s="10">
        <v>373645</v>
      </c>
      <c r="Y125" s="11" t="s">
        <v>503</v>
      </c>
      <c r="Z125" s="11"/>
    </row>
    <row r="126" spans="1:26" s="16" customFormat="1" x14ac:dyDescent="0.25">
      <c r="A126" s="6">
        <v>119</v>
      </c>
      <c r="B126" s="19"/>
      <c r="C126" s="7" t="s">
        <v>497</v>
      </c>
      <c r="D126" s="7" t="s">
        <v>730</v>
      </c>
      <c r="E126" s="17">
        <v>24739</v>
      </c>
      <c r="F126" s="7" t="s">
        <v>7</v>
      </c>
      <c r="G126" s="7" t="s">
        <v>78</v>
      </c>
      <c r="H126" s="7" t="s">
        <v>40</v>
      </c>
      <c r="I126" s="7" t="s">
        <v>35</v>
      </c>
      <c r="J126" s="8">
        <v>971841</v>
      </c>
      <c r="K126" s="7" t="s">
        <v>457</v>
      </c>
      <c r="L126" s="20">
        <v>24</v>
      </c>
      <c r="M126" s="20">
        <v>3</v>
      </c>
      <c r="N126" s="20">
        <v>3</v>
      </c>
      <c r="O126" s="8" t="s">
        <v>108</v>
      </c>
      <c r="P126" s="18" t="s">
        <v>305</v>
      </c>
      <c r="Q126" s="111">
        <v>8</v>
      </c>
      <c r="R126" s="8" t="s">
        <v>100</v>
      </c>
      <c r="S126" s="18" t="s">
        <v>592</v>
      </c>
      <c r="T126" s="18">
        <v>44363</v>
      </c>
      <c r="U126" s="1">
        <f t="shared" si="9"/>
        <v>1</v>
      </c>
      <c r="V126" s="9" t="s">
        <v>699</v>
      </c>
      <c r="W126" s="183" t="s">
        <v>737</v>
      </c>
      <c r="X126" s="183" t="s">
        <v>737</v>
      </c>
      <c r="Y126" s="183" t="s">
        <v>737</v>
      </c>
      <c r="Z126" s="11" t="s">
        <v>740</v>
      </c>
    </row>
    <row r="127" spans="1:26" x14ac:dyDescent="0.25">
      <c r="A127" s="6">
        <v>120</v>
      </c>
      <c r="B127" s="19"/>
      <c r="C127" s="7" t="s">
        <v>497</v>
      </c>
      <c r="D127" s="7" t="s">
        <v>730</v>
      </c>
      <c r="E127" s="17">
        <v>24608</v>
      </c>
      <c r="F127" s="7" t="s">
        <v>7</v>
      </c>
      <c r="G127" s="7" t="s">
        <v>78</v>
      </c>
      <c r="H127" s="7" t="s">
        <v>317</v>
      </c>
      <c r="I127" s="7" t="s">
        <v>35</v>
      </c>
      <c r="J127" s="8">
        <v>373645</v>
      </c>
      <c r="K127" s="7" t="s">
        <v>503</v>
      </c>
      <c r="L127" s="20">
        <v>16</v>
      </c>
      <c r="M127" s="20">
        <v>2</v>
      </c>
      <c r="N127" s="20">
        <v>16</v>
      </c>
      <c r="O127" s="8" t="s">
        <v>110</v>
      </c>
      <c r="P127" s="18" t="s">
        <v>113</v>
      </c>
      <c r="Q127" s="111">
        <v>12</v>
      </c>
      <c r="R127" s="8" t="s">
        <v>100</v>
      </c>
      <c r="S127" s="18" t="s">
        <v>110</v>
      </c>
      <c r="T127" s="18">
        <v>44372</v>
      </c>
      <c r="U127" s="1">
        <f t="shared" si="9"/>
        <v>1</v>
      </c>
      <c r="V127" s="10" t="s">
        <v>699</v>
      </c>
      <c r="W127" s="10">
        <v>6</v>
      </c>
      <c r="X127" s="10">
        <v>245434</v>
      </c>
      <c r="Y127" s="11" t="s">
        <v>500</v>
      </c>
      <c r="Z127" s="11"/>
    </row>
    <row r="128" spans="1:26" x14ac:dyDescent="0.25">
      <c r="A128" s="6">
        <v>121</v>
      </c>
      <c r="B128" s="19"/>
      <c r="C128" s="7" t="s">
        <v>497</v>
      </c>
      <c r="D128" s="7" t="s">
        <v>730</v>
      </c>
      <c r="E128" s="17">
        <v>24740</v>
      </c>
      <c r="F128" s="7" t="s">
        <v>7</v>
      </c>
      <c r="G128" s="7" t="s">
        <v>78</v>
      </c>
      <c r="H128" s="7" t="s">
        <v>40</v>
      </c>
      <c r="I128" s="7" t="s">
        <v>35</v>
      </c>
      <c r="J128" s="8">
        <v>971841</v>
      </c>
      <c r="K128" s="7" t="s">
        <v>457</v>
      </c>
      <c r="L128" s="20">
        <v>24</v>
      </c>
      <c r="M128" s="20">
        <v>3</v>
      </c>
      <c r="N128" s="20">
        <v>3</v>
      </c>
      <c r="O128" s="8" t="s">
        <v>306</v>
      </c>
      <c r="P128" s="18" t="s">
        <v>116</v>
      </c>
      <c r="Q128" s="111">
        <v>8</v>
      </c>
      <c r="R128" s="8" t="s">
        <v>100</v>
      </c>
      <c r="S128" s="18" t="s">
        <v>306</v>
      </c>
      <c r="T128" s="18">
        <v>44377</v>
      </c>
      <c r="U128" s="1">
        <f t="shared" si="9"/>
        <v>1</v>
      </c>
      <c r="V128" s="10" t="s">
        <v>699</v>
      </c>
      <c r="W128" s="10">
        <v>11</v>
      </c>
      <c r="X128" s="10">
        <v>971841</v>
      </c>
      <c r="Y128" s="11" t="s">
        <v>457</v>
      </c>
      <c r="Z128" s="11" t="s">
        <v>741</v>
      </c>
    </row>
    <row r="129" spans="1:26" x14ac:dyDescent="0.25">
      <c r="A129" s="6">
        <v>122</v>
      </c>
      <c r="B129" s="19"/>
      <c r="C129" s="7" t="s">
        <v>497</v>
      </c>
      <c r="D129" s="7" t="s">
        <v>730</v>
      </c>
      <c r="E129" s="17">
        <v>24639</v>
      </c>
      <c r="F129" s="7" t="s">
        <v>7</v>
      </c>
      <c r="G129" s="7" t="s">
        <v>78</v>
      </c>
      <c r="H129" s="7" t="s">
        <v>68</v>
      </c>
      <c r="I129" s="7" t="s">
        <v>35</v>
      </c>
      <c r="J129" s="8">
        <v>245435</v>
      </c>
      <c r="K129" s="7" t="s">
        <v>485</v>
      </c>
      <c r="L129" s="20">
        <v>24</v>
      </c>
      <c r="M129" s="20">
        <v>3</v>
      </c>
      <c r="N129" s="20">
        <v>3</v>
      </c>
      <c r="O129" s="8" t="s">
        <v>116</v>
      </c>
      <c r="P129" s="18" t="s">
        <v>117</v>
      </c>
      <c r="Q129" s="111">
        <v>9</v>
      </c>
      <c r="R129" s="8" t="s">
        <v>100</v>
      </c>
      <c r="S129" s="18" t="s">
        <v>116</v>
      </c>
      <c r="T129" s="18">
        <v>44379</v>
      </c>
      <c r="U129" s="1">
        <f t="shared" si="9"/>
        <v>1</v>
      </c>
      <c r="V129" s="10" t="s">
        <v>699</v>
      </c>
      <c r="W129" s="10">
        <v>9</v>
      </c>
      <c r="X129" s="10">
        <v>245435</v>
      </c>
      <c r="Y129" s="11" t="s">
        <v>485</v>
      </c>
    </row>
    <row r="130" spans="1:26" x14ac:dyDescent="0.25">
      <c r="A130" s="6">
        <v>123</v>
      </c>
      <c r="B130" s="19"/>
      <c r="C130" s="7" t="s">
        <v>497</v>
      </c>
      <c r="D130" s="7" t="s">
        <v>730</v>
      </c>
      <c r="E130" s="17">
        <v>24640</v>
      </c>
      <c r="F130" s="7" t="s">
        <v>7</v>
      </c>
      <c r="G130" s="7" t="s">
        <v>78</v>
      </c>
      <c r="H130" s="7" t="s">
        <v>68</v>
      </c>
      <c r="I130" s="7" t="s">
        <v>35</v>
      </c>
      <c r="J130" s="8">
        <v>322115</v>
      </c>
      <c r="K130" s="7" t="s">
        <v>501</v>
      </c>
      <c r="L130" s="20">
        <v>24</v>
      </c>
      <c r="M130" s="20">
        <v>3</v>
      </c>
      <c r="N130" s="20">
        <v>3</v>
      </c>
      <c r="O130" s="8" t="s">
        <v>311</v>
      </c>
      <c r="P130" s="18" t="s">
        <v>120</v>
      </c>
      <c r="Q130" s="111">
        <v>8</v>
      </c>
      <c r="R130" s="8" t="s">
        <v>119</v>
      </c>
      <c r="S130" s="18" t="s">
        <v>311</v>
      </c>
      <c r="T130" s="18">
        <v>44385</v>
      </c>
      <c r="U130" s="1">
        <f t="shared" si="9"/>
        <v>1</v>
      </c>
      <c r="V130" s="10" t="s">
        <v>699</v>
      </c>
      <c r="W130" s="10">
        <v>7</v>
      </c>
      <c r="X130" s="10">
        <v>245435</v>
      </c>
      <c r="Y130" s="11" t="s">
        <v>485</v>
      </c>
      <c r="Z130" s="11" t="s">
        <v>742</v>
      </c>
    </row>
    <row r="131" spans="1:26" x14ac:dyDescent="0.25">
      <c r="A131" s="6">
        <v>124</v>
      </c>
      <c r="B131" s="19"/>
      <c r="C131" s="7" t="s">
        <v>497</v>
      </c>
      <c r="D131" s="7" t="s">
        <v>730</v>
      </c>
      <c r="E131" s="17">
        <v>25324</v>
      </c>
      <c r="F131" s="7" t="s">
        <v>7</v>
      </c>
      <c r="G131" s="7" t="s">
        <v>78</v>
      </c>
      <c r="H131" s="7" t="s">
        <v>199</v>
      </c>
      <c r="I131" s="7" t="s">
        <v>35</v>
      </c>
      <c r="J131" s="8">
        <v>245434</v>
      </c>
      <c r="K131" s="7" t="s">
        <v>500</v>
      </c>
      <c r="L131" s="20">
        <v>8</v>
      </c>
      <c r="M131" s="20">
        <v>1</v>
      </c>
      <c r="N131" s="20">
        <v>3</v>
      </c>
      <c r="O131" s="8" t="s">
        <v>126</v>
      </c>
      <c r="P131" s="18" t="s">
        <v>126</v>
      </c>
      <c r="Q131" s="111">
        <v>11</v>
      </c>
      <c r="R131" s="8" t="s">
        <v>119</v>
      </c>
      <c r="S131" s="18" t="s">
        <v>126</v>
      </c>
      <c r="T131" s="18">
        <v>44389</v>
      </c>
      <c r="U131" s="1">
        <f t="shared" si="9"/>
        <v>1</v>
      </c>
      <c r="V131" s="10" t="s">
        <v>699</v>
      </c>
      <c r="W131" s="10">
        <v>7</v>
      </c>
      <c r="X131" s="10">
        <v>245434</v>
      </c>
      <c r="Y131" s="11" t="s">
        <v>485</v>
      </c>
      <c r="Z131" s="11"/>
    </row>
    <row r="132" spans="1:26" x14ac:dyDescent="0.25">
      <c r="A132" s="6">
        <v>125</v>
      </c>
      <c r="B132" s="19"/>
      <c r="C132" s="7" t="s">
        <v>497</v>
      </c>
      <c r="D132" s="7" t="s">
        <v>730</v>
      </c>
      <c r="E132" s="17">
        <v>24885</v>
      </c>
      <c r="F132" s="7" t="s">
        <v>7</v>
      </c>
      <c r="G132" s="7" t="s">
        <v>78</v>
      </c>
      <c r="H132" s="7" t="s">
        <v>34</v>
      </c>
      <c r="I132" s="7" t="s">
        <v>35</v>
      </c>
      <c r="J132" s="8">
        <v>245434</v>
      </c>
      <c r="K132" s="7" t="s">
        <v>500</v>
      </c>
      <c r="L132" s="20">
        <v>8</v>
      </c>
      <c r="M132" s="20">
        <v>1</v>
      </c>
      <c r="N132" s="20">
        <v>10</v>
      </c>
      <c r="O132" s="8" t="s">
        <v>128</v>
      </c>
      <c r="P132" s="18" t="s">
        <v>128</v>
      </c>
      <c r="Q132" s="111">
        <v>10</v>
      </c>
      <c r="R132" s="8" t="s">
        <v>119</v>
      </c>
      <c r="S132" s="18" t="s">
        <v>128</v>
      </c>
      <c r="T132" s="18">
        <v>44391</v>
      </c>
      <c r="U132" s="1">
        <f t="shared" si="9"/>
        <v>1</v>
      </c>
      <c r="V132" s="10" t="s">
        <v>699</v>
      </c>
      <c r="W132" s="10" t="s">
        <v>737</v>
      </c>
      <c r="X132" s="10" t="s">
        <v>737</v>
      </c>
      <c r="Y132" s="11" t="s">
        <v>737</v>
      </c>
      <c r="Z132" s="182" t="s">
        <v>743</v>
      </c>
    </row>
    <row r="133" spans="1:26" x14ac:dyDescent="0.25">
      <c r="A133" s="6">
        <v>126</v>
      </c>
      <c r="B133" s="19"/>
      <c r="C133" s="7" t="s">
        <v>497</v>
      </c>
      <c r="D133" s="7" t="s">
        <v>730</v>
      </c>
      <c r="E133" s="17">
        <v>22165</v>
      </c>
      <c r="F133" s="7" t="s">
        <v>6</v>
      </c>
      <c r="G133" s="7" t="s">
        <v>33</v>
      </c>
      <c r="H133" s="7" t="s">
        <v>89</v>
      </c>
      <c r="I133" s="7" t="s">
        <v>35</v>
      </c>
      <c r="J133" s="8">
        <v>245435</v>
      </c>
      <c r="K133" s="7" t="s">
        <v>485</v>
      </c>
      <c r="L133" s="20">
        <v>16</v>
      </c>
      <c r="M133" s="20">
        <v>2</v>
      </c>
      <c r="N133" s="20">
        <v>14</v>
      </c>
      <c r="O133" s="8" t="s">
        <v>315</v>
      </c>
      <c r="P133" s="18" t="s">
        <v>128</v>
      </c>
      <c r="Q133" s="111">
        <v>14</v>
      </c>
      <c r="R133" s="8" t="s">
        <v>119</v>
      </c>
      <c r="S133" s="18" t="s">
        <v>315</v>
      </c>
      <c r="T133" s="18">
        <v>44391</v>
      </c>
      <c r="U133" s="1">
        <f t="shared" si="9"/>
        <v>1</v>
      </c>
      <c r="V133" s="10" t="s">
        <v>699</v>
      </c>
      <c r="W133" s="10">
        <v>12</v>
      </c>
      <c r="X133" s="10">
        <v>245435</v>
      </c>
      <c r="Y133" s="11" t="s">
        <v>485</v>
      </c>
      <c r="Z133" s="11"/>
    </row>
    <row r="134" spans="1:26" x14ac:dyDescent="0.25">
      <c r="A134" s="6">
        <v>127</v>
      </c>
      <c r="B134" s="19"/>
      <c r="C134" s="7" t="s">
        <v>497</v>
      </c>
      <c r="D134" s="7" t="s">
        <v>730</v>
      </c>
      <c r="E134" s="17">
        <v>29380</v>
      </c>
      <c r="F134" s="7" t="s">
        <v>10</v>
      </c>
      <c r="G134" s="7" t="s">
        <v>74</v>
      </c>
      <c r="H134" s="7" t="s">
        <v>65</v>
      </c>
      <c r="I134" s="7" t="s">
        <v>35</v>
      </c>
      <c r="J134" s="8">
        <v>971841</v>
      </c>
      <c r="K134" s="7" t="s">
        <v>457</v>
      </c>
      <c r="L134" s="20">
        <v>24</v>
      </c>
      <c r="M134" s="20">
        <v>3</v>
      </c>
      <c r="N134" s="20">
        <v>11</v>
      </c>
      <c r="O134" s="8" t="s">
        <v>318</v>
      </c>
      <c r="P134" s="18" t="s">
        <v>130</v>
      </c>
      <c r="Q134" s="111">
        <v>11</v>
      </c>
      <c r="R134" s="8" t="s">
        <v>119</v>
      </c>
      <c r="S134" s="18" t="s">
        <v>318</v>
      </c>
      <c r="T134" s="18">
        <v>44394</v>
      </c>
      <c r="U134" s="1">
        <f t="shared" si="9"/>
        <v>1</v>
      </c>
      <c r="V134" s="10" t="s">
        <v>699</v>
      </c>
      <c r="W134" s="10">
        <v>15</v>
      </c>
      <c r="X134" s="1">
        <v>245435</v>
      </c>
      <c r="Y134" s="11" t="s">
        <v>485</v>
      </c>
      <c r="Z134" s="11"/>
    </row>
    <row r="135" spans="1:26" x14ac:dyDescent="0.25">
      <c r="A135" s="6">
        <v>128</v>
      </c>
      <c r="B135" s="19"/>
      <c r="C135" s="7" t="s">
        <v>497</v>
      </c>
      <c r="D135" s="7" t="s">
        <v>730</v>
      </c>
      <c r="E135" s="17">
        <v>24522</v>
      </c>
      <c r="F135" s="7" t="s">
        <v>7</v>
      </c>
      <c r="G135" s="7" t="s">
        <v>78</v>
      </c>
      <c r="H135" s="7" t="s">
        <v>89</v>
      </c>
      <c r="I135" s="7" t="s">
        <v>35</v>
      </c>
      <c r="J135" s="8">
        <v>245435</v>
      </c>
      <c r="K135" s="7" t="s">
        <v>485</v>
      </c>
      <c r="L135" s="20">
        <v>16</v>
      </c>
      <c r="M135" s="20">
        <v>2</v>
      </c>
      <c r="N135" s="20">
        <v>3</v>
      </c>
      <c r="O135" s="8" t="s">
        <v>357</v>
      </c>
      <c r="P135" s="18" t="s">
        <v>504</v>
      </c>
      <c r="Q135" s="111">
        <v>12</v>
      </c>
      <c r="R135" s="8" t="s">
        <v>119</v>
      </c>
      <c r="S135" s="18" t="s">
        <v>357</v>
      </c>
      <c r="T135" s="18">
        <v>44397</v>
      </c>
      <c r="U135" s="1">
        <f t="shared" si="9"/>
        <v>1</v>
      </c>
      <c r="V135" s="15" t="s">
        <v>701</v>
      </c>
      <c r="W135" s="10"/>
      <c r="Y135" s="11"/>
    </row>
    <row r="136" spans="1:26" x14ac:dyDescent="0.25">
      <c r="A136" s="6">
        <v>129</v>
      </c>
      <c r="B136" s="19"/>
      <c r="C136" s="7" t="s">
        <v>497</v>
      </c>
      <c r="D136" s="7" t="s">
        <v>730</v>
      </c>
      <c r="E136" s="17">
        <v>24883</v>
      </c>
      <c r="F136" s="7" t="s">
        <v>7</v>
      </c>
      <c r="G136" s="7" t="s">
        <v>78</v>
      </c>
      <c r="H136" s="7" t="s">
        <v>34</v>
      </c>
      <c r="I136" s="7" t="s">
        <v>35</v>
      </c>
      <c r="J136" s="8">
        <v>245434</v>
      </c>
      <c r="K136" s="7" t="s">
        <v>500</v>
      </c>
      <c r="L136" s="20">
        <v>8</v>
      </c>
      <c r="M136" s="20">
        <v>1</v>
      </c>
      <c r="N136" s="20">
        <v>10</v>
      </c>
      <c r="O136" s="8" t="s">
        <v>131</v>
      </c>
      <c r="P136" s="18" t="s">
        <v>131</v>
      </c>
      <c r="Q136" s="111">
        <v>10</v>
      </c>
      <c r="R136" s="8" t="s">
        <v>119</v>
      </c>
      <c r="S136" s="18" t="s">
        <v>131</v>
      </c>
      <c r="T136" s="18">
        <v>44398</v>
      </c>
      <c r="U136" s="1">
        <f t="shared" si="9"/>
        <v>1</v>
      </c>
      <c r="V136" s="1" t="s">
        <v>699</v>
      </c>
      <c r="W136" s="10">
        <v>8</v>
      </c>
      <c r="X136" s="1">
        <v>322115</v>
      </c>
      <c r="Y136" s="11" t="s">
        <v>501</v>
      </c>
    </row>
    <row r="137" spans="1:26" x14ac:dyDescent="0.25">
      <c r="A137" s="6">
        <v>130</v>
      </c>
      <c r="B137" s="19"/>
      <c r="C137" s="7" t="s">
        <v>497</v>
      </c>
      <c r="D137" s="7" t="s">
        <v>730</v>
      </c>
      <c r="E137" s="17">
        <v>23278</v>
      </c>
      <c r="F137" s="7" t="s">
        <v>6</v>
      </c>
      <c r="G137" s="7" t="s">
        <v>33</v>
      </c>
      <c r="H137" s="7" t="s">
        <v>40</v>
      </c>
      <c r="I137" s="7" t="s">
        <v>35</v>
      </c>
      <c r="J137" s="8">
        <v>971841</v>
      </c>
      <c r="K137" s="7" t="s">
        <v>457</v>
      </c>
      <c r="L137" s="20">
        <v>24</v>
      </c>
      <c r="M137" s="20">
        <v>3</v>
      </c>
      <c r="N137" s="20">
        <v>8</v>
      </c>
      <c r="O137" s="8" t="s">
        <v>504</v>
      </c>
      <c r="P137" s="18" t="s">
        <v>132</v>
      </c>
      <c r="Q137" s="111">
        <v>8</v>
      </c>
      <c r="R137" s="8" t="s">
        <v>119</v>
      </c>
      <c r="S137" s="18" t="s">
        <v>504</v>
      </c>
      <c r="T137" s="18">
        <v>44399</v>
      </c>
      <c r="U137" s="1">
        <f t="shared" si="9"/>
        <v>1</v>
      </c>
      <c r="V137" s="1" t="s">
        <v>699</v>
      </c>
      <c r="W137" s="10">
        <v>7</v>
      </c>
      <c r="X137" s="1">
        <v>971841</v>
      </c>
      <c r="Y137" s="11" t="s">
        <v>457</v>
      </c>
    </row>
    <row r="138" spans="1:26" x14ac:dyDescent="0.25">
      <c r="A138" s="6">
        <v>131</v>
      </c>
      <c r="B138" s="19"/>
      <c r="C138" s="7" t="s">
        <v>497</v>
      </c>
      <c r="D138" s="7" t="s">
        <v>730</v>
      </c>
      <c r="E138" s="17">
        <v>23314</v>
      </c>
      <c r="F138" s="7" t="s">
        <v>6</v>
      </c>
      <c r="G138" s="7" t="s">
        <v>33</v>
      </c>
      <c r="H138" s="7" t="s">
        <v>34</v>
      </c>
      <c r="I138" s="7" t="s">
        <v>35</v>
      </c>
      <c r="J138" s="8">
        <v>971841</v>
      </c>
      <c r="K138" s="7" t="s">
        <v>457</v>
      </c>
      <c r="L138" s="20">
        <v>8</v>
      </c>
      <c r="M138" s="20">
        <v>1</v>
      </c>
      <c r="N138" s="20">
        <v>10</v>
      </c>
      <c r="O138" s="8" t="s">
        <v>444</v>
      </c>
      <c r="P138" s="18" t="s">
        <v>444</v>
      </c>
      <c r="Q138" s="111">
        <v>10</v>
      </c>
      <c r="R138" s="8" t="s">
        <v>119</v>
      </c>
      <c r="S138" s="18" t="s">
        <v>444</v>
      </c>
      <c r="T138" s="18">
        <v>44400</v>
      </c>
      <c r="U138" s="1">
        <f t="shared" si="9"/>
        <v>1</v>
      </c>
      <c r="V138" s="1" t="s">
        <v>699</v>
      </c>
      <c r="W138" s="10">
        <v>10</v>
      </c>
      <c r="X138" s="1">
        <v>971841</v>
      </c>
      <c r="Y138" s="11" t="s">
        <v>457</v>
      </c>
    </row>
    <row r="139" spans="1:26" x14ac:dyDescent="0.25">
      <c r="A139" s="6">
        <v>132</v>
      </c>
      <c r="B139" s="19"/>
      <c r="C139" s="7" t="s">
        <v>497</v>
      </c>
      <c r="D139" s="7" t="s">
        <v>730</v>
      </c>
      <c r="E139" s="17">
        <v>24613</v>
      </c>
      <c r="F139" s="7" t="s">
        <v>7</v>
      </c>
      <c r="G139" s="7" t="s">
        <v>78</v>
      </c>
      <c r="H139" s="7" t="s">
        <v>317</v>
      </c>
      <c r="I139" s="7" t="s">
        <v>35</v>
      </c>
      <c r="J139" s="8">
        <v>245434</v>
      </c>
      <c r="K139" s="7" t="s">
        <v>500</v>
      </c>
      <c r="L139" s="20">
        <v>16</v>
      </c>
      <c r="M139" s="20">
        <v>2</v>
      </c>
      <c r="N139" s="20">
        <v>3</v>
      </c>
      <c r="O139" s="8" t="s">
        <v>134</v>
      </c>
      <c r="P139" s="18" t="s">
        <v>135</v>
      </c>
      <c r="Q139" s="111">
        <v>12</v>
      </c>
      <c r="R139" s="8" t="s">
        <v>119</v>
      </c>
      <c r="S139" s="18" t="s">
        <v>134</v>
      </c>
      <c r="T139" s="18">
        <v>44404</v>
      </c>
      <c r="U139" s="1">
        <f t="shared" si="9"/>
        <v>1</v>
      </c>
      <c r="V139" s="1" t="s">
        <v>699</v>
      </c>
      <c r="W139" s="10">
        <v>9</v>
      </c>
      <c r="X139" s="1">
        <v>245434</v>
      </c>
      <c r="Y139" s="11" t="s">
        <v>500</v>
      </c>
    </row>
    <row r="140" spans="1:26" x14ac:dyDescent="0.25">
      <c r="A140" s="6">
        <v>133</v>
      </c>
      <c r="B140" s="19"/>
      <c r="C140" s="7" t="s">
        <v>497</v>
      </c>
      <c r="D140" s="7" t="s">
        <v>730</v>
      </c>
      <c r="E140" s="17">
        <v>23279</v>
      </c>
      <c r="F140" s="7" t="s">
        <v>6</v>
      </c>
      <c r="G140" s="7" t="s">
        <v>33</v>
      </c>
      <c r="H140" s="7" t="s">
        <v>40</v>
      </c>
      <c r="I140" s="7" t="s">
        <v>35</v>
      </c>
      <c r="J140" s="8">
        <v>971841</v>
      </c>
      <c r="K140" s="7" t="s">
        <v>457</v>
      </c>
      <c r="L140" s="20">
        <v>24</v>
      </c>
      <c r="M140" s="20">
        <v>3</v>
      </c>
      <c r="N140" s="20">
        <v>8</v>
      </c>
      <c r="O140" s="8" t="s">
        <v>135</v>
      </c>
      <c r="P140" s="18" t="s">
        <v>137</v>
      </c>
      <c r="Q140" s="111">
        <v>8</v>
      </c>
      <c r="R140" s="8" t="s">
        <v>119</v>
      </c>
      <c r="S140" s="18" t="s">
        <v>135</v>
      </c>
      <c r="T140" s="18">
        <v>44406</v>
      </c>
      <c r="U140" s="1">
        <f t="shared" si="9"/>
        <v>1</v>
      </c>
      <c r="V140" s="1" t="s">
        <v>699</v>
      </c>
      <c r="W140" s="10">
        <v>7</v>
      </c>
      <c r="X140" s="1">
        <v>971841</v>
      </c>
      <c r="Y140" s="11" t="s">
        <v>457</v>
      </c>
    </row>
    <row r="141" spans="1:26" x14ac:dyDescent="0.25">
      <c r="A141" s="6">
        <v>134</v>
      </c>
      <c r="B141" s="19"/>
      <c r="C141" s="7" t="s">
        <v>497</v>
      </c>
      <c r="D141" s="7" t="s">
        <v>730</v>
      </c>
      <c r="E141" s="17">
        <v>23315</v>
      </c>
      <c r="F141" s="7" t="s">
        <v>6</v>
      </c>
      <c r="G141" s="7" t="s">
        <v>33</v>
      </c>
      <c r="H141" s="7" t="s">
        <v>34</v>
      </c>
      <c r="I141" s="7" t="s">
        <v>35</v>
      </c>
      <c r="J141" s="8">
        <v>971841</v>
      </c>
      <c r="K141" s="7" t="s">
        <v>457</v>
      </c>
      <c r="L141" s="20">
        <v>8</v>
      </c>
      <c r="M141" s="20">
        <v>1</v>
      </c>
      <c r="N141" s="20">
        <v>9</v>
      </c>
      <c r="O141" s="8" t="s">
        <v>358</v>
      </c>
      <c r="P141" s="18" t="s">
        <v>358</v>
      </c>
      <c r="Q141" s="111">
        <v>9</v>
      </c>
      <c r="R141" s="8" t="s">
        <v>119</v>
      </c>
      <c r="S141" s="18" t="s">
        <v>358</v>
      </c>
      <c r="T141" s="18">
        <v>44407</v>
      </c>
      <c r="U141" s="1">
        <f t="shared" si="9"/>
        <v>1</v>
      </c>
      <c r="V141" s="1" t="s">
        <v>699</v>
      </c>
      <c r="W141" s="10">
        <v>10</v>
      </c>
      <c r="X141" s="1">
        <v>971841</v>
      </c>
      <c r="Y141" s="11" t="s">
        <v>457</v>
      </c>
    </row>
    <row r="142" spans="1:26" x14ac:dyDescent="0.25">
      <c r="A142" s="6">
        <v>135</v>
      </c>
      <c r="B142" s="19"/>
      <c r="C142" s="7" t="s">
        <v>497</v>
      </c>
      <c r="D142" s="7" t="s">
        <v>730</v>
      </c>
      <c r="E142" s="17">
        <v>23316</v>
      </c>
      <c r="F142" s="7" t="s">
        <v>6</v>
      </c>
      <c r="G142" s="7" t="s">
        <v>33</v>
      </c>
      <c r="H142" s="7" t="s">
        <v>34</v>
      </c>
      <c r="I142" s="7" t="s">
        <v>35</v>
      </c>
      <c r="J142" s="8">
        <v>971841</v>
      </c>
      <c r="K142" s="7" t="s">
        <v>457</v>
      </c>
      <c r="L142" s="20">
        <v>8</v>
      </c>
      <c r="M142" s="20">
        <v>1</v>
      </c>
      <c r="N142" s="20">
        <v>10</v>
      </c>
      <c r="O142" s="8" t="s">
        <v>140</v>
      </c>
      <c r="P142" s="18" t="s">
        <v>140</v>
      </c>
      <c r="Q142" s="111">
        <v>10</v>
      </c>
      <c r="R142" s="8" t="s">
        <v>141</v>
      </c>
      <c r="S142" s="18" t="s">
        <v>140</v>
      </c>
      <c r="T142" s="18">
        <v>44411</v>
      </c>
      <c r="U142" s="1">
        <f t="shared" si="9"/>
        <v>1</v>
      </c>
      <c r="V142" s="1" t="s">
        <v>699</v>
      </c>
      <c r="W142" s="10">
        <v>8</v>
      </c>
      <c r="X142" s="1">
        <v>971841</v>
      </c>
      <c r="Y142" s="11" t="s">
        <v>457</v>
      </c>
    </row>
    <row r="143" spans="1:26" x14ac:dyDescent="0.25">
      <c r="A143" s="6">
        <v>136</v>
      </c>
      <c r="B143" s="19"/>
      <c r="C143" s="7" t="s">
        <v>497</v>
      </c>
      <c r="D143" s="7" t="s">
        <v>730</v>
      </c>
      <c r="E143" s="17">
        <v>24841</v>
      </c>
      <c r="F143" s="7" t="s">
        <v>7</v>
      </c>
      <c r="G143" s="7" t="s">
        <v>78</v>
      </c>
      <c r="H143" s="7" t="s">
        <v>65</v>
      </c>
      <c r="I143" s="7" t="s">
        <v>35</v>
      </c>
      <c r="J143" s="8">
        <v>245435</v>
      </c>
      <c r="K143" s="7" t="s">
        <v>485</v>
      </c>
      <c r="L143" s="20">
        <v>24</v>
      </c>
      <c r="M143" s="20">
        <v>3</v>
      </c>
      <c r="N143" s="20">
        <v>8</v>
      </c>
      <c r="O143" s="8" t="s">
        <v>139</v>
      </c>
      <c r="P143" s="18" t="s">
        <v>143</v>
      </c>
      <c r="Q143" s="111">
        <v>8</v>
      </c>
      <c r="R143" s="8" t="s">
        <v>141</v>
      </c>
      <c r="S143" s="18" t="s">
        <v>139</v>
      </c>
      <c r="T143" s="18">
        <v>44412</v>
      </c>
      <c r="U143" s="1">
        <f t="shared" si="9"/>
        <v>1</v>
      </c>
      <c r="V143" s="1" t="s">
        <v>699</v>
      </c>
      <c r="W143" s="10">
        <v>10</v>
      </c>
      <c r="X143" s="1">
        <v>245435</v>
      </c>
      <c r="Y143" s="11" t="s">
        <v>485</v>
      </c>
      <c r="Z143" t="s">
        <v>744</v>
      </c>
    </row>
    <row r="144" spans="1:26" x14ac:dyDescent="0.25">
      <c r="A144" s="6">
        <v>137</v>
      </c>
      <c r="B144" s="19"/>
      <c r="C144" s="7" t="s">
        <v>497</v>
      </c>
      <c r="D144" s="7" t="s">
        <v>730</v>
      </c>
      <c r="E144" s="17">
        <v>23313</v>
      </c>
      <c r="F144" s="7" t="s">
        <v>6</v>
      </c>
      <c r="G144" s="7" t="s">
        <v>33</v>
      </c>
      <c r="H144" s="7" t="s">
        <v>34</v>
      </c>
      <c r="I144" s="7" t="s">
        <v>35</v>
      </c>
      <c r="J144" s="8">
        <v>971841</v>
      </c>
      <c r="K144" s="7" t="s">
        <v>457</v>
      </c>
      <c r="L144" s="20">
        <v>8</v>
      </c>
      <c r="M144" s="20">
        <v>1</v>
      </c>
      <c r="N144" s="20">
        <v>9</v>
      </c>
      <c r="O144" s="8" t="s">
        <v>143</v>
      </c>
      <c r="P144" s="18" t="s">
        <v>143</v>
      </c>
      <c r="Q144" s="111">
        <v>9</v>
      </c>
      <c r="R144" s="8" t="s">
        <v>141</v>
      </c>
      <c r="S144" s="18" t="s">
        <v>143</v>
      </c>
      <c r="T144" s="18">
        <v>44412</v>
      </c>
      <c r="U144" s="1">
        <f t="shared" si="9"/>
        <v>1</v>
      </c>
      <c r="V144" s="1" t="s">
        <v>699</v>
      </c>
      <c r="W144" s="10">
        <v>8</v>
      </c>
      <c r="X144" s="1">
        <v>971841</v>
      </c>
      <c r="Y144" s="11" t="s">
        <v>457</v>
      </c>
    </row>
    <row r="145" spans="1:26" x14ac:dyDescent="0.25">
      <c r="A145" s="6">
        <v>138</v>
      </c>
      <c r="B145" s="19"/>
      <c r="C145" s="7" t="s">
        <v>497</v>
      </c>
      <c r="D145" s="7" t="s">
        <v>730</v>
      </c>
      <c r="E145" s="17">
        <v>23317</v>
      </c>
      <c r="F145" s="7" t="s">
        <v>6</v>
      </c>
      <c r="G145" s="7" t="s">
        <v>33</v>
      </c>
      <c r="H145" s="7" t="s">
        <v>34</v>
      </c>
      <c r="I145" s="7" t="s">
        <v>35</v>
      </c>
      <c r="J145" s="8">
        <v>971841</v>
      </c>
      <c r="K145" s="7" t="s">
        <v>457</v>
      </c>
      <c r="L145" s="20">
        <v>8</v>
      </c>
      <c r="M145" s="20">
        <v>1</v>
      </c>
      <c r="N145" s="20">
        <v>9</v>
      </c>
      <c r="O145" s="8" t="s">
        <v>145</v>
      </c>
      <c r="P145" s="18" t="s">
        <v>145</v>
      </c>
      <c r="Q145" s="111">
        <v>9</v>
      </c>
      <c r="R145" s="8" t="s">
        <v>141</v>
      </c>
      <c r="S145" s="18" t="s">
        <v>145</v>
      </c>
      <c r="T145" s="18">
        <v>44413</v>
      </c>
      <c r="U145" s="1">
        <f t="shared" si="9"/>
        <v>1</v>
      </c>
      <c r="V145" s="1" t="s">
        <v>699</v>
      </c>
      <c r="W145" s="10">
        <v>9</v>
      </c>
      <c r="X145" s="1">
        <v>971841</v>
      </c>
      <c r="Y145" s="11" t="s">
        <v>457</v>
      </c>
    </row>
    <row r="146" spans="1:26" x14ac:dyDescent="0.25">
      <c r="A146" s="6">
        <v>139</v>
      </c>
      <c r="B146" s="19"/>
      <c r="C146" s="7" t="s">
        <v>497</v>
      </c>
      <c r="D146" s="7" t="s">
        <v>730</v>
      </c>
      <c r="E146" s="17">
        <v>22186</v>
      </c>
      <c r="F146" s="7" t="s">
        <v>6</v>
      </c>
      <c r="G146" s="7" t="s">
        <v>33</v>
      </c>
      <c r="H146" s="7" t="s">
        <v>148</v>
      </c>
      <c r="I146" s="7" t="s">
        <v>35</v>
      </c>
      <c r="J146" s="8">
        <v>245435</v>
      </c>
      <c r="K146" s="7" t="s">
        <v>485</v>
      </c>
      <c r="L146" s="20">
        <v>8</v>
      </c>
      <c r="M146" s="20">
        <v>1</v>
      </c>
      <c r="N146" s="20">
        <v>11</v>
      </c>
      <c r="O146" s="8" t="s">
        <v>146</v>
      </c>
      <c r="P146" s="18" t="s">
        <v>146</v>
      </c>
      <c r="Q146" s="111">
        <v>11</v>
      </c>
      <c r="R146" s="8" t="s">
        <v>141</v>
      </c>
      <c r="S146" s="18" t="s">
        <v>146</v>
      </c>
      <c r="T146" s="18">
        <v>44414</v>
      </c>
      <c r="U146" s="1">
        <f t="shared" si="9"/>
        <v>1</v>
      </c>
      <c r="V146" s="1" t="s">
        <v>699</v>
      </c>
      <c r="W146" s="10">
        <v>10</v>
      </c>
      <c r="X146" s="1">
        <v>322115</v>
      </c>
      <c r="Y146" s="11" t="s">
        <v>501</v>
      </c>
    </row>
    <row r="147" spans="1:26" x14ac:dyDescent="0.25">
      <c r="A147" s="6">
        <v>140</v>
      </c>
      <c r="B147" s="19"/>
      <c r="C147" s="7" t="s">
        <v>497</v>
      </c>
      <c r="D147" s="7" t="s">
        <v>730</v>
      </c>
      <c r="E147" s="17">
        <v>24524</v>
      </c>
      <c r="F147" s="7" t="s">
        <v>7</v>
      </c>
      <c r="G147" s="7" t="s">
        <v>78</v>
      </c>
      <c r="H147" s="7" t="s">
        <v>89</v>
      </c>
      <c r="I147" s="7" t="s">
        <v>35</v>
      </c>
      <c r="J147" s="8">
        <v>322115</v>
      </c>
      <c r="K147" s="7" t="s">
        <v>501</v>
      </c>
      <c r="L147" s="20">
        <v>16</v>
      </c>
      <c r="M147" s="20">
        <v>2</v>
      </c>
      <c r="N147" s="20">
        <v>3</v>
      </c>
      <c r="O147" s="8" t="s">
        <v>145</v>
      </c>
      <c r="P147" s="18" t="s">
        <v>146</v>
      </c>
      <c r="Q147" s="111">
        <v>12</v>
      </c>
      <c r="R147" s="8" t="s">
        <v>141</v>
      </c>
      <c r="S147" s="18" t="s">
        <v>145</v>
      </c>
      <c r="T147" s="18">
        <v>44414</v>
      </c>
      <c r="U147" s="1">
        <f t="shared" si="9"/>
        <v>1</v>
      </c>
      <c r="V147" s="1" t="s">
        <v>699</v>
      </c>
      <c r="W147" s="10">
        <v>10</v>
      </c>
      <c r="X147" s="1">
        <v>245435</v>
      </c>
      <c r="Y147" s="11" t="s">
        <v>485</v>
      </c>
    </row>
    <row r="148" spans="1:26" x14ac:dyDescent="0.25">
      <c r="A148" s="6">
        <v>141</v>
      </c>
      <c r="B148" s="19"/>
      <c r="C148" s="7" t="s">
        <v>497</v>
      </c>
      <c r="D148" s="7" t="s">
        <v>730</v>
      </c>
      <c r="E148" s="17">
        <v>31047</v>
      </c>
      <c r="F148" s="7" t="s">
        <v>10</v>
      </c>
      <c r="G148" s="7" t="s">
        <v>498</v>
      </c>
      <c r="H148" s="7" t="s">
        <v>346</v>
      </c>
      <c r="I148" s="7" t="s">
        <v>35</v>
      </c>
      <c r="J148" s="8">
        <v>370733</v>
      </c>
      <c r="K148" s="7" t="s">
        <v>499</v>
      </c>
      <c r="L148" s="20">
        <v>16</v>
      </c>
      <c r="M148" s="20">
        <v>2</v>
      </c>
      <c r="N148" s="20">
        <v>10</v>
      </c>
      <c r="O148" s="8" t="s">
        <v>145</v>
      </c>
      <c r="P148" s="18" t="s">
        <v>146</v>
      </c>
      <c r="Q148" s="111">
        <v>10</v>
      </c>
      <c r="R148" s="8" t="s">
        <v>141</v>
      </c>
      <c r="S148" s="18" t="s">
        <v>145</v>
      </c>
      <c r="T148" s="18">
        <v>44414</v>
      </c>
      <c r="U148" s="1">
        <f t="shared" si="9"/>
        <v>1</v>
      </c>
      <c r="V148" s="1" t="s">
        <v>699</v>
      </c>
      <c r="W148" s="10">
        <v>7</v>
      </c>
      <c r="X148" s="1">
        <v>370733</v>
      </c>
      <c r="Y148" s="11" t="s">
        <v>731</v>
      </c>
    </row>
    <row r="149" spans="1:26" x14ac:dyDescent="0.25">
      <c r="A149" s="6">
        <v>142</v>
      </c>
      <c r="B149" s="19"/>
      <c r="C149" s="7" t="s">
        <v>497</v>
      </c>
      <c r="D149" s="7" t="s">
        <v>730</v>
      </c>
      <c r="E149" s="17">
        <v>22187</v>
      </c>
      <c r="F149" s="7" t="s">
        <v>6</v>
      </c>
      <c r="G149" s="7" t="s">
        <v>33</v>
      </c>
      <c r="H149" s="7" t="s">
        <v>148</v>
      </c>
      <c r="I149" s="7" t="s">
        <v>35</v>
      </c>
      <c r="J149" s="8">
        <v>245435</v>
      </c>
      <c r="K149" s="7" t="s">
        <v>485</v>
      </c>
      <c r="L149" s="20">
        <v>8</v>
      </c>
      <c r="M149" s="20">
        <v>1</v>
      </c>
      <c r="N149" s="20">
        <v>12</v>
      </c>
      <c r="O149" s="8" t="s">
        <v>151</v>
      </c>
      <c r="P149" s="18" t="s">
        <v>151</v>
      </c>
      <c r="Q149" s="111">
        <v>12</v>
      </c>
      <c r="R149" s="8" t="s">
        <v>141</v>
      </c>
      <c r="S149" s="18" t="s">
        <v>151</v>
      </c>
      <c r="T149" s="18">
        <v>44418</v>
      </c>
      <c r="U149" s="1">
        <f t="shared" si="9"/>
        <v>1</v>
      </c>
      <c r="V149" s="1" t="s">
        <v>699</v>
      </c>
      <c r="W149" s="10">
        <v>10</v>
      </c>
      <c r="X149" s="1">
        <v>245435</v>
      </c>
      <c r="Y149" s="11" t="s">
        <v>485</v>
      </c>
    </row>
    <row r="150" spans="1:26" x14ac:dyDescent="0.25">
      <c r="A150" s="6">
        <v>143</v>
      </c>
      <c r="B150" s="19"/>
      <c r="C150" s="7" t="s">
        <v>497</v>
      </c>
      <c r="D150" s="7" t="s">
        <v>730</v>
      </c>
      <c r="E150" s="17">
        <v>25304</v>
      </c>
      <c r="F150" s="7" t="s">
        <v>7</v>
      </c>
      <c r="G150" s="7" t="s">
        <v>78</v>
      </c>
      <c r="H150" s="7" t="s">
        <v>199</v>
      </c>
      <c r="I150" s="7" t="s">
        <v>35</v>
      </c>
      <c r="J150" s="8">
        <v>322115</v>
      </c>
      <c r="K150" s="7" t="s">
        <v>501</v>
      </c>
      <c r="L150" s="20">
        <v>8</v>
      </c>
      <c r="M150" s="20">
        <v>1</v>
      </c>
      <c r="N150" s="20">
        <v>6</v>
      </c>
      <c r="O150" s="8" t="s">
        <v>153</v>
      </c>
      <c r="P150" s="18" t="s">
        <v>153</v>
      </c>
      <c r="Q150" s="111">
        <v>12</v>
      </c>
      <c r="R150" s="8" t="s">
        <v>141</v>
      </c>
      <c r="S150" s="18" t="s">
        <v>153</v>
      </c>
      <c r="T150" s="18">
        <v>44420</v>
      </c>
      <c r="U150" s="1">
        <f t="shared" si="9"/>
        <v>1</v>
      </c>
      <c r="V150" s="1" t="s">
        <v>699</v>
      </c>
      <c r="W150" s="10">
        <v>10</v>
      </c>
      <c r="X150" s="1">
        <v>971841</v>
      </c>
      <c r="Y150" s="11" t="s">
        <v>457</v>
      </c>
    </row>
    <row r="151" spans="1:26" x14ac:dyDescent="0.25">
      <c r="A151" s="6">
        <v>144</v>
      </c>
      <c r="B151" s="19"/>
      <c r="C151" s="7" t="s">
        <v>497</v>
      </c>
      <c r="D151" s="7" t="s">
        <v>730</v>
      </c>
      <c r="E151" s="17">
        <v>22188</v>
      </c>
      <c r="F151" s="7" t="s">
        <v>6</v>
      </c>
      <c r="G151" s="7" t="s">
        <v>33</v>
      </c>
      <c r="H151" s="7" t="s">
        <v>148</v>
      </c>
      <c r="I151" s="7" t="s">
        <v>35</v>
      </c>
      <c r="J151" s="8">
        <v>245435</v>
      </c>
      <c r="K151" s="7" t="s">
        <v>485</v>
      </c>
      <c r="L151" s="20">
        <v>8</v>
      </c>
      <c r="M151" s="20">
        <v>1</v>
      </c>
      <c r="N151" s="20">
        <v>12</v>
      </c>
      <c r="O151" s="8" t="s">
        <v>156</v>
      </c>
      <c r="P151" s="18" t="s">
        <v>156</v>
      </c>
      <c r="Q151" s="111">
        <v>12</v>
      </c>
      <c r="R151" s="8" t="s">
        <v>141</v>
      </c>
      <c r="S151" s="18">
        <v>44426</v>
      </c>
      <c r="T151" s="18">
        <v>44426</v>
      </c>
      <c r="U151" s="1">
        <f t="shared" si="9"/>
        <v>1</v>
      </c>
      <c r="V151" s="1" t="s">
        <v>699</v>
      </c>
      <c r="W151" s="10">
        <v>11</v>
      </c>
      <c r="X151" s="1">
        <v>245435</v>
      </c>
      <c r="Y151" s="11" t="s">
        <v>485</v>
      </c>
      <c r="Z151" s="2" t="s">
        <v>745</v>
      </c>
    </row>
    <row r="152" spans="1:26" x14ac:dyDescent="0.25">
      <c r="A152" s="6">
        <v>145</v>
      </c>
      <c r="B152" s="19"/>
      <c r="C152" s="7" t="s">
        <v>497</v>
      </c>
      <c r="D152" s="7" t="s">
        <v>730</v>
      </c>
      <c r="E152" s="17">
        <v>24646</v>
      </c>
      <c r="F152" s="7" t="s">
        <v>7</v>
      </c>
      <c r="G152" s="7" t="s">
        <v>78</v>
      </c>
      <c r="H152" s="7" t="s">
        <v>68</v>
      </c>
      <c r="I152" s="7" t="s">
        <v>35</v>
      </c>
      <c r="J152" s="8">
        <v>322115</v>
      </c>
      <c r="K152" s="7" t="s">
        <v>501</v>
      </c>
      <c r="L152" s="20">
        <v>24</v>
      </c>
      <c r="M152" s="20">
        <v>3</v>
      </c>
      <c r="N152" s="20">
        <v>3</v>
      </c>
      <c r="O152" s="8" t="s">
        <v>154</v>
      </c>
      <c r="P152" s="18" t="s">
        <v>156</v>
      </c>
      <c r="Q152" s="111">
        <v>12</v>
      </c>
      <c r="R152" s="8" t="s">
        <v>141</v>
      </c>
      <c r="S152" s="18">
        <v>44424</v>
      </c>
      <c r="T152" s="18">
        <v>44426</v>
      </c>
      <c r="U152" s="1">
        <f t="shared" si="9"/>
        <v>1</v>
      </c>
      <c r="V152" s="1" t="s">
        <v>699</v>
      </c>
      <c r="W152" s="10">
        <v>8</v>
      </c>
      <c r="X152" s="1">
        <v>245435</v>
      </c>
      <c r="Y152" s="11" t="s">
        <v>485</v>
      </c>
    </row>
    <row r="153" spans="1:26" x14ac:dyDescent="0.25">
      <c r="A153" s="6">
        <v>146</v>
      </c>
      <c r="B153" s="19"/>
      <c r="C153" s="7" t="s">
        <v>497</v>
      </c>
      <c r="D153" s="7" t="s">
        <v>730</v>
      </c>
      <c r="E153" s="17">
        <v>24586</v>
      </c>
      <c r="F153" s="7" t="s">
        <v>7</v>
      </c>
      <c r="G153" s="7" t="s">
        <v>78</v>
      </c>
      <c r="H153" s="7" t="s">
        <v>346</v>
      </c>
      <c r="I153" s="7" t="s">
        <v>35</v>
      </c>
      <c r="J153" s="8">
        <v>370733</v>
      </c>
      <c r="K153" s="7" t="s">
        <v>499</v>
      </c>
      <c r="L153" s="20">
        <v>16</v>
      </c>
      <c r="M153" s="20">
        <v>2</v>
      </c>
      <c r="N153" s="20">
        <v>15</v>
      </c>
      <c r="O153" s="8" t="s">
        <v>155</v>
      </c>
      <c r="P153" s="18" t="s">
        <v>156</v>
      </c>
      <c r="Q153" s="111">
        <v>15</v>
      </c>
      <c r="R153" s="8" t="s">
        <v>141</v>
      </c>
      <c r="S153" s="18" t="s">
        <v>155</v>
      </c>
      <c r="T153" s="18">
        <v>44426</v>
      </c>
      <c r="U153" s="1">
        <f t="shared" si="9"/>
        <v>1</v>
      </c>
      <c r="V153" s="1" t="s">
        <v>699</v>
      </c>
      <c r="W153" s="10">
        <v>8</v>
      </c>
      <c r="X153" s="1">
        <v>370733</v>
      </c>
      <c r="Y153" s="11" t="s">
        <v>731</v>
      </c>
    </row>
    <row r="154" spans="1:26" x14ac:dyDescent="0.25">
      <c r="A154" s="6">
        <v>147</v>
      </c>
      <c r="B154" s="19"/>
      <c r="C154" s="7" t="s">
        <v>497</v>
      </c>
      <c r="D154" s="7" t="s">
        <v>730</v>
      </c>
      <c r="E154" s="17">
        <v>22189</v>
      </c>
      <c r="F154" s="7" t="s">
        <v>6</v>
      </c>
      <c r="G154" s="7" t="s">
        <v>33</v>
      </c>
      <c r="H154" s="7" t="s">
        <v>148</v>
      </c>
      <c r="I154" s="7" t="s">
        <v>35</v>
      </c>
      <c r="J154" s="8">
        <v>245435</v>
      </c>
      <c r="K154" s="7" t="s">
        <v>485</v>
      </c>
      <c r="L154" s="20">
        <v>8</v>
      </c>
      <c r="M154" s="20">
        <v>1</v>
      </c>
      <c r="N154" s="20">
        <v>13</v>
      </c>
      <c r="O154" s="8" t="s">
        <v>157</v>
      </c>
      <c r="P154" s="18" t="s">
        <v>157</v>
      </c>
      <c r="Q154" s="111">
        <v>13</v>
      </c>
      <c r="R154" s="8" t="s">
        <v>141</v>
      </c>
      <c r="S154" s="18" t="s">
        <v>157</v>
      </c>
      <c r="T154" s="18">
        <v>44427</v>
      </c>
      <c r="U154" s="1">
        <f t="shared" si="9"/>
        <v>1</v>
      </c>
      <c r="V154" s="1" t="s">
        <v>699</v>
      </c>
      <c r="W154" s="10">
        <v>9</v>
      </c>
      <c r="X154" s="1">
        <v>245435</v>
      </c>
      <c r="Y154" s="11" t="s">
        <v>485</v>
      </c>
    </row>
    <row r="155" spans="1:26" x14ac:dyDescent="0.25">
      <c r="A155" s="6">
        <v>148</v>
      </c>
      <c r="B155" s="19"/>
      <c r="C155" s="7" t="s">
        <v>497</v>
      </c>
      <c r="D155" s="7" t="s">
        <v>730</v>
      </c>
      <c r="E155" s="17">
        <v>22190</v>
      </c>
      <c r="F155" s="7" t="s">
        <v>6</v>
      </c>
      <c r="G155" s="7" t="s">
        <v>33</v>
      </c>
      <c r="H155" s="7" t="s">
        <v>148</v>
      </c>
      <c r="I155" s="7" t="s">
        <v>35</v>
      </c>
      <c r="J155" s="8">
        <v>245435</v>
      </c>
      <c r="K155" s="7" t="s">
        <v>485</v>
      </c>
      <c r="L155" s="20">
        <v>8</v>
      </c>
      <c r="M155" s="20">
        <v>1</v>
      </c>
      <c r="N155" s="20">
        <v>13</v>
      </c>
      <c r="O155" s="8" t="s">
        <v>158</v>
      </c>
      <c r="P155" s="18" t="s">
        <v>158</v>
      </c>
      <c r="Q155" s="111">
        <v>13</v>
      </c>
      <c r="R155" s="8" t="s">
        <v>141</v>
      </c>
      <c r="S155" s="18" t="s">
        <v>158</v>
      </c>
      <c r="T155" s="18">
        <v>44428</v>
      </c>
      <c r="U155" s="1">
        <f t="shared" si="9"/>
        <v>1</v>
      </c>
      <c r="V155" s="1" t="s">
        <v>699</v>
      </c>
      <c r="W155" s="10">
        <v>12</v>
      </c>
      <c r="X155" s="1">
        <v>245435</v>
      </c>
      <c r="Y155" s="11" t="s">
        <v>485</v>
      </c>
    </row>
    <row r="156" spans="1:26" x14ac:dyDescent="0.25">
      <c r="A156" s="6">
        <v>149</v>
      </c>
      <c r="B156" s="19"/>
      <c r="C156" s="7" t="s">
        <v>497</v>
      </c>
      <c r="D156" s="7" t="s">
        <v>730</v>
      </c>
      <c r="E156" s="17">
        <v>24730</v>
      </c>
      <c r="F156" s="7" t="s">
        <v>7</v>
      </c>
      <c r="G156" s="7" t="s">
        <v>78</v>
      </c>
      <c r="H156" s="7" t="s">
        <v>40</v>
      </c>
      <c r="I156" s="7" t="s">
        <v>35</v>
      </c>
      <c r="J156" s="8">
        <v>971841</v>
      </c>
      <c r="K156" s="7" t="s">
        <v>457</v>
      </c>
      <c r="L156" s="20">
        <v>24</v>
      </c>
      <c r="M156" s="20">
        <v>3</v>
      </c>
      <c r="N156" s="20">
        <v>3</v>
      </c>
      <c r="O156" s="8" t="s">
        <v>156</v>
      </c>
      <c r="P156" s="18" t="s">
        <v>158</v>
      </c>
      <c r="Q156" s="111">
        <v>9</v>
      </c>
      <c r="R156" s="8" t="s">
        <v>141</v>
      </c>
      <c r="S156" s="18" t="s">
        <v>156</v>
      </c>
      <c r="T156" s="18">
        <v>44428</v>
      </c>
      <c r="U156" s="1">
        <f t="shared" si="9"/>
        <v>1</v>
      </c>
      <c r="V156" s="1" t="s">
        <v>699</v>
      </c>
      <c r="W156" s="10">
        <v>9</v>
      </c>
      <c r="X156" s="1">
        <v>971841</v>
      </c>
      <c r="Y156" s="11" t="s">
        <v>457</v>
      </c>
    </row>
    <row r="157" spans="1:26" x14ac:dyDescent="0.25">
      <c r="A157" s="6">
        <v>150</v>
      </c>
      <c r="B157" s="19"/>
      <c r="C157" s="7" t="s">
        <v>497</v>
      </c>
      <c r="D157" s="7" t="s">
        <v>730</v>
      </c>
      <c r="E157" s="17">
        <v>29383</v>
      </c>
      <c r="F157" s="7" t="s">
        <v>10</v>
      </c>
      <c r="G157" s="7" t="s">
        <v>74</v>
      </c>
      <c r="H157" s="7" t="s">
        <v>65</v>
      </c>
      <c r="I157" s="7" t="s">
        <v>35</v>
      </c>
      <c r="J157" s="8">
        <v>370733</v>
      </c>
      <c r="K157" s="7" t="s">
        <v>499</v>
      </c>
      <c r="L157" s="20">
        <v>24</v>
      </c>
      <c r="M157" s="20">
        <v>3</v>
      </c>
      <c r="N157" s="20">
        <v>11</v>
      </c>
      <c r="O157" s="8" t="s">
        <v>164</v>
      </c>
      <c r="P157" s="18" t="s">
        <v>166</v>
      </c>
      <c r="Q157" s="111">
        <v>11</v>
      </c>
      <c r="R157" s="8" t="s">
        <v>141</v>
      </c>
      <c r="S157" s="18" t="s">
        <v>164</v>
      </c>
      <c r="T157" s="18">
        <v>44434</v>
      </c>
      <c r="U157" s="1">
        <f t="shared" si="9"/>
        <v>1</v>
      </c>
      <c r="V157" s="1" t="s">
        <v>699</v>
      </c>
      <c r="W157" s="10">
        <v>14</v>
      </c>
      <c r="X157" s="1">
        <v>245435</v>
      </c>
      <c r="Y157" s="11" t="s">
        <v>485</v>
      </c>
    </row>
    <row r="158" spans="1:26" x14ac:dyDescent="0.25">
      <c r="A158" s="6">
        <v>151</v>
      </c>
      <c r="B158" s="19"/>
      <c r="C158" s="7" t="s">
        <v>497</v>
      </c>
      <c r="D158" s="7" t="s">
        <v>730</v>
      </c>
      <c r="E158" s="17">
        <v>24731</v>
      </c>
      <c r="F158" s="7" t="s">
        <v>7</v>
      </c>
      <c r="G158" s="7" t="s">
        <v>78</v>
      </c>
      <c r="H158" s="7" t="s">
        <v>40</v>
      </c>
      <c r="I158" s="7" t="s">
        <v>35</v>
      </c>
      <c r="J158" s="8">
        <v>322115</v>
      </c>
      <c r="K158" s="7" t="s">
        <v>501</v>
      </c>
      <c r="L158" s="20">
        <v>24</v>
      </c>
      <c r="M158" s="20">
        <v>3</v>
      </c>
      <c r="N158" s="20">
        <v>3</v>
      </c>
      <c r="O158" s="8" t="s">
        <v>165</v>
      </c>
      <c r="P158" s="18" t="s">
        <v>167</v>
      </c>
      <c r="Q158" s="111">
        <v>9</v>
      </c>
      <c r="R158" s="8" t="s">
        <v>141</v>
      </c>
      <c r="S158" s="18" t="s">
        <v>165</v>
      </c>
      <c r="T158" s="18">
        <v>44435</v>
      </c>
      <c r="U158" s="1">
        <f t="shared" si="9"/>
        <v>1</v>
      </c>
      <c r="V158" s="1" t="s">
        <v>699</v>
      </c>
      <c r="W158" s="10">
        <v>10</v>
      </c>
      <c r="X158" s="1">
        <v>971841</v>
      </c>
      <c r="Y158" s="11" t="s">
        <v>457</v>
      </c>
    </row>
    <row r="159" spans="1:26" x14ac:dyDescent="0.25">
      <c r="A159" s="6">
        <v>152</v>
      </c>
      <c r="B159" s="19"/>
      <c r="C159" s="7" t="s">
        <v>497</v>
      </c>
      <c r="D159" s="7" t="s">
        <v>730</v>
      </c>
      <c r="E159" s="17">
        <v>25215</v>
      </c>
      <c r="F159" s="7" t="s">
        <v>7</v>
      </c>
      <c r="G159" s="7" t="s">
        <v>78</v>
      </c>
      <c r="H159" s="7" t="s">
        <v>71</v>
      </c>
      <c r="I159" s="7" t="s">
        <v>35</v>
      </c>
      <c r="J159" s="8">
        <v>445938</v>
      </c>
      <c r="K159" s="7" t="s">
        <v>507</v>
      </c>
      <c r="L159" s="20">
        <v>16</v>
      </c>
      <c r="M159" s="20">
        <v>2</v>
      </c>
      <c r="N159" s="20">
        <v>8</v>
      </c>
      <c r="O159" s="8" t="s">
        <v>167</v>
      </c>
      <c r="P159" s="18" t="s">
        <v>323</v>
      </c>
      <c r="Q159" s="111">
        <v>8</v>
      </c>
      <c r="R159" s="8" t="s">
        <v>141</v>
      </c>
      <c r="S159" s="18" t="s">
        <v>167</v>
      </c>
      <c r="T159" s="18">
        <v>44436</v>
      </c>
      <c r="U159" s="1">
        <f t="shared" si="9"/>
        <v>1</v>
      </c>
      <c r="V159" s="1" t="s">
        <v>699</v>
      </c>
      <c r="W159" s="10">
        <v>8</v>
      </c>
      <c r="X159" s="1">
        <v>245434</v>
      </c>
      <c r="Y159" s="11" t="s">
        <v>500</v>
      </c>
      <c r="Z159" t="s">
        <v>746</v>
      </c>
    </row>
    <row r="160" spans="1:26" x14ac:dyDescent="0.25">
      <c r="A160" s="6">
        <v>153</v>
      </c>
      <c r="B160" s="19"/>
      <c r="C160" s="7" t="s">
        <v>497</v>
      </c>
      <c r="D160" s="7" t="s">
        <v>730</v>
      </c>
      <c r="E160" s="17">
        <v>24618</v>
      </c>
      <c r="F160" s="7" t="s">
        <v>7</v>
      </c>
      <c r="G160" s="7" t="s">
        <v>78</v>
      </c>
      <c r="H160" s="7" t="s">
        <v>317</v>
      </c>
      <c r="I160" s="7" t="s">
        <v>35</v>
      </c>
      <c r="J160" s="8">
        <v>245434</v>
      </c>
      <c r="K160" s="7" t="s">
        <v>500</v>
      </c>
      <c r="L160" s="20">
        <v>16</v>
      </c>
      <c r="M160" s="20">
        <v>2</v>
      </c>
      <c r="N160" s="20">
        <v>3</v>
      </c>
      <c r="O160" s="8" t="s">
        <v>172</v>
      </c>
      <c r="P160" s="18" t="s">
        <v>174</v>
      </c>
      <c r="Q160" s="111">
        <v>12</v>
      </c>
      <c r="R160" s="8" t="s">
        <v>173</v>
      </c>
      <c r="S160" s="18" t="s">
        <v>172</v>
      </c>
      <c r="T160" s="18">
        <v>44442</v>
      </c>
      <c r="U160" s="1">
        <f t="shared" si="9"/>
        <v>1</v>
      </c>
      <c r="V160" s="15" t="s">
        <v>701</v>
      </c>
      <c r="W160" s="10"/>
      <c r="Y160" s="11"/>
    </row>
    <row r="161" spans="1:26" x14ac:dyDescent="0.25">
      <c r="A161" s="6">
        <v>154</v>
      </c>
      <c r="B161" s="19"/>
      <c r="C161" s="7" t="s">
        <v>497</v>
      </c>
      <c r="D161" s="7" t="s">
        <v>730</v>
      </c>
      <c r="E161" s="17">
        <v>24880</v>
      </c>
      <c r="F161" s="7" t="s">
        <v>7</v>
      </c>
      <c r="G161" s="7" t="s">
        <v>78</v>
      </c>
      <c r="H161" s="7" t="s">
        <v>34</v>
      </c>
      <c r="I161" s="7" t="s">
        <v>35</v>
      </c>
      <c r="J161" s="8">
        <v>245434</v>
      </c>
      <c r="K161" s="7" t="s">
        <v>500</v>
      </c>
      <c r="L161" s="20">
        <v>8</v>
      </c>
      <c r="M161" s="20">
        <v>1</v>
      </c>
      <c r="N161" s="20">
        <v>10</v>
      </c>
      <c r="O161" s="8" t="s">
        <v>180</v>
      </c>
      <c r="P161" s="18" t="s">
        <v>180</v>
      </c>
      <c r="Q161" s="111">
        <v>10</v>
      </c>
      <c r="R161" s="8" t="s">
        <v>173</v>
      </c>
      <c r="S161" s="18" t="s">
        <v>180</v>
      </c>
      <c r="T161" s="18">
        <v>44448</v>
      </c>
      <c r="U161" s="1">
        <f t="shared" si="9"/>
        <v>1</v>
      </c>
      <c r="V161" s="1" t="s">
        <v>699</v>
      </c>
      <c r="W161" s="10">
        <v>9</v>
      </c>
      <c r="X161" s="1">
        <v>322115</v>
      </c>
      <c r="Y161" t="s">
        <v>501</v>
      </c>
    </row>
    <row r="162" spans="1:26" x14ac:dyDescent="0.25">
      <c r="A162" s="6">
        <v>155</v>
      </c>
      <c r="B162" s="19"/>
      <c r="C162" s="7" t="s">
        <v>497</v>
      </c>
      <c r="D162" s="7" t="s">
        <v>730</v>
      </c>
      <c r="E162" s="17">
        <v>24493</v>
      </c>
      <c r="F162" s="7" t="s">
        <v>7</v>
      </c>
      <c r="G162" s="7" t="s">
        <v>78</v>
      </c>
      <c r="H162" s="7" t="s">
        <v>264</v>
      </c>
      <c r="I162" s="7" t="s">
        <v>35</v>
      </c>
      <c r="J162" s="8">
        <v>245435</v>
      </c>
      <c r="K162" s="7" t="s">
        <v>485</v>
      </c>
      <c r="L162" s="20">
        <v>8</v>
      </c>
      <c r="M162" s="20">
        <v>1</v>
      </c>
      <c r="N162" s="20">
        <v>16</v>
      </c>
      <c r="O162" s="8" t="s">
        <v>180</v>
      </c>
      <c r="P162" s="18" t="s">
        <v>180</v>
      </c>
      <c r="Q162" s="111">
        <v>12</v>
      </c>
      <c r="R162" s="8" t="s">
        <v>173</v>
      </c>
      <c r="S162" s="18">
        <v>44448</v>
      </c>
      <c r="T162" s="18">
        <v>44448</v>
      </c>
      <c r="U162" s="1">
        <f t="shared" si="9"/>
        <v>1</v>
      </c>
      <c r="V162" s="1" t="s">
        <v>699</v>
      </c>
      <c r="W162" s="10">
        <v>5</v>
      </c>
      <c r="X162" s="1">
        <v>245434</v>
      </c>
      <c r="Y162" t="s">
        <v>500</v>
      </c>
      <c r="Z162" t="s">
        <v>747</v>
      </c>
    </row>
    <row r="163" spans="1:26" x14ac:dyDescent="0.25">
      <c r="A163" s="6">
        <v>156</v>
      </c>
      <c r="B163" s="19"/>
      <c r="C163" s="7" t="s">
        <v>497</v>
      </c>
      <c r="D163" s="7" t="s">
        <v>730</v>
      </c>
      <c r="E163" s="17">
        <v>24804</v>
      </c>
      <c r="F163" s="7" t="s">
        <v>7</v>
      </c>
      <c r="G163" s="7" t="s">
        <v>78</v>
      </c>
      <c r="H163" s="7" t="s">
        <v>159</v>
      </c>
      <c r="I163" s="7" t="s">
        <v>35</v>
      </c>
      <c r="J163" s="8">
        <v>373645</v>
      </c>
      <c r="K163" s="7" t="s">
        <v>503</v>
      </c>
      <c r="L163" s="20">
        <v>16</v>
      </c>
      <c r="M163" s="20">
        <v>2</v>
      </c>
      <c r="N163" s="20">
        <v>12</v>
      </c>
      <c r="O163" s="8" t="s">
        <v>179</v>
      </c>
      <c r="P163" s="18" t="s">
        <v>180</v>
      </c>
      <c r="Q163" s="111">
        <v>12</v>
      </c>
      <c r="R163" s="8" t="s">
        <v>173</v>
      </c>
      <c r="S163" s="18" t="s">
        <v>179</v>
      </c>
      <c r="T163" s="18">
        <v>44448</v>
      </c>
      <c r="U163" s="1">
        <f t="shared" si="9"/>
        <v>1</v>
      </c>
      <c r="V163" s="1" t="s">
        <v>699</v>
      </c>
      <c r="W163" s="10">
        <v>6</v>
      </c>
      <c r="X163" s="1">
        <v>245434</v>
      </c>
      <c r="Y163" s="11" t="s">
        <v>500</v>
      </c>
    </row>
    <row r="164" spans="1:26" x14ac:dyDescent="0.25">
      <c r="A164" s="6">
        <v>157</v>
      </c>
      <c r="B164" s="19"/>
      <c r="C164" s="7" t="s">
        <v>497</v>
      </c>
      <c r="D164" s="7" t="s">
        <v>730</v>
      </c>
      <c r="E164" s="17">
        <v>24529</v>
      </c>
      <c r="F164" s="7" t="s">
        <v>7</v>
      </c>
      <c r="G164" s="7" t="s">
        <v>78</v>
      </c>
      <c r="H164" s="7" t="s">
        <v>89</v>
      </c>
      <c r="I164" s="7" t="s">
        <v>35</v>
      </c>
      <c r="J164" s="8">
        <v>322115</v>
      </c>
      <c r="K164" s="7" t="s">
        <v>501</v>
      </c>
      <c r="L164" s="20">
        <v>16</v>
      </c>
      <c r="M164" s="20">
        <v>2</v>
      </c>
      <c r="N164" s="20">
        <v>3</v>
      </c>
      <c r="O164" s="8" t="s">
        <v>180</v>
      </c>
      <c r="P164" s="18" t="s">
        <v>182</v>
      </c>
      <c r="Q164" s="111">
        <v>12</v>
      </c>
      <c r="R164" s="8" t="s">
        <v>173</v>
      </c>
      <c r="S164" s="18" t="s">
        <v>180</v>
      </c>
      <c r="T164" s="18">
        <v>44449</v>
      </c>
      <c r="U164" s="1">
        <f t="shared" si="9"/>
        <v>1</v>
      </c>
      <c r="V164" s="1" t="s">
        <v>699</v>
      </c>
      <c r="W164" s="10">
        <v>8</v>
      </c>
      <c r="X164" s="1">
        <v>245435</v>
      </c>
      <c r="Y164" t="s">
        <v>485</v>
      </c>
    </row>
    <row r="165" spans="1:26" x14ac:dyDescent="0.25">
      <c r="A165" s="6">
        <v>158</v>
      </c>
      <c r="B165" s="19"/>
      <c r="C165" s="7" t="s">
        <v>497</v>
      </c>
      <c r="D165" s="7" t="s">
        <v>730</v>
      </c>
      <c r="E165" s="17">
        <v>24172</v>
      </c>
      <c r="F165" s="7" t="s">
        <v>12</v>
      </c>
      <c r="G165" s="7" t="s">
        <v>61</v>
      </c>
      <c r="H165" s="7" t="s">
        <v>401</v>
      </c>
      <c r="I165" s="7" t="s">
        <v>35</v>
      </c>
      <c r="J165" s="8">
        <v>322115</v>
      </c>
      <c r="K165" s="7" t="s">
        <v>501</v>
      </c>
      <c r="L165" s="20">
        <v>16</v>
      </c>
      <c r="M165" s="20">
        <v>2</v>
      </c>
      <c r="N165" s="20">
        <v>11</v>
      </c>
      <c r="O165" s="8" t="s">
        <v>188</v>
      </c>
      <c r="P165" s="18" t="s">
        <v>189</v>
      </c>
      <c r="Q165" s="111">
        <v>11</v>
      </c>
      <c r="R165" s="8" t="s">
        <v>173</v>
      </c>
      <c r="S165" s="18" t="s">
        <v>188</v>
      </c>
      <c r="T165" s="18">
        <v>44456</v>
      </c>
      <c r="U165" s="1">
        <f t="shared" si="9"/>
        <v>1</v>
      </c>
      <c r="V165" s="254" t="s">
        <v>699</v>
      </c>
      <c r="W165" s="10">
        <v>5</v>
      </c>
      <c r="X165" s="1">
        <v>322115</v>
      </c>
      <c r="Y165" t="s">
        <v>501</v>
      </c>
      <c r="Z165" t="s">
        <v>748</v>
      </c>
    </row>
    <row r="166" spans="1:26" x14ac:dyDescent="0.25">
      <c r="A166" s="6">
        <v>159</v>
      </c>
      <c r="B166" s="19"/>
      <c r="C166" s="7" t="s">
        <v>497</v>
      </c>
      <c r="D166" s="7" t="s">
        <v>730</v>
      </c>
      <c r="E166" s="17">
        <v>29386</v>
      </c>
      <c r="F166" s="7" t="s">
        <v>10</v>
      </c>
      <c r="G166" s="7" t="s">
        <v>74</v>
      </c>
      <c r="H166" s="7" t="s">
        <v>65</v>
      </c>
      <c r="I166" s="7" t="s">
        <v>35</v>
      </c>
      <c r="J166" s="8">
        <v>245435</v>
      </c>
      <c r="K166" s="7" t="s">
        <v>485</v>
      </c>
      <c r="L166" s="20">
        <v>24</v>
      </c>
      <c r="M166" s="20">
        <v>3</v>
      </c>
      <c r="N166" s="20">
        <v>14</v>
      </c>
      <c r="O166" s="8" t="s">
        <v>188</v>
      </c>
      <c r="P166" s="18" t="s">
        <v>325</v>
      </c>
      <c r="Q166" s="111">
        <v>14</v>
      </c>
      <c r="R166" s="8" t="s">
        <v>173</v>
      </c>
      <c r="S166" s="18" t="s">
        <v>188</v>
      </c>
      <c r="T166" s="18">
        <v>44457</v>
      </c>
      <c r="U166" s="1">
        <f t="shared" si="9"/>
        <v>1</v>
      </c>
      <c r="V166" s="1" t="s">
        <v>699</v>
      </c>
      <c r="W166" s="10">
        <v>15</v>
      </c>
      <c r="X166" s="1">
        <v>245435</v>
      </c>
      <c r="Y166" t="s">
        <v>485</v>
      </c>
    </row>
    <row r="167" spans="1:26" x14ac:dyDescent="0.25">
      <c r="A167" s="6">
        <v>160</v>
      </c>
      <c r="B167" s="19"/>
      <c r="C167" s="7" t="s">
        <v>497</v>
      </c>
      <c r="D167" s="7" t="s">
        <v>730</v>
      </c>
      <c r="E167" s="17">
        <v>31046</v>
      </c>
      <c r="F167" s="7" t="s">
        <v>10</v>
      </c>
      <c r="G167" s="7" t="s">
        <v>498</v>
      </c>
      <c r="H167" s="7" t="s">
        <v>346</v>
      </c>
      <c r="I167" s="7" t="s">
        <v>35</v>
      </c>
      <c r="J167" s="8">
        <v>370733</v>
      </c>
      <c r="K167" s="7" t="s">
        <v>499</v>
      </c>
      <c r="L167" s="20">
        <v>16</v>
      </c>
      <c r="M167" s="20">
        <v>2</v>
      </c>
      <c r="N167" s="20">
        <v>10</v>
      </c>
      <c r="O167" s="8" t="s">
        <v>361</v>
      </c>
      <c r="P167" s="18" t="s">
        <v>190</v>
      </c>
      <c r="Q167" s="111">
        <v>10</v>
      </c>
      <c r="R167" s="8" t="s">
        <v>173</v>
      </c>
      <c r="S167" s="18" t="s">
        <v>361</v>
      </c>
      <c r="T167" s="18">
        <v>44460</v>
      </c>
      <c r="U167" s="1">
        <f t="shared" si="9"/>
        <v>1</v>
      </c>
      <c r="V167" s="15" t="s">
        <v>701</v>
      </c>
      <c r="W167" s="10"/>
    </row>
    <row r="168" spans="1:26" x14ac:dyDescent="0.25">
      <c r="A168" s="6">
        <v>161</v>
      </c>
      <c r="B168" s="19"/>
      <c r="C168" s="7" t="s">
        <v>497</v>
      </c>
      <c r="D168" s="7" t="s">
        <v>730</v>
      </c>
      <c r="E168" s="17">
        <v>25309</v>
      </c>
      <c r="F168" s="7" t="s">
        <v>7</v>
      </c>
      <c r="G168" s="7" t="s">
        <v>78</v>
      </c>
      <c r="H168" s="7" t="s">
        <v>199</v>
      </c>
      <c r="I168" s="7" t="s">
        <v>35</v>
      </c>
      <c r="J168" s="8">
        <v>245434</v>
      </c>
      <c r="K168" s="7" t="s">
        <v>500</v>
      </c>
      <c r="L168" s="20">
        <v>8</v>
      </c>
      <c r="M168" s="20">
        <v>1</v>
      </c>
      <c r="N168" s="20">
        <v>6</v>
      </c>
      <c r="O168" s="8" t="s">
        <v>191</v>
      </c>
      <c r="P168" s="18" t="s">
        <v>191</v>
      </c>
      <c r="Q168" s="111">
        <v>15</v>
      </c>
      <c r="R168" s="8" t="s">
        <v>173</v>
      </c>
      <c r="S168" s="18" t="s">
        <v>191</v>
      </c>
      <c r="T168" s="18">
        <v>44461</v>
      </c>
      <c r="U168" s="1">
        <f t="shared" si="9"/>
        <v>1</v>
      </c>
      <c r="V168" s="1" t="s">
        <v>699</v>
      </c>
      <c r="W168" s="10">
        <v>6</v>
      </c>
      <c r="X168" s="1">
        <v>245434</v>
      </c>
      <c r="Y168" t="s">
        <v>500</v>
      </c>
    </row>
    <row r="169" spans="1:26" x14ac:dyDescent="0.25">
      <c r="A169" s="6">
        <v>162</v>
      </c>
      <c r="B169" s="19"/>
      <c r="C169" s="7" t="s">
        <v>497</v>
      </c>
      <c r="D169" s="7" t="s">
        <v>730</v>
      </c>
      <c r="E169" s="17">
        <v>24843</v>
      </c>
      <c r="F169" s="7" t="s">
        <v>7</v>
      </c>
      <c r="G169" s="7" t="s">
        <v>78</v>
      </c>
      <c r="H169" s="7" t="s">
        <v>65</v>
      </c>
      <c r="I169" s="7" t="s">
        <v>35</v>
      </c>
      <c r="J169" s="8">
        <v>245435</v>
      </c>
      <c r="K169" s="7" t="s">
        <v>485</v>
      </c>
      <c r="L169" s="20">
        <v>24</v>
      </c>
      <c r="M169" s="20">
        <v>3</v>
      </c>
      <c r="N169" s="20">
        <v>9</v>
      </c>
      <c r="O169" s="8" t="s">
        <v>361</v>
      </c>
      <c r="P169" s="18" t="s">
        <v>191</v>
      </c>
      <c r="Q169" s="111">
        <v>9</v>
      </c>
      <c r="R169" s="8" t="s">
        <v>173</v>
      </c>
      <c r="S169" s="18" t="s">
        <v>361</v>
      </c>
      <c r="T169" s="18">
        <v>44461</v>
      </c>
      <c r="U169" s="1">
        <f t="shared" si="9"/>
        <v>1</v>
      </c>
      <c r="V169" s="1" t="s">
        <v>699</v>
      </c>
      <c r="W169" s="10">
        <v>7</v>
      </c>
      <c r="X169" s="1">
        <v>245435</v>
      </c>
      <c r="Y169" t="s">
        <v>485</v>
      </c>
    </row>
    <row r="170" spans="1:26" x14ac:dyDescent="0.25">
      <c r="A170" s="6">
        <v>163</v>
      </c>
      <c r="B170" s="19"/>
      <c r="C170" s="7" t="s">
        <v>497</v>
      </c>
      <c r="D170" s="7" t="s">
        <v>730</v>
      </c>
      <c r="E170" s="17">
        <v>24650</v>
      </c>
      <c r="F170" s="7" t="s">
        <v>7</v>
      </c>
      <c r="G170" s="7" t="s">
        <v>78</v>
      </c>
      <c r="H170" s="7" t="s">
        <v>68</v>
      </c>
      <c r="I170" s="7" t="s">
        <v>35</v>
      </c>
      <c r="J170" s="8">
        <v>322115</v>
      </c>
      <c r="K170" s="7" t="s">
        <v>501</v>
      </c>
      <c r="L170" s="20">
        <v>24</v>
      </c>
      <c r="M170" s="20">
        <v>3</v>
      </c>
      <c r="N170" s="20">
        <v>3</v>
      </c>
      <c r="O170" s="8" t="s">
        <v>361</v>
      </c>
      <c r="P170" s="18" t="s">
        <v>191</v>
      </c>
      <c r="Q170" s="111">
        <v>12</v>
      </c>
      <c r="R170" s="8" t="s">
        <v>173</v>
      </c>
      <c r="S170" s="18" t="s">
        <v>361</v>
      </c>
      <c r="T170" s="18">
        <v>44461</v>
      </c>
      <c r="U170" s="1">
        <f>IF(T170&lt;=$E$3,1,0)</f>
        <v>1</v>
      </c>
      <c r="V170" s="1" t="s">
        <v>699</v>
      </c>
      <c r="W170" s="10">
        <v>8</v>
      </c>
      <c r="X170" s="1">
        <v>322115</v>
      </c>
      <c r="Y170" t="s">
        <v>501</v>
      </c>
    </row>
    <row r="171" spans="1:26" x14ac:dyDescent="0.25">
      <c r="A171" s="6">
        <v>164</v>
      </c>
      <c r="B171" s="19"/>
      <c r="C171" s="7" t="s">
        <v>497</v>
      </c>
      <c r="D171" s="7" t="s">
        <v>730</v>
      </c>
      <c r="E171" s="17">
        <v>24743</v>
      </c>
      <c r="F171" s="7" t="s">
        <v>7</v>
      </c>
      <c r="G171" s="7" t="s">
        <v>78</v>
      </c>
      <c r="H171" s="7" t="s">
        <v>40</v>
      </c>
      <c r="I171" s="7" t="s">
        <v>35</v>
      </c>
      <c r="J171" s="8">
        <v>971841</v>
      </c>
      <c r="K171" s="7" t="s">
        <v>457</v>
      </c>
      <c r="L171" s="20">
        <v>24</v>
      </c>
      <c r="M171" s="20">
        <v>3</v>
      </c>
      <c r="N171" s="20">
        <v>3</v>
      </c>
      <c r="O171" s="8" t="s">
        <v>197</v>
      </c>
      <c r="P171" s="18" t="s">
        <v>200</v>
      </c>
      <c r="Q171" s="111">
        <v>9</v>
      </c>
      <c r="R171" s="8" t="s">
        <v>173</v>
      </c>
      <c r="S171" s="18" t="s">
        <v>197</v>
      </c>
      <c r="T171" s="18" t="s">
        <v>200</v>
      </c>
      <c r="U171" s="1">
        <v>1</v>
      </c>
      <c r="V171" s="1" t="s">
        <v>699</v>
      </c>
      <c r="W171" s="10">
        <v>12</v>
      </c>
      <c r="X171" s="1">
        <v>971841</v>
      </c>
      <c r="Y171" t="s">
        <v>457</v>
      </c>
    </row>
    <row r="172" spans="1:26" x14ac:dyDescent="0.25">
      <c r="A172" s="6">
        <v>165</v>
      </c>
      <c r="B172" s="19"/>
      <c r="C172" s="7" t="s">
        <v>497</v>
      </c>
      <c r="D172" s="7" t="s">
        <v>730</v>
      </c>
      <c r="E172" s="17">
        <v>24533</v>
      </c>
      <c r="F172" s="7" t="s">
        <v>7</v>
      </c>
      <c r="G172" s="7" t="s">
        <v>78</v>
      </c>
      <c r="H172" s="7" t="s">
        <v>89</v>
      </c>
      <c r="I172" s="7" t="s">
        <v>35</v>
      </c>
      <c r="J172" s="8">
        <v>245435</v>
      </c>
      <c r="K172" s="7" t="s">
        <v>485</v>
      </c>
      <c r="L172" s="20">
        <v>16</v>
      </c>
      <c r="M172" s="20">
        <v>2</v>
      </c>
      <c r="N172" s="20">
        <v>3</v>
      </c>
      <c r="O172" s="8" t="s">
        <v>327</v>
      </c>
      <c r="P172" s="18" t="s">
        <v>203</v>
      </c>
      <c r="Q172" s="111">
        <v>9</v>
      </c>
      <c r="R172" s="8" t="s">
        <v>202</v>
      </c>
      <c r="S172" s="18" t="s">
        <v>327</v>
      </c>
      <c r="T172" s="18">
        <v>44474</v>
      </c>
      <c r="U172" s="1">
        <f t="shared" si="9"/>
        <v>1</v>
      </c>
      <c r="V172" s="254" t="s">
        <v>699</v>
      </c>
      <c r="W172" s="10">
        <v>11</v>
      </c>
      <c r="X172" s="1">
        <v>322115</v>
      </c>
      <c r="Y172" t="s">
        <v>501</v>
      </c>
      <c r="Z172" t="s">
        <v>749</v>
      </c>
    </row>
    <row r="173" spans="1:26" x14ac:dyDescent="0.25">
      <c r="A173" s="6">
        <v>166</v>
      </c>
      <c r="B173" s="19"/>
      <c r="C173" s="7" t="s">
        <v>497</v>
      </c>
      <c r="D173" s="7" t="s">
        <v>730</v>
      </c>
      <c r="E173" s="17">
        <v>24805</v>
      </c>
      <c r="F173" s="7" t="s">
        <v>7</v>
      </c>
      <c r="G173" s="7" t="s">
        <v>78</v>
      </c>
      <c r="H173" s="7" t="s">
        <v>159</v>
      </c>
      <c r="I173" s="7" t="s">
        <v>35</v>
      </c>
      <c r="J173" s="8">
        <v>373645</v>
      </c>
      <c r="K173" s="7" t="s">
        <v>503</v>
      </c>
      <c r="L173" s="20">
        <v>16</v>
      </c>
      <c r="M173" s="20">
        <v>2</v>
      </c>
      <c r="N173" s="20">
        <v>12</v>
      </c>
      <c r="O173" s="8" t="s">
        <v>203</v>
      </c>
      <c r="P173" s="18" t="s">
        <v>204</v>
      </c>
      <c r="Q173" s="111">
        <v>12</v>
      </c>
      <c r="R173" s="8" t="s">
        <v>202</v>
      </c>
      <c r="S173" s="18" t="s">
        <v>203</v>
      </c>
      <c r="T173" s="18">
        <v>44475</v>
      </c>
      <c r="U173" s="1">
        <f t="shared" si="9"/>
        <v>1</v>
      </c>
      <c r="V173" s="15" t="s">
        <v>701</v>
      </c>
      <c r="W173" s="10"/>
    </row>
    <row r="174" spans="1:26" x14ac:dyDescent="0.25">
      <c r="A174" s="6">
        <v>167</v>
      </c>
      <c r="B174" s="19"/>
      <c r="C174" s="7" t="s">
        <v>497</v>
      </c>
      <c r="D174" s="7" t="s">
        <v>730</v>
      </c>
      <c r="E174" s="17">
        <v>24652</v>
      </c>
      <c r="F174" s="7" t="s">
        <v>7</v>
      </c>
      <c r="G174" s="7" t="s">
        <v>78</v>
      </c>
      <c r="H174" s="7" t="s">
        <v>68</v>
      </c>
      <c r="I174" s="7" t="s">
        <v>35</v>
      </c>
      <c r="J174" s="8">
        <v>245435</v>
      </c>
      <c r="K174" s="7" t="s">
        <v>485</v>
      </c>
      <c r="L174" s="20">
        <v>24</v>
      </c>
      <c r="M174" s="20">
        <v>3</v>
      </c>
      <c r="N174" s="20">
        <v>3</v>
      </c>
      <c r="O174" s="8" t="s">
        <v>204</v>
      </c>
      <c r="P174" s="18" t="s">
        <v>206</v>
      </c>
      <c r="Q174" s="111">
        <v>12</v>
      </c>
      <c r="R174" s="8" t="s">
        <v>202</v>
      </c>
      <c r="S174" s="18" t="s">
        <v>204</v>
      </c>
      <c r="T174" s="18">
        <v>44477</v>
      </c>
      <c r="U174" s="1">
        <f t="shared" ref="U174:U195" si="10">IF(T174&lt;=$E$3,1,0)</f>
        <v>1</v>
      </c>
      <c r="V174" s="1" t="s">
        <v>699</v>
      </c>
      <c r="W174" s="10">
        <v>5</v>
      </c>
      <c r="X174" s="1">
        <v>245435</v>
      </c>
      <c r="Y174" t="s">
        <v>485</v>
      </c>
    </row>
    <row r="175" spans="1:26" x14ac:dyDescent="0.25">
      <c r="A175" s="6">
        <v>168</v>
      </c>
      <c r="B175" s="19"/>
      <c r="C175" s="7" t="s">
        <v>497</v>
      </c>
      <c r="D175" s="7" t="s">
        <v>730</v>
      </c>
      <c r="E175" s="17">
        <v>24842</v>
      </c>
      <c r="F175" s="7" t="s">
        <v>7</v>
      </c>
      <c r="G175" s="7" t="s">
        <v>78</v>
      </c>
      <c r="H175" s="7" t="s">
        <v>65</v>
      </c>
      <c r="I175" s="7" t="s">
        <v>35</v>
      </c>
      <c r="J175" s="8">
        <v>245435</v>
      </c>
      <c r="K175" s="7" t="s">
        <v>485</v>
      </c>
      <c r="L175" s="20">
        <v>24</v>
      </c>
      <c r="M175" s="20">
        <v>3</v>
      </c>
      <c r="N175" s="20">
        <v>8</v>
      </c>
      <c r="O175" s="8" t="s">
        <v>208</v>
      </c>
      <c r="P175" s="18" t="s">
        <v>209</v>
      </c>
      <c r="Q175" s="111">
        <v>8</v>
      </c>
      <c r="R175" s="8" t="s">
        <v>202</v>
      </c>
      <c r="S175" s="18" t="s">
        <v>208</v>
      </c>
      <c r="T175" s="18">
        <v>44482</v>
      </c>
      <c r="U175" s="1">
        <f t="shared" si="10"/>
        <v>1</v>
      </c>
      <c r="V175" s="1" t="s">
        <v>699</v>
      </c>
      <c r="W175" s="10">
        <v>8</v>
      </c>
      <c r="X175" s="1">
        <v>245435</v>
      </c>
      <c r="Y175" t="s">
        <v>485</v>
      </c>
    </row>
    <row r="176" spans="1:26" x14ac:dyDescent="0.25">
      <c r="A176" s="6">
        <v>169</v>
      </c>
      <c r="B176" s="19"/>
      <c r="C176" s="7" t="s">
        <v>497</v>
      </c>
      <c r="D176" s="7" t="s">
        <v>730</v>
      </c>
      <c r="E176" s="17">
        <v>25313</v>
      </c>
      <c r="F176" s="7" t="s">
        <v>7</v>
      </c>
      <c r="G176" s="7" t="s">
        <v>78</v>
      </c>
      <c r="H176" s="7" t="s">
        <v>199</v>
      </c>
      <c r="I176" s="7" t="s">
        <v>35</v>
      </c>
      <c r="J176" s="8">
        <v>245434</v>
      </c>
      <c r="K176" s="7" t="s">
        <v>500</v>
      </c>
      <c r="L176" s="20">
        <v>8</v>
      </c>
      <c r="M176" s="20">
        <v>1</v>
      </c>
      <c r="N176" s="20">
        <v>3</v>
      </c>
      <c r="O176" s="8" t="s">
        <v>215</v>
      </c>
      <c r="P176" s="18" t="s">
        <v>215</v>
      </c>
      <c r="Q176" s="111">
        <v>12</v>
      </c>
      <c r="R176" s="8" t="s">
        <v>202</v>
      </c>
      <c r="S176" s="18" t="s">
        <v>215</v>
      </c>
      <c r="T176" s="18">
        <v>44489</v>
      </c>
      <c r="U176" s="1">
        <f t="shared" si="10"/>
        <v>1</v>
      </c>
      <c r="V176" s="1" t="s">
        <v>699</v>
      </c>
      <c r="W176" s="10">
        <v>6</v>
      </c>
      <c r="X176" s="1">
        <v>245434</v>
      </c>
      <c r="Y176" t="s">
        <v>500</v>
      </c>
    </row>
    <row r="177" spans="1:26" x14ac:dyDescent="0.25">
      <c r="A177" s="6">
        <v>170</v>
      </c>
      <c r="B177" s="19"/>
      <c r="C177" s="7" t="s">
        <v>497</v>
      </c>
      <c r="D177" s="7" t="s">
        <v>730</v>
      </c>
      <c r="E177" s="17">
        <v>24849</v>
      </c>
      <c r="F177" s="7" t="s">
        <v>7</v>
      </c>
      <c r="G177" s="7" t="s">
        <v>78</v>
      </c>
      <c r="H177" s="7" t="s">
        <v>84</v>
      </c>
      <c r="I177" s="7" t="s">
        <v>35</v>
      </c>
      <c r="J177" s="8">
        <v>322115</v>
      </c>
      <c r="K177" s="7" t="s">
        <v>501</v>
      </c>
      <c r="L177" s="20">
        <v>16</v>
      </c>
      <c r="M177" s="20">
        <v>2</v>
      </c>
      <c r="N177" s="20">
        <v>6</v>
      </c>
      <c r="O177" s="8" t="s">
        <v>215</v>
      </c>
      <c r="P177" s="18" t="s">
        <v>216</v>
      </c>
      <c r="Q177" s="111">
        <v>12</v>
      </c>
      <c r="R177" s="8" t="s">
        <v>202</v>
      </c>
      <c r="S177" s="18" t="s">
        <v>215</v>
      </c>
      <c r="T177" s="18">
        <v>44490</v>
      </c>
      <c r="U177" s="1">
        <f t="shared" si="10"/>
        <v>1</v>
      </c>
      <c r="V177" s="1" t="s">
        <v>699</v>
      </c>
      <c r="W177" s="10">
        <v>5</v>
      </c>
      <c r="X177" s="1">
        <v>322115</v>
      </c>
      <c r="Y177" t="s">
        <v>501</v>
      </c>
    </row>
    <row r="178" spans="1:26" x14ac:dyDescent="0.25">
      <c r="A178" s="6">
        <v>171</v>
      </c>
      <c r="B178" s="19"/>
      <c r="C178" s="7" t="s">
        <v>497</v>
      </c>
      <c r="D178" s="7" t="s">
        <v>730</v>
      </c>
      <c r="E178" s="17">
        <v>24625</v>
      </c>
      <c r="F178" s="7" t="s">
        <v>7</v>
      </c>
      <c r="G178" s="7" t="s">
        <v>78</v>
      </c>
      <c r="H178" s="7" t="s">
        <v>317</v>
      </c>
      <c r="I178" s="7" t="s">
        <v>35</v>
      </c>
      <c r="J178" s="8">
        <v>245434</v>
      </c>
      <c r="K178" s="7" t="s">
        <v>500</v>
      </c>
      <c r="L178" s="20">
        <v>16</v>
      </c>
      <c r="M178" s="20">
        <v>2</v>
      </c>
      <c r="N178" s="20">
        <v>3</v>
      </c>
      <c r="O178" s="8" t="s">
        <v>220</v>
      </c>
      <c r="P178" s="18" t="s">
        <v>221</v>
      </c>
      <c r="Q178" s="111">
        <v>9</v>
      </c>
      <c r="R178" s="8" t="s">
        <v>202</v>
      </c>
      <c r="S178" s="18" t="s">
        <v>220</v>
      </c>
      <c r="T178" s="18">
        <v>44495</v>
      </c>
      <c r="U178" s="1">
        <f t="shared" si="10"/>
        <v>1</v>
      </c>
      <c r="V178" s="1" t="s">
        <v>699</v>
      </c>
      <c r="W178" s="10">
        <v>5</v>
      </c>
      <c r="X178" s="1">
        <v>245434</v>
      </c>
      <c r="Y178" t="s">
        <v>500</v>
      </c>
    </row>
    <row r="179" spans="1:26" x14ac:dyDescent="0.25">
      <c r="A179" s="6">
        <v>172</v>
      </c>
      <c r="B179" s="19"/>
      <c r="C179" s="7" t="s">
        <v>497</v>
      </c>
      <c r="D179" s="7" t="s">
        <v>730</v>
      </c>
      <c r="E179" s="17">
        <v>25314</v>
      </c>
      <c r="F179" s="7" t="s">
        <v>7</v>
      </c>
      <c r="G179" s="7" t="s">
        <v>78</v>
      </c>
      <c r="H179" s="7" t="s">
        <v>199</v>
      </c>
      <c r="I179" s="7" t="s">
        <v>35</v>
      </c>
      <c r="J179" s="8">
        <v>245434</v>
      </c>
      <c r="K179" s="7" t="s">
        <v>500</v>
      </c>
      <c r="L179" s="20">
        <v>8</v>
      </c>
      <c r="M179" s="20">
        <v>1</v>
      </c>
      <c r="N179" s="20">
        <v>3</v>
      </c>
      <c r="O179" s="8" t="s">
        <v>225</v>
      </c>
      <c r="P179" s="18" t="s">
        <v>225</v>
      </c>
      <c r="Q179" s="111">
        <v>12</v>
      </c>
      <c r="R179" s="8" t="s">
        <v>202</v>
      </c>
      <c r="S179" s="18" t="s">
        <v>225</v>
      </c>
      <c r="T179" s="18">
        <v>44498</v>
      </c>
      <c r="U179" s="1">
        <f t="shared" si="10"/>
        <v>1</v>
      </c>
      <c r="V179" s="1" t="s">
        <v>699</v>
      </c>
      <c r="W179" s="10">
        <v>5</v>
      </c>
      <c r="X179" s="1">
        <v>245434</v>
      </c>
      <c r="Y179" t="s">
        <v>500</v>
      </c>
    </row>
    <row r="180" spans="1:26" x14ac:dyDescent="0.25">
      <c r="A180" s="6">
        <v>173</v>
      </c>
      <c r="B180" s="19"/>
      <c r="C180" s="7" t="s">
        <v>497</v>
      </c>
      <c r="D180" s="7" t="s">
        <v>730</v>
      </c>
      <c r="E180" s="17">
        <v>31045</v>
      </c>
      <c r="F180" s="7" t="s">
        <v>10</v>
      </c>
      <c r="G180" s="7" t="s">
        <v>498</v>
      </c>
      <c r="H180" s="7" t="s">
        <v>346</v>
      </c>
      <c r="I180" s="7" t="s">
        <v>35</v>
      </c>
      <c r="J180" s="8">
        <v>370733</v>
      </c>
      <c r="K180" s="7" t="s">
        <v>499</v>
      </c>
      <c r="L180" s="20">
        <v>16</v>
      </c>
      <c r="M180" s="20">
        <v>2</v>
      </c>
      <c r="N180" s="20">
        <v>10</v>
      </c>
      <c r="O180" s="8" t="s">
        <v>224</v>
      </c>
      <c r="P180" s="18" t="s">
        <v>225</v>
      </c>
      <c r="Q180" s="111">
        <v>10</v>
      </c>
      <c r="R180" s="8" t="s">
        <v>202</v>
      </c>
      <c r="S180" s="18" t="s">
        <v>224</v>
      </c>
      <c r="T180" s="18">
        <v>44498</v>
      </c>
      <c r="U180" s="1">
        <f t="shared" si="10"/>
        <v>1</v>
      </c>
      <c r="V180" s="1" t="s">
        <v>699</v>
      </c>
      <c r="W180" s="10">
        <v>12</v>
      </c>
      <c r="X180" s="1">
        <v>32215</v>
      </c>
      <c r="Y180" t="s">
        <v>501</v>
      </c>
    </row>
    <row r="181" spans="1:26" x14ac:dyDescent="0.25">
      <c r="A181" s="6">
        <v>174</v>
      </c>
      <c r="B181" s="19"/>
      <c r="C181" s="7" t="s">
        <v>497</v>
      </c>
      <c r="D181" s="7" t="s">
        <v>730</v>
      </c>
      <c r="E181" s="17">
        <v>24875</v>
      </c>
      <c r="F181" s="7" t="s">
        <v>7</v>
      </c>
      <c r="G181" s="7" t="s">
        <v>78</v>
      </c>
      <c r="H181" s="7" t="s">
        <v>148</v>
      </c>
      <c r="I181" s="7" t="s">
        <v>35</v>
      </c>
      <c r="J181" s="8">
        <v>245435</v>
      </c>
      <c r="K181" s="7" t="s">
        <v>485</v>
      </c>
      <c r="L181" s="20">
        <v>8</v>
      </c>
      <c r="M181" s="20">
        <v>1</v>
      </c>
      <c r="N181" s="20">
        <v>11</v>
      </c>
      <c r="O181" s="8" t="s">
        <v>226</v>
      </c>
      <c r="P181" s="18" t="s">
        <v>226</v>
      </c>
      <c r="Q181" s="111">
        <v>11</v>
      </c>
      <c r="R181" s="8" t="s">
        <v>227</v>
      </c>
      <c r="S181" s="18" t="s">
        <v>226</v>
      </c>
      <c r="T181" s="18">
        <v>44503</v>
      </c>
      <c r="U181" s="1">
        <f t="shared" si="10"/>
        <v>1</v>
      </c>
      <c r="V181" s="1" t="s">
        <v>699</v>
      </c>
      <c r="W181" s="10">
        <v>6</v>
      </c>
      <c r="X181" s="1">
        <v>245435</v>
      </c>
      <c r="Y181" t="s">
        <v>485</v>
      </c>
    </row>
    <row r="182" spans="1:26" x14ac:dyDescent="0.25">
      <c r="A182" s="6">
        <v>175</v>
      </c>
      <c r="B182" s="19"/>
      <c r="C182" s="7" t="s">
        <v>497</v>
      </c>
      <c r="D182" s="7" t="s">
        <v>730</v>
      </c>
      <c r="E182" s="17">
        <v>29391</v>
      </c>
      <c r="F182" s="7" t="s">
        <v>10</v>
      </c>
      <c r="G182" s="7" t="s">
        <v>74</v>
      </c>
      <c r="H182" s="7" t="s">
        <v>65</v>
      </c>
      <c r="I182" s="7" t="s">
        <v>35</v>
      </c>
      <c r="J182" s="8">
        <v>245435</v>
      </c>
      <c r="K182" s="7" t="s">
        <v>485</v>
      </c>
      <c r="L182" s="20">
        <v>24</v>
      </c>
      <c r="M182" s="20">
        <v>3</v>
      </c>
      <c r="N182" s="20">
        <v>14</v>
      </c>
      <c r="O182" s="8" t="s">
        <v>365</v>
      </c>
      <c r="P182" s="18" t="s">
        <v>513</v>
      </c>
      <c r="Q182" s="111">
        <v>14</v>
      </c>
      <c r="R182" s="8" t="s">
        <v>227</v>
      </c>
      <c r="S182" s="18" t="s">
        <v>365</v>
      </c>
      <c r="T182" s="18">
        <v>44506</v>
      </c>
      <c r="U182" s="1">
        <f t="shared" si="10"/>
        <v>1</v>
      </c>
      <c r="V182" s="1" t="s">
        <v>699</v>
      </c>
      <c r="W182" s="10">
        <v>14</v>
      </c>
      <c r="X182" s="1">
        <v>245435</v>
      </c>
      <c r="Y182" t="s">
        <v>485</v>
      </c>
    </row>
    <row r="183" spans="1:26" x14ac:dyDescent="0.25">
      <c r="A183" s="6">
        <v>176</v>
      </c>
      <c r="B183" s="19"/>
      <c r="C183" s="7" t="s">
        <v>497</v>
      </c>
      <c r="D183" s="7" t="s">
        <v>730</v>
      </c>
      <c r="E183" s="17">
        <v>25319</v>
      </c>
      <c r="F183" s="7" t="s">
        <v>7</v>
      </c>
      <c r="G183" s="7" t="s">
        <v>78</v>
      </c>
      <c r="H183" s="7" t="s">
        <v>199</v>
      </c>
      <c r="I183" s="7" t="s">
        <v>35</v>
      </c>
      <c r="J183" s="8">
        <v>245434</v>
      </c>
      <c r="K183" s="7" t="s">
        <v>500</v>
      </c>
      <c r="L183" s="20">
        <v>8</v>
      </c>
      <c r="M183" s="20">
        <v>1</v>
      </c>
      <c r="N183" s="20">
        <v>3</v>
      </c>
      <c r="O183" s="8" t="s">
        <v>230</v>
      </c>
      <c r="P183" s="18" t="s">
        <v>230</v>
      </c>
      <c r="Q183" s="111">
        <v>8</v>
      </c>
      <c r="R183" s="8" t="s">
        <v>227</v>
      </c>
      <c r="S183" s="18" t="s">
        <v>230</v>
      </c>
      <c r="T183" s="18">
        <v>44508</v>
      </c>
      <c r="U183" s="1">
        <f t="shared" si="10"/>
        <v>1</v>
      </c>
      <c r="V183" s="1" t="s">
        <v>699</v>
      </c>
      <c r="W183" s="10">
        <v>12</v>
      </c>
      <c r="X183" s="1">
        <v>245434</v>
      </c>
      <c r="Y183" t="s">
        <v>500</v>
      </c>
      <c r="Z183" t="s">
        <v>750</v>
      </c>
    </row>
    <row r="184" spans="1:26" x14ac:dyDescent="0.25">
      <c r="A184" s="6">
        <v>177</v>
      </c>
      <c r="B184" s="19"/>
      <c r="C184" s="7" t="s">
        <v>497</v>
      </c>
      <c r="D184" s="7" t="s">
        <v>730</v>
      </c>
      <c r="E184" s="17">
        <v>24881</v>
      </c>
      <c r="F184" s="7" t="s">
        <v>7</v>
      </c>
      <c r="G184" s="7" t="s">
        <v>78</v>
      </c>
      <c r="H184" s="7" t="s">
        <v>34</v>
      </c>
      <c r="I184" s="7" t="s">
        <v>35</v>
      </c>
      <c r="J184" s="8">
        <v>245434</v>
      </c>
      <c r="K184" s="7" t="s">
        <v>500</v>
      </c>
      <c r="L184" s="20">
        <v>8</v>
      </c>
      <c r="M184" s="20">
        <v>1</v>
      </c>
      <c r="N184" s="20">
        <v>10</v>
      </c>
      <c r="O184" s="8" t="s">
        <v>366</v>
      </c>
      <c r="P184" s="18" t="s">
        <v>366</v>
      </c>
      <c r="Q184" s="111">
        <v>10</v>
      </c>
      <c r="R184" s="8" t="s">
        <v>227</v>
      </c>
      <c r="S184" s="18" t="s">
        <v>366</v>
      </c>
      <c r="T184" s="18">
        <v>44510</v>
      </c>
      <c r="U184" s="1">
        <f t="shared" si="10"/>
        <v>1</v>
      </c>
      <c r="V184" s="1" t="s">
        <v>699</v>
      </c>
      <c r="W184" s="10">
        <v>13</v>
      </c>
      <c r="X184" s="1">
        <v>971841</v>
      </c>
      <c r="Y184" t="s">
        <v>457</v>
      </c>
    </row>
    <row r="185" spans="1:26" x14ac:dyDescent="0.25">
      <c r="A185" s="6">
        <v>178</v>
      </c>
      <c r="B185" s="19"/>
      <c r="C185" s="7" t="s">
        <v>497</v>
      </c>
      <c r="D185" s="7" t="s">
        <v>730</v>
      </c>
      <c r="E185" s="17">
        <v>24656</v>
      </c>
      <c r="F185" s="7" t="s">
        <v>7</v>
      </c>
      <c r="G185" s="7" t="s">
        <v>78</v>
      </c>
      <c r="H185" s="7" t="s">
        <v>68</v>
      </c>
      <c r="I185" s="7" t="s">
        <v>35</v>
      </c>
      <c r="J185" s="8">
        <v>245435</v>
      </c>
      <c r="K185" s="7" t="s">
        <v>485</v>
      </c>
      <c r="L185" s="20">
        <v>24</v>
      </c>
      <c r="M185" s="20">
        <v>3</v>
      </c>
      <c r="N185" s="20">
        <v>3</v>
      </c>
      <c r="O185" s="8" t="s">
        <v>230</v>
      </c>
      <c r="P185" s="18" t="s">
        <v>366</v>
      </c>
      <c r="Q185" s="111">
        <v>10</v>
      </c>
      <c r="R185" s="8" t="s">
        <v>227</v>
      </c>
      <c r="S185" s="18" t="s">
        <v>230</v>
      </c>
      <c r="T185" s="18">
        <v>44510</v>
      </c>
      <c r="U185" s="1">
        <f t="shared" si="10"/>
        <v>1</v>
      </c>
      <c r="V185" s="1" t="s">
        <v>699</v>
      </c>
      <c r="W185" s="10">
        <v>11</v>
      </c>
      <c r="X185" s="1">
        <v>322115</v>
      </c>
      <c r="Y185" t="s">
        <v>501</v>
      </c>
      <c r="Z185" t="s">
        <v>751</v>
      </c>
    </row>
    <row r="186" spans="1:26" x14ac:dyDescent="0.25">
      <c r="A186" s="6">
        <v>179</v>
      </c>
      <c r="B186" s="19"/>
      <c r="C186" s="7" t="s">
        <v>497</v>
      </c>
      <c r="D186" s="7" t="s">
        <v>730</v>
      </c>
      <c r="E186" s="17">
        <v>24628</v>
      </c>
      <c r="F186" s="7" t="s">
        <v>7</v>
      </c>
      <c r="G186" s="7" t="s">
        <v>78</v>
      </c>
      <c r="H186" s="7" t="s">
        <v>317</v>
      </c>
      <c r="I186" s="7" t="s">
        <v>35</v>
      </c>
      <c r="J186" s="8">
        <v>322115</v>
      </c>
      <c r="K186" s="7" t="s">
        <v>501</v>
      </c>
      <c r="L186" s="20">
        <v>16</v>
      </c>
      <c r="M186" s="20">
        <v>2</v>
      </c>
      <c r="N186" s="20">
        <v>3</v>
      </c>
      <c r="O186" s="8" t="s">
        <v>236</v>
      </c>
      <c r="P186" s="18" t="s">
        <v>237</v>
      </c>
      <c r="Q186" s="111">
        <v>12</v>
      </c>
      <c r="R186" s="8" t="s">
        <v>227</v>
      </c>
      <c r="S186" s="18" t="s">
        <v>236</v>
      </c>
      <c r="T186" s="18">
        <v>44516</v>
      </c>
      <c r="U186" s="1">
        <f t="shared" si="10"/>
        <v>1</v>
      </c>
      <c r="V186" s="1" t="s">
        <v>699</v>
      </c>
      <c r="W186" s="10">
        <v>7</v>
      </c>
      <c r="X186" s="1">
        <v>322115</v>
      </c>
      <c r="Y186" t="s">
        <v>501</v>
      </c>
      <c r="Z186" t="s">
        <v>752</v>
      </c>
    </row>
    <row r="187" spans="1:26" x14ac:dyDescent="0.25">
      <c r="A187" s="6">
        <v>180</v>
      </c>
      <c r="B187" s="19"/>
      <c r="C187" s="7" t="s">
        <v>497</v>
      </c>
      <c r="D187" s="7" t="s">
        <v>730</v>
      </c>
      <c r="E187" s="17">
        <v>24807</v>
      </c>
      <c r="F187" s="7" t="s">
        <v>7</v>
      </c>
      <c r="G187" s="7" t="s">
        <v>78</v>
      </c>
      <c r="H187" s="7" t="s">
        <v>105</v>
      </c>
      <c r="I187" s="7" t="s">
        <v>35</v>
      </c>
      <c r="J187" s="8">
        <v>445938</v>
      </c>
      <c r="K187" s="7" t="s">
        <v>507</v>
      </c>
      <c r="L187" s="20">
        <v>16</v>
      </c>
      <c r="M187" s="20">
        <v>2</v>
      </c>
      <c r="N187" s="20">
        <v>11</v>
      </c>
      <c r="O187" s="8" t="s">
        <v>237</v>
      </c>
      <c r="P187" s="18" t="s">
        <v>238</v>
      </c>
      <c r="Q187" s="111">
        <v>11</v>
      </c>
      <c r="R187" s="8" t="s">
        <v>227</v>
      </c>
      <c r="S187" s="18" t="s">
        <v>237</v>
      </c>
      <c r="T187" s="18">
        <v>44517</v>
      </c>
      <c r="U187" s="1">
        <f t="shared" si="10"/>
        <v>1</v>
      </c>
      <c r="V187" s="1" t="s">
        <v>699</v>
      </c>
      <c r="W187" s="10">
        <v>10</v>
      </c>
      <c r="X187" s="1">
        <v>445938</v>
      </c>
      <c r="Y187" t="s">
        <v>753</v>
      </c>
    </row>
    <row r="188" spans="1:26" x14ac:dyDescent="0.25">
      <c r="A188" s="6">
        <v>181</v>
      </c>
      <c r="B188" s="19"/>
      <c r="C188" s="7" t="s">
        <v>497</v>
      </c>
      <c r="D188" s="7" t="s">
        <v>730</v>
      </c>
      <c r="E188" s="17">
        <v>24806</v>
      </c>
      <c r="F188" s="7" t="s">
        <v>7</v>
      </c>
      <c r="G188" s="7" t="s">
        <v>78</v>
      </c>
      <c r="H188" s="7" t="s">
        <v>105</v>
      </c>
      <c r="I188" s="7" t="s">
        <v>35</v>
      </c>
      <c r="J188" s="8">
        <v>445938</v>
      </c>
      <c r="K188" s="7" t="s">
        <v>507</v>
      </c>
      <c r="L188" s="20">
        <v>16</v>
      </c>
      <c r="M188" s="20">
        <v>2</v>
      </c>
      <c r="N188" s="20">
        <v>10</v>
      </c>
      <c r="O188" s="8" t="s">
        <v>239</v>
      </c>
      <c r="P188" s="18" t="s">
        <v>240</v>
      </c>
      <c r="Q188" s="111">
        <v>10</v>
      </c>
      <c r="R188" s="8" t="s">
        <v>227</v>
      </c>
      <c r="S188" s="18" t="s">
        <v>239</v>
      </c>
      <c r="T188" s="18">
        <v>44519</v>
      </c>
      <c r="U188" s="1">
        <f t="shared" si="10"/>
        <v>1</v>
      </c>
      <c r="V188" s="1" t="s">
        <v>699</v>
      </c>
      <c r="W188" s="10">
        <v>10</v>
      </c>
      <c r="X188" s="1">
        <v>445938</v>
      </c>
      <c r="Y188" t="s">
        <v>753</v>
      </c>
    </row>
    <row r="189" spans="1:26" x14ac:dyDescent="0.25">
      <c r="A189" s="6">
        <v>182</v>
      </c>
      <c r="B189" s="19"/>
      <c r="C189" s="7" t="s">
        <v>497</v>
      </c>
      <c r="D189" s="7" t="s">
        <v>730</v>
      </c>
      <c r="E189" s="17">
        <v>29393</v>
      </c>
      <c r="F189" s="7" t="s">
        <v>10</v>
      </c>
      <c r="G189" s="7" t="s">
        <v>74</v>
      </c>
      <c r="H189" s="7" t="s">
        <v>65</v>
      </c>
      <c r="I189" s="7" t="s">
        <v>35</v>
      </c>
      <c r="J189" s="8">
        <v>245435</v>
      </c>
      <c r="K189" s="7" t="s">
        <v>485</v>
      </c>
      <c r="L189" s="20">
        <v>24</v>
      </c>
      <c r="M189" s="20">
        <v>3</v>
      </c>
      <c r="N189" s="20">
        <v>19</v>
      </c>
      <c r="O189" s="8" t="s">
        <v>335</v>
      </c>
      <c r="P189" s="18" t="s">
        <v>243</v>
      </c>
      <c r="Q189" s="111">
        <v>19</v>
      </c>
      <c r="R189" s="8" t="s">
        <v>227</v>
      </c>
      <c r="S189" s="18" t="s">
        <v>335</v>
      </c>
      <c r="T189" s="18">
        <v>44524</v>
      </c>
      <c r="U189" s="1">
        <f t="shared" si="10"/>
        <v>1</v>
      </c>
      <c r="V189" s="1" t="s">
        <v>699</v>
      </c>
      <c r="W189" s="10">
        <v>11</v>
      </c>
      <c r="X189" s="1">
        <v>245435</v>
      </c>
      <c r="Y189" t="s">
        <v>485</v>
      </c>
    </row>
    <row r="190" spans="1:26" x14ac:dyDescent="0.25">
      <c r="A190" s="6">
        <v>183</v>
      </c>
      <c r="B190" s="19"/>
      <c r="C190" s="7" t="s">
        <v>497</v>
      </c>
      <c r="D190" s="7" t="s">
        <v>730</v>
      </c>
      <c r="E190" s="17">
        <v>24749</v>
      </c>
      <c r="F190" s="7" t="s">
        <v>7</v>
      </c>
      <c r="G190" s="7" t="s">
        <v>78</v>
      </c>
      <c r="H190" s="7" t="s">
        <v>40</v>
      </c>
      <c r="I190" s="7" t="s">
        <v>35</v>
      </c>
      <c r="J190" s="8">
        <v>971841</v>
      </c>
      <c r="K190" s="7" t="s">
        <v>457</v>
      </c>
      <c r="L190" s="20">
        <v>24</v>
      </c>
      <c r="M190" s="20">
        <v>3</v>
      </c>
      <c r="N190" s="20">
        <v>4</v>
      </c>
      <c r="O190" s="8" t="s">
        <v>335</v>
      </c>
      <c r="P190" s="18" t="s">
        <v>243</v>
      </c>
      <c r="Q190" s="111">
        <v>10</v>
      </c>
      <c r="R190" s="8" t="s">
        <v>227</v>
      </c>
      <c r="S190" s="18" t="s">
        <v>335</v>
      </c>
      <c r="T190" s="18">
        <v>44524</v>
      </c>
      <c r="U190" s="1">
        <f t="shared" si="10"/>
        <v>1</v>
      </c>
      <c r="V190" s="1" t="s">
        <v>699</v>
      </c>
      <c r="W190" s="10">
        <v>12</v>
      </c>
      <c r="X190" s="1">
        <v>971841</v>
      </c>
      <c r="Y190" t="s">
        <v>457</v>
      </c>
    </row>
    <row r="191" spans="1:26" x14ac:dyDescent="0.25">
      <c r="A191" s="6">
        <v>184</v>
      </c>
      <c r="B191" s="19"/>
      <c r="C191" s="7" t="s">
        <v>497</v>
      </c>
      <c r="D191" s="7" t="s">
        <v>730</v>
      </c>
      <c r="E191" s="17">
        <v>24808</v>
      </c>
      <c r="F191" s="7" t="s">
        <v>7</v>
      </c>
      <c r="G191" s="7" t="s">
        <v>78</v>
      </c>
      <c r="H191" s="7" t="s">
        <v>105</v>
      </c>
      <c r="I191" s="7" t="s">
        <v>35</v>
      </c>
      <c r="J191" s="8">
        <v>445938</v>
      </c>
      <c r="K191" s="7" t="s">
        <v>507</v>
      </c>
      <c r="L191" s="20">
        <v>16</v>
      </c>
      <c r="M191" s="20">
        <v>2</v>
      </c>
      <c r="N191" s="20">
        <v>10</v>
      </c>
      <c r="O191" s="8" t="s">
        <v>242</v>
      </c>
      <c r="P191" s="18" t="s">
        <v>244</v>
      </c>
      <c r="Q191" s="111">
        <v>10</v>
      </c>
      <c r="R191" s="8" t="s">
        <v>227</v>
      </c>
      <c r="S191" s="18" t="s">
        <v>242</v>
      </c>
      <c r="T191" s="18">
        <v>44526</v>
      </c>
      <c r="U191" s="1">
        <f t="shared" si="10"/>
        <v>1</v>
      </c>
      <c r="V191" s="1" t="s">
        <v>699</v>
      </c>
      <c r="W191" s="10">
        <v>9</v>
      </c>
      <c r="X191" s="1">
        <v>445938</v>
      </c>
      <c r="Y191" t="s">
        <v>753</v>
      </c>
    </row>
    <row r="192" spans="1:26" x14ac:dyDescent="0.25">
      <c r="A192" s="6">
        <v>185</v>
      </c>
      <c r="B192" s="19"/>
      <c r="C192" s="7" t="s">
        <v>497</v>
      </c>
      <c r="D192" s="7" t="s">
        <v>730</v>
      </c>
      <c r="E192" s="17">
        <v>24840</v>
      </c>
      <c r="F192" s="7" t="s">
        <v>7</v>
      </c>
      <c r="G192" s="7" t="s">
        <v>78</v>
      </c>
      <c r="H192" s="7" t="s">
        <v>65</v>
      </c>
      <c r="I192" s="7" t="s">
        <v>35</v>
      </c>
      <c r="J192" s="8">
        <v>245435</v>
      </c>
      <c r="K192" s="7" t="s">
        <v>485</v>
      </c>
      <c r="L192" s="20">
        <v>24</v>
      </c>
      <c r="M192" s="20">
        <v>3</v>
      </c>
      <c r="N192" s="20">
        <v>7</v>
      </c>
      <c r="O192" s="8" t="s">
        <v>384</v>
      </c>
      <c r="P192" s="18" t="s">
        <v>247</v>
      </c>
      <c r="Q192" s="111">
        <v>8</v>
      </c>
      <c r="R192" s="8" t="s">
        <v>227</v>
      </c>
      <c r="S192" s="18" t="s">
        <v>384</v>
      </c>
      <c r="T192" s="18">
        <v>44531</v>
      </c>
      <c r="U192" s="1">
        <f t="shared" si="10"/>
        <v>1</v>
      </c>
      <c r="V192" s="1" t="s">
        <v>699</v>
      </c>
      <c r="W192" s="10">
        <v>7</v>
      </c>
      <c r="X192" s="1">
        <v>245435</v>
      </c>
      <c r="Y192" t="s">
        <v>485</v>
      </c>
    </row>
    <row r="193" spans="1:25" x14ac:dyDescent="0.25">
      <c r="A193" s="6">
        <v>186</v>
      </c>
      <c r="B193" s="19"/>
      <c r="C193" s="7" t="s">
        <v>497</v>
      </c>
      <c r="D193" s="7" t="s">
        <v>730</v>
      </c>
      <c r="E193" s="17">
        <v>24748</v>
      </c>
      <c r="F193" s="7" t="s">
        <v>7</v>
      </c>
      <c r="G193" s="7" t="s">
        <v>78</v>
      </c>
      <c r="H193" s="7" t="s">
        <v>40</v>
      </c>
      <c r="I193" s="7" t="s">
        <v>35</v>
      </c>
      <c r="J193" s="8">
        <v>971841</v>
      </c>
      <c r="K193" s="7" t="s">
        <v>457</v>
      </c>
      <c r="L193" s="20">
        <v>24</v>
      </c>
      <c r="M193" s="20">
        <v>3</v>
      </c>
      <c r="N193" s="20">
        <v>3</v>
      </c>
      <c r="O193" s="8" t="s">
        <v>247</v>
      </c>
      <c r="P193" s="18" t="s">
        <v>248</v>
      </c>
      <c r="Q193" s="111">
        <v>9</v>
      </c>
      <c r="R193" s="8" t="s">
        <v>249</v>
      </c>
      <c r="S193" s="18" t="s">
        <v>247</v>
      </c>
      <c r="T193" s="18">
        <v>44533</v>
      </c>
      <c r="U193" s="1">
        <f t="shared" si="10"/>
        <v>1</v>
      </c>
      <c r="V193" s="1" t="s">
        <v>699</v>
      </c>
      <c r="W193" s="10">
        <v>12</v>
      </c>
      <c r="X193" s="1">
        <v>322115</v>
      </c>
      <c r="Y193" t="s">
        <v>501</v>
      </c>
    </row>
    <row r="194" spans="1:25" x14ac:dyDescent="0.25">
      <c r="A194" s="6">
        <v>187</v>
      </c>
      <c r="B194" s="19"/>
      <c r="C194" s="7" t="s">
        <v>497</v>
      </c>
      <c r="D194" s="7" t="s">
        <v>730</v>
      </c>
      <c r="E194" s="17">
        <v>24631</v>
      </c>
      <c r="F194" s="7" t="s">
        <v>7</v>
      </c>
      <c r="G194" s="7" t="s">
        <v>78</v>
      </c>
      <c r="H194" s="7" t="s">
        <v>317</v>
      </c>
      <c r="I194" s="7" t="s">
        <v>35</v>
      </c>
      <c r="J194" s="8">
        <v>245434</v>
      </c>
      <c r="K194" s="7" t="s">
        <v>500</v>
      </c>
      <c r="L194" s="20">
        <v>16</v>
      </c>
      <c r="M194" s="20">
        <v>2</v>
      </c>
      <c r="N194" s="20">
        <v>3</v>
      </c>
      <c r="O194" s="8" t="s">
        <v>250</v>
      </c>
      <c r="P194" s="18" t="s">
        <v>251</v>
      </c>
      <c r="Q194" s="111">
        <v>8</v>
      </c>
      <c r="R194" s="8" t="s">
        <v>249</v>
      </c>
      <c r="S194" s="18" t="s">
        <v>250</v>
      </c>
      <c r="T194" s="18">
        <v>44537</v>
      </c>
      <c r="U194" s="1">
        <f t="shared" si="10"/>
        <v>1</v>
      </c>
      <c r="V194" s="1" t="s">
        <v>699</v>
      </c>
      <c r="W194" s="10">
        <v>5</v>
      </c>
      <c r="X194" s="1">
        <v>245434</v>
      </c>
      <c r="Y194" t="s">
        <v>500</v>
      </c>
    </row>
    <row r="195" spans="1:25" x14ac:dyDescent="0.25">
      <c r="A195" s="6">
        <v>188</v>
      </c>
      <c r="B195" s="19"/>
      <c r="C195" s="7" t="s">
        <v>497</v>
      </c>
      <c r="D195" s="7" t="s">
        <v>730</v>
      </c>
      <c r="E195" s="17">
        <v>29394</v>
      </c>
      <c r="F195" s="7" t="s">
        <v>10</v>
      </c>
      <c r="G195" s="7" t="s">
        <v>74</v>
      </c>
      <c r="H195" s="7" t="s">
        <v>65</v>
      </c>
      <c r="I195" s="7" t="s">
        <v>35</v>
      </c>
      <c r="J195" s="8">
        <v>245435</v>
      </c>
      <c r="K195" s="7" t="s">
        <v>485</v>
      </c>
      <c r="L195" s="20">
        <v>24</v>
      </c>
      <c r="M195" s="20">
        <v>3</v>
      </c>
      <c r="N195" s="20">
        <v>21</v>
      </c>
      <c r="O195" s="8" t="s">
        <v>514</v>
      </c>
      <c r="P195" s="18" t="s">
        <v>251</v>
      </c>
      <c r="Q195" s="111">
        <v>21</v>
      </c>
      <c r="R195" s="8" t="s">
        <v>249</v>
      </c>
      <c r="S195" s="18" t="s">
        <v>514</v>
      </c>
      <c r="T195" s="18">
        <v>44537</v>
      </c>
      <c r="U195" s="1">
        <f t="shared" si="10"/>
        <v>1</v>
      </c>
      <c r="V195" s="1" t="s">
        <v>699</v>
      </c>
      <c r="W195" s="10">
        <v>14</v>
      </c>
      <c r="X195" s="1">
        <v>245435</v>
      </c>
      <c r="Y195" t="s">
        <v>485</v>
      </c>
    </row>
    <row r="196" spans="1:25" x14ac:dyDescent="0.25">
      <c r="L196" s="22"/>
    </row>
  </sheetData>
  <autoFilter ref="A7:AA195" xr:uid="{00000000-0001-0000-0700-000000000000}"/>
  <sortState xmlns:xlrd2="http://schemas.microsoft.com/office/spreadsheetml/2017/richdata2" ref="A8:Z195">
    <sortCondition descending="1" ref="D8:D195"/>
  </sortState>
  <pageMargins left="0.7" right="0.7" top="0.75" bottom="0.75" header="0.3" footer="0.3"/>
  <pageSetup paperSize="9" orientation="portrait" horizontalDpi="4294967294" verticalDpi="4294967294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Catalogo!$B$5:$B$6</xm:f>
          </x14:formula1>
          <xm:sqref>V8:V195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V191"/>
  <sheetViews>
    <sheetView workbookViewId="0">
      <pane xSplit="4" ySplit="7" topLeftCell="F49" activePane="bottomRight" state="frozenSplit"/>
      <selection pane="topRight" activeCell="F1" sqref="F1"/>
      <selection pane="bottomLeft" activeCell="D34" sqref="D34"/>
      <selection pane="bottomRight" activeCell="H191" sqref="H191"/>
    </sheetView>
  </sheetViews>
  <sheetFormatPr baseColWidth="10" defaultColWidth="11.42578125" defaultRowHeight="15" x14ac:dyDescent="0.25"/>
  <cols>
    <col min="1" max="1" width="7.42578125" customWidth="1"/>
    <col min="2" max="2" width="14.85546875" style="1" customWidth="1"/>
    <col min="3" max="3" width="12.85546875" customWidth="1"/>
    <col min="5" max="5" width="38.7109375" customWidth="1"/>
    <col min="6" max="6" width="36.140625" customWidth="1"/>
    <col min="7" max="7" width="48.5703125" customWidth="1"/>
    <col min="8" max="8" width="12.7109375" style="1" customWidth="1"/>
    <col min="9" max="9" width="11.42578125" style="1" hidden="1" customWidth="1"/>
    <col min="10" max="10" width="19.7109375" hidden="1" customWidth="1"/>
    <col min="11" max="13" width="11.42578125" style="25" customWidth="1"/>
    <col min="14" max="14" width="11.42578125" bestFit="1" customWidth="1"/>
    <col min="19" max="19" width="13.7109375" style="1" customWidth="1"/>
    <col min="20" max="20" width="12.5703125" bestFit="1" customWidth="1"/>
    <col min="21" max="21" width="30.5703125" customWidth="1"/>
    <col min="22" max="22" width="56.28515625" customWidth="1"/>
    <col min="23" max="23" width="16.42578125" customWidth="1"/>
  </cols>
  <sheetData>
    <row r="1" spans="1:22" s="28" customFormat="1" ht="14.25" customHeight="1" x14ac:dyDescent="0.3">
      <c r="B1" s="29"/>
      <c r="D1" s="29"/>
      <c r="G1" s="34" t="s">
        <v>713</v>
      </c>
      <c r="H1" s="29">
        <v>19</v>
      </c>
      <c r="J1" s="29"/>
      <c r="K1" s="28" t="s">
        <v>714</v>
      </c>
      <c r="L1" s="30"/>
      <c r="M1" s="30"/>
      <c r="O1" s="31"/>
      <c r="P1" s="32"/>
      <c r="Q1" s="33"/>
      <c r="R1" s="32"/>
      <c r="S1" s="29"/>
      <c r="T1" s="29"/>
    </row>
    <row r="2" spans="1:22" s="28" customFormat="1" x14ac:dyDescent="0.3">
      <c r="B2" s="29"/>
      <c r="C2" s="34"/>
      <c r="D2" s="29"/>
      <c r="E2" s="34" t="s">
        <v>715</v>
      </c>
      <c r="F2" s="29">
        <f>COUNT(D8:D194)</f>
        <v>183</v>
      </c>
      <c r="G2" s="34" t="s">
        <v>716</v>
      </c>
      <c r="H2" s="48">
        <f>SUM(M8:M26)</f>
        <v>208</v>
      </c>
      <c r="I2" s="34"/>
      <c r="J2" s="29"/>
      <c r="K2" s="28" t="s">
        <v>717</v>
      </c>
      <c r="L2" s="30"/>
      <c r="M2" s="30"/>
      <c r="O2" s="35"/>
      <c r="P2" s="29"/>
      <c r="Q2" s="32"/>
      <c r="R2" s="32"/>
      <c r="S2" s="29"/>
      <c r="T2" s="29"/>
    </row>
    <row r="3" spans="1:22" s="28" customFormat="1" x14ac:dyDescent="0.3">
      <c r="B3" s="29"/>
      <c r="C3" s="34"/>
      <c r="D3" s="36">
        <f>Seguimiento!T3</f>
        <v>44561</v>
      </c>
      <c r="E3" s="34" t="s">
        <v>718</v>
      </c>
      <c r="F3" s="37">
        <f>SUM(M8:M194)</f>
        <v>2126</v>
      </c>
      <c r="G3" s="34" t="s">
        <v>719</v>
      </c>
      <c r="H3" s="29">
        <f>COUNTIFS($Q$25:$Q$194,1,$R$25:$R$194,"Realizado")</f>
        <v>95</v>
      </c>
      <c r="I3" s="34"/>
      <c r="J3" s="29"/>
      <c r="K3" s="30" t="s">
        <v>720</v>
      </c>
      <c r="L3" s="122">
        <f>SUM(M27:M190)</f>
        <v>1918</v>
      </c>
      <c r="M3" s="30"/>
      <c r="O3" s="35"/>
      <c r="P3" s="29"/>
      <c r="Q3" s="29"/>
      <c r="R3" s="29"/>
      <c r="S3" s="29"/>
      <c r="T3" s="29"/>
    </row>
    <row r="4" spans="1:22" s="28" customFormat="1" x14ac:dyDescent="0.3">
      <c r="B4" s="29"/>
      <c r="C4" s="34"/>
      <c r="D4" s="29"/>
      <c r="E4" s="34" t="s">
        <v>721</v>
      </c>
      <c r="F4" s="29">
        <f>COUNTIF($Q$27:$Q$194,1)</f>
        <v>164</v>
      </c>
      <c r="G4" s="34" t="s">
        <v>722</v>
      </c>
      <c r="H4" s="29">
        <f>SUMIF($R$8:$R$194,"Realizado",$S$8:$S$194)</f>
        <v>843</v>
      </c>
      <c r="I4" s="34"/>
      <c r="J4" s="29"/>
      <c r="K4" s="30" t="s">
        <v>723</v>
      </c>
      <c r="L4" s="121">
        <f>COUNT(M27:M190)</f>
        <v>164</v>
      </c>
      <c r="M4" s="30"/>
      <c r="O4" s="35"/>
      <c r="P4" s="29"/>
      <c r="Q4" s="29"/>
      <c r="R4" s="29"/>
      <c r="S4" s="29"/>
      <c r="T4" s="29"/>
    </row>
    <row r="5" spans="1:22" s="28" customFormat="1" x14ac:dyDescent="0.3">
      <c r="B5" s="29"/>
      <c r="C5" s="34"/>
      <c r="D5" s="29"/>
      <c r="E5" s="34" t="s">
        <v>724</v>
      </c>
      <c r="F5" s="29">
        <f>SUMIF(Q27:Q194,1,M27:M194)</f>
        <v>1918</v>
      </c>
      <c r="G5" s="34" t="s">
        <v>725</v>
      </c>
      <c r="H5" s="29">
        <f>COUNTIFS($Q$27:$Q$194,1,$R$27:$R$194,"Cancelado")</f>
        <v>71</v>
      </c>
      <c r="I5" s="34"/>
      <c r="J5" s="29"/>
      <c r="K5" s="30"/>
      <c r="L5" s="30"/>
      <c r="M5" s="30"/>
      <c r="O5" s="35"/>
      <c r="P5" s="29"/>
      <c r="Q5" s="29"/>
      <c r="R5" s="29"/>
      <c r="S5" s="29"/>
      <c r="T5" s="29"/>
    </row>
    <row r="6" spans="1:22" x14ac:dyDescent="0.25">
      <c r="D6" s="1"/>
      <c r="H6"/>
      <c r="I6"/>
      <c r="J6" s="1"/>
      <c r="K6" s="2"/>
      <c r="L6" s="2"/>
      <c r="M6" s="2">
        <f>SUBTOTAL(9,M8:M133)</f>
        <v>792</v>
      </c>
      <c r="O6" s="19"/>
      <c r="P6" s="1"/>
      <c r="Q6" s="1"/>
      <c r="R6" s="1"/>
      <c r="T6" s="1"/>
    </row>
    <row r="7" spans="1:22" s="3" customFormat="1" ht="31.5" x14ac:dyDescent="0.25">
      <c r="A7" s="4" t="s">
        <v>20</v>
      </c>
      <c r="B7" s="4" t="s">
        <v>21</v>
      </c>
      <c r="C7" s="4" t="s">
        <v>2</v>
      </c>
      <c r="D7" s="4" t="s">
        <v>22</v>
      </c>
      <c r="E7" s="4" t="s">
        <v>23</v>
      </c>
      <c r="F7" s="4" t="s">
        <v>24</v>
      </c>
      <c r="G7" s="4" t="s">
        <v>25</v>
      </c>
      <c r="H7" s="5" t="s">
        <v>26</v>
      </c>
      <c r="I7" s="4" t="s">
        <v>27</v>
      </c>
      <c r="J7" s="4" t="s">
        <v>28</v>
      </c>
      <c r="K7" s="26" t="s">
        <v>29</v>
      </c>
      <c r="L7" s="26" t="s">
        <v>30</v>
      </c>
      <c r="M7" s="26" t="s">
        <v>31</v>
      </c>
      <c r="N7" s="5" t="s">
        <v>0</v>
      </c>
      <c r="O7" s="5" t="s">
        <v>19</v>
      </c>
      <c r="P7" s="4" t="s">
        <v>17</v>
      </c>
      <c r="Q7" s="4" t="s">
        <v>516</v>
      </c>
      <c r="R7" s="5" t="s">
        <v>727</v>
      </c>
      <c r="S7" s="5" t="s">
        <v>523</v>
      </c>
      <c r="T7" s="5" t="s">
        <v>728</v>
      </c>
      <c r="U7" s="5" t="s">
        <v>28</v>
      </c>
      <c r="V7" s="5" t="s">
        <v>599</v>
      </c>
    </row>
    <row r="8" spans="1:22" hidden="1" x14ac:dyDescent="0.25">
      <c r="A8" s="1">
        <v>1</v>
      </c>
      <c r="C8" t="s">
        <v>32</v>
      </c>
      <c r="D8" s="17">
        <v>23298</v>
      </c>
      <c r="E8" s="7" t="s">
        <v>6</v>
      </c>
      <c r="F8" s="7" t="s">
        <v>33</v>
      </c>
      <c r="G8" s="7" t="s">
        <v>34</v>
      </c>
      <c r="H8" s="8" t="s">
        <v>35</v>
      </c>
      <c r="I8" s="8">
        <v>350060</v>
      </c>
      <c r="J8" s="7" t="s">
        <v>36</v>
      </c>
      <c r="K8" s="27">
        <v>8</v>
      </c>
      <c r="L8" s="27">
        <v>1</v>
      </c>
      <c r="M8" s="27">
        <v>13</v>
      </c>
      <c r="N8" s="18" t="s">
        <v>37</v>
      </c>
      <c r="O8" s="18">
        <v>44232</v>
      </c>
      <c r="P8" s="8" t="s">
        <v>38</v>
      </c>
      <c r="Q8" s="1">
        <f t="shared" ref="Q8:Q31" si="0">IF(O8&lt;=$D$3,1,0)</f>
        <v>1</v>
      </c>
      <c r="R8" t="s">
        <v>701</v>
      </c>
    </row>
    <row r="9" spans="1:22" hidden="1" x14ac:dyDescent="0.25">
      <c r="A9" s="1">
        <v>2</v>
      </c>
      <c r="C9" s="7" t="s">
        <v>39</v>
      </c>
      <c r="D9" s="17">
        <v>23281</v>
      </c>
      <c r="E9" s="7" t="s">
        <v>6</v>
      </c>
      <c r="F9" s="7" t="s">
        <v>33</v>
      </c>
      <c r="G9" s="7" t="s">
        <v>40</v>
      </c>
      <c r="H9" s="8" t="s">
        <v>35</v>
      </c>
      <c r="I9" s="8">
        <v>374253</v>
      </c>
      <c r="J9" s="7" t="s">
        <v>41</v>
      </c>
      <c r="K9" s="27">
        <v>24</v>
      </c>
      <c r="L9" s="27">
        <v>3</v>
      </c>
      <c r="M9" s="27">
        <v>8</v>
      </c>
      <c r="N9" s="18" t="s">
        <v>42</v>
      </c>
      <c r="O9" s="18">
        <v>44244</v>
      </c>
      <c r="P9" s="8" t="s">
        <v>38</v>
      </c>
      <c r="Q9" s="1">
        <f t="shared" si="0"/>
        <v>1</v>
      </c>
      <c r="R9" t="s">
        <v>701</v>
      </c>
    </row>
    <row r="10" spans="1:22" hidden="1" x14ac:dyDescent="0.25">
      <c r="A10" s="1">
        <v>3</v>
      </c>
      <c r="C10" s="7" t="s">
        <v>39</v>
      </c>
      <c r="D10" s="17">
        <v>23297</v>
      </c>
      <c r="E10" s="7" t="s">
        <v>6</v>
      </c>
      <c r="F10" s="7" t="s">
        <v>33</v>
      </c>
      <c r="G10" s="7" t="s">
        <v>34</v>
      </c>
      <c r="H10" s="8" t="s">
        <v>35</v>
      </c>
      <c r="I10" s="8">
        <v>436665</v>
      </c>
      <c r="J10" s="7" t="s">
        <v>43</v>
      </c>
      <c r="K10" s="27">
        <v>8</v>
      </c>
      <c r="L10" s="27">
        <v>1</v>
      </c>
      <c r="M10" s="27">
        <v>11</v>
      </c>
      <c r="N10" s="18" t="s">
        <v>44</v>
      </c>
      <c r="O10" s="18">
        <v>44244</v>
      </c>
      <c r="P10" s="8" t="s">
        <v>38</v>
      </c>
      <c r="Q10" s="1">
        <f t="shared" si="0"/>
        <v>1</v>
      </c>
      <c r="R10" t="s">
        <v>701</v>
      </c>
    </row>
    <row r="11" spans="1:22" hidden="1" x14ac:dyDescent="0.25">
      <c r="A11" s="1">
        <v>4</v>
      </c>
      <c r="C11" s="7" t="s">
        <v>39</v>
      </c>
      <c r="D11" s="17">
        <v>23300</v>
      </c>
      <c r="E11" s="7" t="s">
        <v>6</v>
      </c>
      <c r="F11" s="7" t="s">
        <v>33</v>
      </c>
      <c r="G11" s="7" t="s">
        <v>34</v>
      </c>
      <c r="H11" s="8" t="s">
        <v>35</v>
      </c>
      <c r="I11" s="8">
        <v>436665</v>
      </c>
      <c r="J11" s="7" t="s">
        <v>43</v>
      </c>
      <c r="K11" s="27">
        <v>8</v>
      </c>
      <c r="L11" s="27">
        <v>1</v>
      </c>
      <c r="M11" s="27">
        <v>10</v>
      </c>
      <c r="N11" s="18" t="s">
        <v>45</v>
      </c>
      <c r="O11" s="18">
        <v>44245</v>
      </c>
      <c r="P11" s="8" t="s">
        <v>38</v>
      </c>
      <c r="Q11" s="1">
        <f t="shared" si="0"/>
        <v>1</v>
      </c>
      <c r="R11" t="s">
        <v>701</v>
      </c>
    </row>
    <row r="12" spans="1:22" hidden="1" x14ac:dyDescent="0.25">
      <c r="A12" s="1">
        <v>5</v>
      </c>
      <c r="C12" s="7" t="s">
        <v>39</v>
      </c>
      <c r="D12" s="17">
        <v>23301</v>
      </c>
      <c r="E12" s="7" t="s">
        <v>6</v>
      </c>
      <c r="F12" s="7" t="s">
        <v>33</v>
      </c>
      <c r="G12" s="7" t="s">
        <v>34</v>
      </c>
      <c r="H12" s="8" t="s">
        <v>35</v>
      </c>
      <c r="I12" s="8">
        <v>436665</v>
      </c>
      <c r="J12" s="7" t="s">
        <v>43</v>
      </c>
      <c r="K12" s="27">
        <v>8</v>
      </c>
      <c r="L12" s="27">
        <v>1</v>
      </c>
      <c r="M12" s="27">
        <v>6</v>
      </c>
      <c r="N12" s="18" t="s">
        <v>46</v>
      </c>
      <c r="O12" s="18">
        <v>44246</v>
      </c>
      <c r="P12" s="8" t="s">
        <v>38</v>
      </c>
      <c r="Q12" s="1">
        <f t="shared" si="0"/>
        <v>1</v>
      </c>
      <c r="R12" t="s">
        <v>701</v>
      </c>
    </row>
    <row r="13" spans="1:22" hidden="1" x14ac:dyDescent="0.25">
      <c r="A13" s="1">
        <v>6</v>
      </c>
      <c r="C13" s="7" t="s">
        <v>39</v>
      </c>
      <c r="D13" s="17">
        <v>23299</v>
      </c>
      <c r="E13" s="7" t="s">
        <v>6</v>
      </c>
      <c r="F13" s="7" t="s">
        <v>33</v>
      </c>
      <c r="G13" s="7" t="s">
        <v>34</v>
      </c>
      <c r="H13" s="8" t="s">
        <v>35</v>
      </c>
      <c r="I13" s="8">
        <v>436665</v>
      </c>
      <c r="J13" s="7" t="s">
        <v>43</v>
      </c>
      <c r="K13" s="27">
        <v>8</v>
      </c>
      <c r="L13" s="27">
        <v>1</v>
      </c>
      <c r="M13" s="27">
        <v>11</v>
      </c>
      <c r="N13" s="18" t="s">
        <v>47</v>
      </c>
      <c r="O13" s="18">
        <v>44249</v>
      </c>
      <c r="P13" s="8" t="s">
        <v>38</v>
      </c>
      <c r="Q13" s="1">
        <f t="shared" si="0"/>
        <v>1</v>
      </c>
      <c r="R13" t="s">
        <v>701</v>
      </c>
    </row>
    <row r="14" spans="1:22" hidden="1" x14ac:dyDescent="0.25">
      <c r="A14" s="1">
        <v>7</v>
      </c>
      <c r="C14" s="7" t="s">
        <v>39</v>
      </c>
      <c r="D14" s="17">
        <v>23302</v>
      </c>
      <c r="E14" s="7" t="s">
        <v>6</v>
      </c>
      <c r="F14" s="7" t="s">
        <v>33</v>
      </c>
      <c r="G14" s="7" t="s">
        <v>34</v>
      </c>
      <c r="H14" s="8" t="s">
        <v>35</v>
      </c>
      <c r="I14" s="8">
        <v>436665</v>
      </c>
      <c r="J14" s="7" t="s">
        <v>43</v>
      </c>
      <c r="K14" s="27">
        <v>8</v>
      </c>
      <c r="L14" s="27">
        <v>1</v>
      </c>
      <c r="M14" s="27">
        <v>14</v>
      </c>
      <c r="N14" s="18" t="s">
        <v>48</v>
      </c>
      <c r="O14" s="18">
        <v>44250</v>
      </c>
      <c r="P14" s="8" t="s">
        <v>38</v>
      </c>
      <c r="Q14" s="1">
        <f t="shared" si="0"/>
        <v>1</v>
      </c>
      <c r="R14" t="s">
        <v>701</v>
      </c>
    </row>
    <row r="15" spans="1:22" hidden="1" x14ac:dyDescent="0.25">
      <c r="A15" s="1">
        <v>8</v>
      </c>
      <c r="C15" s="7" t="s">
        <v>39</v>
      </c>
      <c r="D15" s="17">
        <v>23282</v>
      </c>
      <c r="E15" s="7" t="s">
        <v>6</v>
      </c>
      <c r="F15" s="7" t="s">
        <v>33</v>
      </c>
      <c r="G15" s="7" t="s">
        <v>40</v>
      </c>
      <c r="H15" s="8" t="s">
        <v>35</v>
      </c>
      <c r="I15" s="8">
        <v>374253</v>
      </c>
      <c r="J15" s="7" t="s">
        <v>41</v>
      </c>
      <c r="K15" s="27">
        <v>24</v>
      </c>
      <c r="L15" s="27">
        <v>3</v>
      </c>
      <c r="M15" s="27">
        <v>10</v>
      </c>
      <c r="N15" s="18" t="s">
        <v>49</v>
      </c>
      <c r="O15" s="18">
        <v>44258</v>
      </c>
      <c r="P15" s="8" t="s">
        <v>50</v>
      </c>
      <c r="Q15" s="1">
        <f t="shared" si="0"/>
        <v>1</v>
      </c>
      <c r="R15" t="s">
        <v>701</v>
      </c>
    </row>
    <row r="16" spans="1:22" hidden="1" x14ac:dyDescent="0.25">
      <c r="A16" s="1">
        <v>9</v>
      </c>
      <c r="C16" s="7" t="s">
        <v>39</v>
      </c>
      <c r="D16" s="17">
        <v>23304</v>
      </c>
      <c r="E16" s="7" t="s">
        <v>6</v>
      </c>
      <c r="F16" s="7" t="s">
        <v>33</v>
      </c>
      <c r="G16" s="7" t="s">
        <v>34</v>
      </c>
      <c r="H16" s="8" t="s">
        <v>35</v>
      </c>
      <c r="I16" s="8">
        <v>350060</v>
      </c>
      <c r="J16" s="7" t="s">
        <v>36</v>
      </c>
      <c r="K16" s="27">
        <v>8</v>
      </c>
      <c r="L16" s="27">
        <v>1</v>
      </c>
      <c r="M16" s="27">
        <v>10</v>
      </c>
      <c r="N16" s="18" t="s">
        <v>51</v>
      </c>
      <c r="O16" s="18">
        <v>44259</v>
      </c>
      <c r="P16" s="8" t="s">
        <v>50</v>
      </c>
      <c r="Q16" s="1">
        <f t="shared" si="0"/>
        <v>1</v>
      </c>
      <c r="R16" t="s">
        <v>701</v>
      </c>
    </row>
    <row r="17" spans="1:22" hidden="1" x14ac:dyDescent="0.25">
      <c r="A17" s="1">
        <v>10</v>
      </c>
      <c r="C17" s="7" t="s">
        <v>39</v>
      </c>
      <c r="D17" s="17">
        <v>23305</v>
      </c>
      <c r="E17" s="7" t="s">
        <v>6</v>
      </c>
      <c r="F17" s="7" t="s">
        <v>33</v>
      </c>
      <c r="G17" s="7" t="s">
        <v>34</v>
      </c>
      <c r="H17" s="8" t="s">
        <v>35</v>
      </c>
      <c r="I17" s="8">
        <v>350060</v>
      </c>
      <c r="J17" s="7" t="s">
        <v>36</v>
      </c>
      <c r="K17" s="27">
        <v>8</v>
      </c>
      <c r="L17" s="27">
        <v>1</v>
      </c>
      <c r="M17" s="27">
        <v>12</v>
      </c>
      <c r="N17" s="18" t="s">
        <v>52</v>
      </c>
      <c r="O17" s="18">
        <v>44260</v>
      </c>
      <c r="P17" s="8" t="s">
        <v>50</v>
      </c>
      <c r="Q17" s="1">
        <f t="shared" si="0"/>
        <v>1</v>
      </c>
      <c r="R17" t="s">
        <v>701</v>
      </c>
    </row>
    <row r="18" spans="1:22" hidden="1" x14ac:dyDescent="0.25">
      <c r="A18" s="1">
        <v>11</v>
      </c>
      <c r="C18" s="7" t="s">
        <v>39</v>
      </c>
      <c r="D18" s="17">
        <v>23303</v>
      </c>
      <c r="E18" s="7" t="s">
        <v>6</v>
      </c>
      <c r="F18" s="7" t="s">
        <v>33</v>
      </c>
      <c r="G18" s="7" t="s">
        <v>34</v>
      </c>
      <c r="H18" s="8" t="s">
        <v>35</v>
      </c>
      <c r="I18" s="8">
        <v>436665</v>
      </c>
      <c r="J18" s="7" t="s">
        <v>43</v>
      </c>
      <c r="K18" s="27">
        <v>8</v>
      </c>
      <c r="L18" s="27">
        <v>1</v>
      </c>
      <c r="M18" s="27">
        <v>11</v>
      </c>
      <c r="N18" s="18" t="s">
        <v>53</v>
      </c>
      <c r="O18" s="18">
        <v>44271</v>
      </c>
      <c r="P18" s="8" t="s">
        <v>50</v>
      </c>
      <c r="Q18" s="1">
        <f t="shared" si="0"/>
        <v>1</v>
      </c>
      <c r="R18" t="s">
        <v>701</v>
      </c>
    </row>
    <row r="19" spans="1:22" hidden="1" x14ac:dyDescent="0.25">
      <c r="A19" s="1">
        <v>12</v>
      </c>
      <c r="C19" s="7" t="s">
        <v>39</v>
      </c>
      <c r="D19" s="17">
        <v>23307</v>
      </c>
      <c r="E19" s="7" t="s">
        <v>6</v>
      </c>
      <c r="F19" s="7" t="s">
        <v>33</v>
      </c>
      <c r="G19" s="7" t="s">
        <v>34</v>
      </c>
      <c r="H19" s="8" t="s">
        <v>35</v>
      </c>
      <c r="I19" s="8">
        <v>436665</v>
      </c>
      <c r="J19" s="7" t="s">
        <v>43</v>
      </c>
      <c r="K19" s="27">
        <v>8</v>
      </c>
      <c r="L19" s="27">
        <v>1</v>
      </c>
      <c r="M19" s="27">
        <v>11</v>
      </c>
      <c r="N19" s="18" t="s">
        <v>54</v>
      </c>
      <c r="O19" s="18">
        <v>44272</v>
      </c>
      <c r="P19" s="8" t="s">
        <v>50</v>
      </c>
      <c r="Q19" s="1">
        <f t="shared" si="0"/>
        <v>1</v>
      </c>
      <c r="R19" t="s">
        <v>701</v>
      </c>
    </row>
    <row r="20" spans="1:22" hidden="1" x14ac:dyDescent="0.25">
      <c r="A20" s="1">
        <v>13</v>
      </c>
      <c r="C20" s="7" t="s">
        <v>39</v>
      </c>
      <c r="D20" s="17">
        <v>23308</v>
      </c>
      <c r="E20" s="7" t="s">
        <v>6</v>
      </c>
      <c r="F20" s="7" t="s">
        <v>33</v>
      </c>
      <c r="G20" s="7" t="s">
        <v>34</v>
      </c>
      <c r="H20" s="8" t="s">
        <v>35</v>
      </c>
      <c r="I20" s="8">
        <v>436665</v>
      </c>
      <c r="J20" s="7" t="s">
        <v>43</v>
      </c>
      <c r="K20" s="27">
        <v>8</v>
      </c>
      <c r="L20" s="27">
        <v>1</v>
      </c>
      <c r="M20" s="27">
        <v>9</v>
      </c>
      <c r="N20" s="18" t="s">
        <v>55</v>
      </c>
      <c r="O20" s="18">
        <v>44273</v>
      </c>
      <c r="P20" s="8" t="s">
        <v>50</v>
      </c>
      <c r="Q20" s="1">
        <f t="shared" si="0"/>
        <v>1</v>
      </c>
      <c r="R20" t="s">
        <v>701</v>
      </c>
    </row>
    <row r="21" spans="1:22" hidden="1" x14ac:dyDescent="0.25">
      <c r="A21" s="1">
        <v>14</v>
      </c>
      <c r="C21" s="7" t="s">
        <v>39</v>
      </c>
      <c r="D21" s="17">
        <v>23309</v>
      </c>
      <c r="E21" s="7" t="s">
        <v>6</v>
      </c>
      <c r="F21" s="7" t="s">
        <v>33</v>
      </c>
      <c r="G21" s="7" t="s">
        <v>34</v>
      </c>
      <c r="H21" s="8" t="s">
        <v>35</v>
      </c>
      <c r="I21" s="8">
        <v>436665</v>
      </c>
      <c r="J21" s="7" t="s">
        <v>43</v>
      </c>
      <c r="K21" s="27">
        <v>8</v>
      </c>
      <c r="L21" s="27">
        <v>1</v>
      </c>
      <c r="M21" s="27">
        <v>13</v>
      </c>
      <c r="N21" s="18" t="s">
        <v>56</v>
      </c>
      <c r="O21" s="18">
        <v>44274</v>
      </c>
      <c r="P21" s="8" t="s">
        <v>50</v>
      </c>
      <c r="Q21" s="1">
        <f t="shared" si="0"/>
        <v>1</v>
      </c>
      <c r="R21" t="s">
        <v>701</v>
      </c>
    </row>
    <row r="22" spans="1:22" hidden="1" x14ac:dyDescent="0.25">
      <c r="A22" s="1">
        <v>15</v>
      </c>
      <c r="C22" s="7" t="s">
        <v>39</v>
      </c>
      <c r="D22" s="17">
        <v>23306</v>
      </c>
      <c r="E22" s="7" t="s">
        <v>6</v>
      </c>
      <c r="F22" s="7" t="s">
        <v>33</v>
      </c>
      <c r="G22" s="7" t="s">
        <v>34</v>
      </c>
      <c r="H22" s="8" t="s">
        <v>35</v>
      </c>
      <c r="I22" s="8">
        <v>436665</v>
      </c>
      <c r="J22" s="7" t="s">
        <v>43</v>
      </c>
      <c r="K22" s="27">
        <v>8</v>
      </c>
      <c r="L22" s="27">
        <v>1</v>
      </c>
      <c r="M22" s="27">
        <v>11</v>
      </c>
      <c r="N22" s="18" t="s">
        <v>57</v>
      </c>
      <c r="O22" s="18">
        <v>44277</v>
      </c>
      <c r="P22" s="8" t="s">
        <v>50</v>
      </c>
      <c r="Q22" s="1">
        <f t="shared" si="0"/>
        <v>1</v>
      </c>
      <c r="R22" t="s">
        <v>701</v>
      </c>
    </row>
    <row r="23" spans="1:22" hidden="1" x14ac:dyDescent="0.25">
      <c r="A23" s="1">
        <v>16</v>
      </c>
      <c r="C23" s="7" t="s">
        <v>39</v>
      </c>
      <c r="D23" s="17">
        <v>23310</v>
      </c>
      <c r="E23" s="7" t="s">
        <v>6</v>
      </c>
      <c r="F23" s="7" t="s">
        <v>33</v>
      </c>
      <c r="G23" s="7" t="s">
        <v>34</v>
      </c>
      <c r="H23" s="8" t="s">
        <v>35</v>
      </c>
      <c r="I23" s="8">
        <v>436665</v>
      </c>
      <c r="J23" s="7" t="s">
        <v>43</v>
      </c>
      <c r="K23" s="27">
        <v>8</v>
      </c>
      <c r="L23" s="27">
        <v>1</v>
      </c>
      <c r="M23" s="27">
        <v>15</v>
      </c>
      <c r="N23" s="18" t="s">
        <v>58</v>
      </c>
      <c r="O23" s="18">
        <v>44278</v>
      </c>
      <c r="P23" s="8" t="s">
        <v>50</v>
      </c>
      <c r="Q23" s="1">
        <f t="shared" si="0"/>
        <v>1</v>
      </c>
      <c r="R23" t="s">
        <v>701</v>
      </c>
    </row>
    <row r="24" spans="1:22" hidden="1" x14ac:dyDescent="0.25">
      <c r="A24" s="1">
        <v>17</v>
      </c>
      <c r="C24" s="7" t="s">
        <v>39</v>
      </c>
      <c r="D24" s="17">
        <v>23312</v>
      </c>
      <c r="E24" s="7" t="s">
        <v>6</v>
      </c>
      <c r="F24" s="7" t="s">
        <v>33</v>
      </c>
      <c r="G24" s="7" t="s">
        <v>34</v>
      </c>
      <c r="H24" s="8" t="s">
        <v>35</v>
      </c>
      <c r="I24" s="8">
        <v>436665</v>
      </c>
      <c r="J24" s="7" t="s">
        <v>43</v>
      </c>
      <c r="K24" s="27">
        <v>8</v>
      </c>
      <c r="L24" s="27">
        <v>1</v>
      </c>
      <c r="M24" s="27">
        <v>9</v>
      </c>
      <c r="N24" s="18" t="s">
        <v>59</v>
      </c>
      <c r="O24" s="18">
        <v>44301</v>
      </c>
      <c r="P24" s="8" t="s">
        <v>60</v>
      </c>
      <c r="Q24" s="1">
        <f t="shared" si="0"/>
        <v>1</v>
      </c>
      <c r="R24" t="s">
        <v>701</v>
      </c>
    </row>
    <row r="25" spans="1:22" x14ac:dyDescent="0.25">
      <c r="A25" s="1">
        <v>18</v>
      </c>
      <c r="B25" s="206">
        <v>50611556</v>
      </c>
      <c r="C25" s="7" t="s">
        <v>39</v>
      </c>
      <c r="D25" s="17">
        <v>22168</v>
      </c>
      <c r="E25" s="7" t="s">
        <v>12</v>
      </c>
      <c r="F25" s="7" t="s">
        <v>61</v>
      </c>
      <c r="G25" s="7" t="s">
        <v>62</v>
      </c>
      <c r="H25" s="8" t="s">
        <v>35</v>
      </c>
      <c r="I25" s="8">
        <v>354951</v>
      </c>
      <c r="J25" s="7" t="s">
        <v>63</v>
      </c>
      <c r="K25" s="27">
        <v>24</v>
      </c>
      <c r="L25" s="27">
        <v>3</v>
      </c>
      <c r="M25" s="27">
        <v>12</v>
      </c>
      <c r="N25" s="18" t="s">
        <v>64</v>
      </c>
      <c r="O25" s="18">
        <v>44302</v>
      </c>
      <c r="P25" s="8" t="s">
        <v>60</v>
      </c>
      <c r="Q25" s="1">
        <f t="shared" si="0"/>
        <v>1</v>
      </c>
      <c r="R25" t="s">
        <v>699</v>
      </c>
      <c r="S25" s="260">
        <v>3</v>
      </c>
      <c r="T25" s="252">
        <v>354951</v>
      </c>
      <c r="U25" s="252" t="s">
        <v>63</v>
      </c>
      <c r="V25" s="206" t="s">
        <v>754</v>
      </c>
    </row>
    <row r="26" spans="1:22" x14ac:dyDescent="0.25">
      <c r="A26" s="1">
        <v>19</v>
      </c>
      <c r="B26" s="1">
        <v>50611865</v>
      </c>
      <c r="C26" s="7" t="s">
        <v>39</v>
      </c>
      <c r="D26" s="17">
        <v>24590</v>
      </c>
      <c r="E26" s="7" t="s">
        <v>12</v>
      </c>
      <c r="F26" s="7" t="s">
        <v>61</v>
      </c>
      <c r="G26" s="7" t="s">
        <v>65</v>
      </c>
      <c r="H26" s="8" t="s">
        <v>35</v>
      </c>
      <c r="I26" s="8">
        <v>510745</v>
      </c>
      <c r="J26" s="7" t="s">
        <v>66</v>
      </c>
      <c r="K26" s="27">
        <v>24</v>
      </c>
      <c r="L26" s="27">
        <v>3</v>
      </c>
      <c r="M26" s="27">
        <v>12</v>
      </c>
      <c r="N26" s="18" t="s">
        <v>59</v>
      </c>
      <c r="O26" s="18">
        <v>44303</v>
      </c>
      <c r="P26" s="8" t="s">
        <v>60</v>
      </c>
      <c r="Q26" s="1">
        <f t="shared" si="0"/>
        <v>1</v>
      </c>
      <c r="R26" t="s">
        <v>699</v>
      </c>
      <c r="S26" s="260">
        <v>9</v>
      </c>
      <c r="T26" s="206"/>
      <c r="U26" s="206" t="s">
        <v>623</v>
      </c>
      <c r="V26" s="206" t="s">
        <v>755</v>
      </c>
    </row>
    <row r="27" spans="1:22" s="110" customFormat="1" hidden="1" x14ac:dyDescent="0.25">
      <c r="A27" s="106">
        <v>20</v>
      </c>
      <c r="B27" s="106"/>
      <c r="C27" s="107" t="s">
        <v>39</v>
      </c>
      <c r="D27" s="108">
        <v>23311</v>
      </c>
      <c r="E27" s="107" t="s">
        <v>6</v>
      </c>
      <c r="F27" s="107" t="s">
        <v>33</v>
      </c>
      <c r="G27" s="107" t="s">
        <v>34</v>
      </c>
      <c r="H27" s="46" t="s">
        <v>35</v>
      </c>
      <c r="I27" s="46">
        <v>436665</v>
      </c>
      <c r="J27" s="107" t="s">
        <v>43</v>
      </c>
      <c r="K27" s="109">
        <v>8</v>
      </c>
      <c r="L27" s="109">
        <v>1</v>
      </c>
      <c r="M27" s="109">
        <v>10</v>
      </c>
      <c r="N27" s="47" t="s">
        <v>67</v>
      </c>
      <c r="O27" s="47">
        <v>44305</v>
      </c>
      <c r="P27" s="46" t="s">
        <v>60</v>
      </c>
      <c r="Q27" s="106">
        <f t="shared" si="0"/>
        <v>1</v>
      </c>
      <c r="R27" s="110" t="s">
        <v>701</v>
      </c>
      <c r="S27" s="106"/>
    </row>
    <row r="28" spans="1:22" hidden="1" x14ac:dyDescent="0.25">
      <c r="A28" s="1">
        <v>21</v>
      </c>
      <c r="C28" s="7" t="s">
        <v>39</v>
      </c>
      <c r="D28" s="17">
        <v>30246</v>
      </c>
      <c r="E28" s="7" t="s">
        <v>12</v>
      </c>
      <c r="F28" s="7" t="s">
        <v>61</v>
      </c>
      <c r="G28" s="7" t="s">
        <v>68</v>
      </c>
      <c r="H28" s="8" t="s">
        <v>35</v>
      </c>
      <c r="I28" s="8">
        <v>389970</v>
      </c>
      <c r="J28" s="7" t="s">
        <v>69</v>
      </c>
      <c r="K28" s="27">
        <v>24</v>
      </c>
      <c r="L28" s="27">
        <v>3</v>
      </c>
      <c r="M28" s="27">
        <v>11</v>
      </c>
      <c r="N28" s="18" t="s">
        <v>67</v>
      </c>
      <c r="O28" s="18">
        <v>44307</v>
      </c>
      <c r="P28" s="8" t="s">
        <v>60</v>
      </c>
      <c r="Q28" s="1">
        <f t="shared" si="0"/>
        <v>1</v>
      </c>
      <c r="R28" s="16" t="s">
        <v>701</v>
      </c>
    </row>
    <row r="29" spans="1:22" x14ac:dyDescent="0.25">
      <c r="A29" s="1">
        <v>22</v>
      </c>
      <c r="B29" s="206">
        <v>50611561</v>
      </c>
      <c r="C29" s="7" t="s">
        <v>39</v>
      </c>
      <c r="D29" s="17">
        <v>24589</v>
      </c>
      <c r="E29" s="7" t="s">
        <v>12</v>
      </c>
      <c r="F29" s="7" t="s">
        <v>61</v>
      </c>
      <c r="G29" s="7" t="s">
        <v>65</v>
      </c>
      <c r="H29" s="8" t="s">
        <v>35</v>
      </c>
      <c r="I29" s="8">
        <v>354951</v>
      </c>
      <c r="J29" s="7" t="s">
        <v>63</v>
      </c>
      <c r="K29" s="27">
        <v>24</v>
      </c>
      <c r="L29" s="27">
        <v>3</v>
      </c>
      <c r="M29" s="27">
        <v>12</v>
      </c>
      <c r="N29" s="18" t="s">
        <v>70</v>
      </c>
      <c r="O29" s="18">
        <v>44317</v>
      </c>
      <c r="P29" s="8" t="s">
        <v>60</v>
      </c>
      <c r="Q29" s="1">
        <f t="shared" si="0"/>
        <v>1</v>
      </c>
      <c r="R29" s="211" t="s">
        <v>699</v>
      </c>
      <c r="S29" s="260">
        <v>3</v>
      </c>
      <c r="T29" s="206"/>
      <c r="U29" s="206" t="s">
        <v>623</v>
      </c>
      <c r="V29" s="206" t="s">
        <v>756</v>
      </c>
    </row>
    <row r="30" spans="1:22" x14ac:dyDescent="0.25">
      <c r="A30" s="1">
        <v>23</v>
      </c>
      <c r="B30" s="1">
        <v>50611866</v>
      </c>
      <c r="C30" s="7" t="s">
        <v>39</v>
      </c>
      <c r="D30" s="17">
        <v>25029</v>
      </c>
      <c r="E30" s="7" t="s">
        <v>12</v>
      </c>
      <c r="F30" s="7" t="s">
        <v>61</v>
      </c>
      <c r="G30" s="7" t="s">
        <v>71</v>
      </c>
      <c r="H30" s="8" t="s">
        <v>72</v>
      </c>
      <c r="I30" s="8">
        <v>353019</v>
      </c>
      <c r="J30" s="7" t="s">
        <v>73</v>
      </c>
      <c r="K30" s="27">
        <v>16</v>
      </c>
      <c r="L30" s="27">
        <v>2</v>
      </c>
      <c r="M30" s="27">
        <v>13</v>
      </c>
      <c r="N30" s="18" t="s">
        <v>70</v>
      </c>
      <c r="O30" s="18">
        <v>44320</v>
      </c>
      <c r="P30" s="8" t="s">
        <v>60</v>
      </c>
      <c r="Q30" s="1">
        <f t="shared" si="0"/>
        <v>1</v>
      </c>
      <c r="R30" s="259" t="s">
        <v>699</v>
      </c>
      <c r="S30" s="260">
        <v>8</v>
      </c>
      <c r="T30" s="252">
        <v>510745</v>
      </c>
      <c r="U30" s="206" t="s">
        <v>757</v>
      </c>
      <c r="V30" t="s">
        <v>758</v>
      </c>
    </row>
    <row r="31" spans="1:22" x14ac:dyDescent="0.25">
      <c r="A31" s="1">
        <v>24</v>
      </c>
      <c r="B31" s="8">
        <v>50610566</v>
      </c>
      <c r="C31" s="7" t="s">
        <v>39</v>
      </c>
      <c r="D31" s="17">
        <v>21480</v>
      </c>
      <c r="E31" s="7" t="s">
        <v>13</v>
      </c>
      <c r="F31" s="7" t="s">
        <v>74</v>
      </c>
      <c r="G31" s="7" t="s">
        <v>34</v>
      </c>
      <c r="H31" s="8" t="s">
        <v>72</v>
      </c>
      <c r="I31" s="8">
        <v>458886</v>
      </c>
      <c r="J31" s="7" t="s">
        <v>75</v>
      </c>
      <c r="K31" s="27">
        <v>8</v>
      </c>
      <c r="L31" s="27">
        <v>1</v>
      </c>
      <c r="M31" s="27">
        <v>16</v>
      </c>
      <c r="N31" s="18" t="s">
        <v>76</v>
      </c>
      <c r="O31" s="18">
        <v>44328</v>
      </c>
      <c r="P31" s="8" t="s">
        <v>77</v>
      </c>
      <c r="Q31" s="1">
        <f t="shared" si="0"/>
        <v>1</v>
      </c>
      <c r="R31" t="s">
        <v>699</v>
      </c>
      <c r="S31" s="1">
        <v>15</v>
      </c>
      <c r="T31" s="8">
        <v>458886</v>
      </c>
      <c r="U31" s="171" t="s">
        <v>617</v>
      </c>
      <c r="V31" s="172" t="s">
        <v>759</v>
      </c>
    </row>
    <row r="32" spans="1:22" hidden="1" x14ac:dyDescent="0.25">
      <c r="A32" s="1">
        <v>25</v>
      </c>
      <c r="B32" s="173"/>
      <c r="C32" s="7" t="s">
        <v>39</v>
      </c>
      <c r="D32" s="17">
        <v>24913</v>
      </c>
      <c r="E32" s="7" t="s">
        <v>7</v>
      </c>
      <c r="F32" s="7" t="s">
        <v>78</v>
      </c>
      <c r="G32" s="7" t="s">
        <v>79</v>
      </c>
      <c r="H32" s="8" t="s">
        <v>35</v>
      </c>
      <c r="I32" s="8">
        <v>354951</v>
      </c>
      <c r="J32" s="7" t="s">
        <v>63</v>
      </c>
      <c r="K32" s="27">
        <v>16</v>
      </c>
      <c r="L32" s="27">
        <v>2</v>
      </c>
      <c r="M32" s="27">
        <v>1</v>
      </c>
      <c r="N32" s="18" t="s">
        <v>80</v>
      </c>
      <c r="O32" s="18">
        <v>44328</v>
      </c>
      <c r="P32" s="8" t="s">
        <v>77</v>
      </c>
      <c r="Q32" s="1">
        <f>IF(O32&lt;=$D$3,1,0)</f>
        <v>1</v>
      </c>
      <c r="R32" s="16" t="s">
        <v>701</v>
      </c>
      <c r="T32" s="173"/>
      <c r="U32" s="174"/>
      <c r="V32" s="175" t="s">
        <v>760</v>
      </c>
    </row>
    <row r="33" spans="1:22" x14ac:dyDescent="0.25">
      <c r="A33" s="1">
        <v>26</v>
      </c>
      <c r="B33" s="8">
        <v>50609904</v>
      </c>
      <c r="C33" s="7" t="s">
        <v>39</v>
      </c>
      <c r="D33" s="17">
        <v>26163</v>
      </c>
      <c r="E33" s="7" t="s">
        <v>14</v>
      </c>
      <c r="F33" s="7" t="s">
        <v>81</v>
      </c>
      <c r="G33" s="7" t="s">
        <v>65</v>
      </c>
      <c r="H33" s="7" t="s">
        <v>35</v>
      </c>
      <c r="I33" s="7">
        <v>350060</v>
      </c>
      <c r="J33" s="7" t="s">
        <v>36</v>
      </c>
      <c r="K33" s="24">
        <v>24</v>
      </c>
      <c r="L33" s="24">
        <v>3</v>
      </c>
      <c r="M33" s="24">
        <v>12</v>
      </c>
      <c r="N33" s="18">
        <v>44329</v>
      </c>
      <c r="O33" s="18">
        <v>44331</v>
      </c>
      <c r="P33" s="8" t="s">
        <v>77</v>
      </c>
      <c r="Q33" s="1">
        <f t="shared" ref="Q33:Q34" si="1">IF(O33&lt;=$D$3,1,0)</f>
        <v>1</v>
      </c>
      <c r="R33" t="s">
        <v>699</v>
      </c>
      <c r="S33" s="1">
        <v>12</v>
      </c>
      <c r="T33" s="8">
        <v>245435</v>
      </c>
      <c r="U33" s="171" t="s">
        <v>485</v>
      </c>
      <c r="V33" s="172" t="s">
        <v>761</v>
      </c>
    </row>
    <row r="34" spans="1:22" x14ac:dyDescent="0.25">
      <c r="A34" s="1">
        <v>27</v>
      </c>
      <c r="B34" s="8">
        <v>50609905</v>
      </c>
      <c r="C34" s="7" t="s">
        <v>39</v>
      </c>
      <c r="D34" s="17">
        <v>27340</v>
      </c>
      <c r="E34" s="7" t="s">
        <v>14</v>
      </c>
      <c r="F34" s="7" t="s">
        <v>81</v>
      </c>
      <c r="G34" s="7" t="s">
        <v>40</v>
      </c>
      <c r="H34" s="7" t="s">
        <v>35</v>
      </c>
      <c r="I34" s="7">
        <v>419491</v>
      </c>
      <c r="J34" s="7" t="s">
        <v>82</v>
      </c>
      <c r="K34" s="24">
        <v>24</v>
      </c>
      <c r="L34" s="24">
        <v>3</v>
      </c>
      <c r="M34" s="24">
        <v>12</v>
      </c>
      <c r="N34" s="8" t="s">
        <v>83</v>
      </c>
      <c r="O34" s="18">
        <v>44331</v>
      </c>
      <c r="P34" s="8" t="s">
        <v>77</v>
      </c>
      <c r="Q34" s="1">
        <f t="shared" si="1"/>
        <v>1</v>
      </c>
      <c r="R34" t="s">
        <v>699</v>
      </c>
      <c r="S34" s="1">
        <v>11</v>
      </c>
      <c r="T34" s="8">
        <v>419491</v>
      </c>
      <c r="U34" s="171" t="s">
        <v>82</v>
      </c>
      <c r="V34" s="172"/>
    </row>
    <row r="35" spans="1:22" hidden="1" x14ac:dyDescent="0.25">
      <c r="A35" s="1">
        <v>28</v>
      </c>
      <c r="B35" s="173"/>
      <c r="C35" s="7" t="s">
        <v>39</v>
      </c>
      <c r="D35" s="17">
        <v>29663</v>
      </c>
      <c r="E35" s="7" t="s">
        <v>12</v>
      </c>
      <c r="F35" s="7" t="s">
        <v>61</v>
      </c>
      <c r="G35" s="7" t="s">
        <v>84</v>
      </c>
      <c r="H35" s="8" t="s">
        <v>72</v>
      </c>
      <c r="I35" s="8">
        <v>206830</v>
      </c>
      <c r="J35" s="7" t="s">
        <v>85</v>
      </c>
      <c r="K35" s="27">
        <v>16</v>
      </c>
      <c r="L35" s="27">
        <v>2</v>
      </c>
      <c r="M35" s="27">
        <v>8</v>
      </c>
      <c r="N35" s="18" t="s">
        <v>83</v>
      </c>
      <c r="O35" s="18">
        <v>44334</v>
      </c>
      <c r="P35" s="8" t="s">
        <v>77</v>
      </c>
      <c r="Q35" s="1">
        <f>IF(O35&lt;=$D$3,1,0)</f>
        <v>1</v>
      </c>
      <c r="R35" s="16" t="s">
        <v>701</v>
      </c>
      <c r="T35" s="173"/>
      <c r="U35" s="174"/>
      <c r="V35" s="175" t="s">
        <v>762</v>
      </c>
    </row>
    <row r="36" spans="1:22" hidden="1" x14ac:dyDescent="0.25">
      <c r="A36" s="1">
        <v>29</v>
      </c>
      <c r="B36" s="173"/>
      <c r="C36" s="7" t="s">
        <v>39</v>
      </c>
      <c r="D36" s="17">
        <v>24914</v>
      </c>
      <c r="E36" s="7" t="s">
        <v>7</v>
      </c>
      <c r="F36" s="7" t="s">
        <v>78</v>
      </c>
      <c r="G36" s="7" t="s">
        <v>79</v>
      </c>
      <c r="H36" s="8" t="s">
        <v>35</v>
      </c>
      <c r="I36" s="8">
        <v>354951</v>
      </c>
      <c r="J36" s="7" t="s">
        <v>63</v>
      </c>
      <c r="K36" s="27">
        <v>16</v>
      </c>
      <c r="L36" s="27">
        <v>2</v>
      </c>
      <c r="M36" s="27">
        <v>1</v>
      </c>
      <c r="N36" s="18" t="s">
        <v>86</v>
      </c>
      <c r="O36" s="18">
        <v>44335</v>
      </c>
      <c r="P36" s="8" t="s">
        <v>77</v>
      </c>
      <c r="Q36" s="1">
        <f>IF(O36&lt;=$D$3,1,0)</f>
        <v>1</v>
      </c>
      <c r="R36" s="16" t="s">
        <v>701</v>
      </c>
      <c r="T36" s="173"/>
      <c r="U36" s="174"/>
      <c r="V36" s="175" t="s">
        <v>760</v>
      </c>
    </row>
    <row r="37" spans="1:22" x14ac:dyDescent="0.25">
      <c r="A37" s="1">
        <v>30</v>
      </c>
      <c r="B37" s="8">
        <v>50609860</v>
      </c>
      <c r="C37" s="7" t="s">
        <v>39</v>
      </c>
      <c r="D37" s="17">
        <v>27334</v>
      </c>
      <c r="E37" s="7" t="s">
        <v>14</v>
      </c>
      <c r="F37" s="7" t="s">
        <v>81</v>
      </c>
      <c r="G37" s="7" t="s">
        <v>40</v>
      </c>
      <c r="H37" s="7" t="s">
        <v>35</v>
      </c>
      <c r="I37" s="7">
        <v>419491</v>
      </c>
      <c r="J37" s="7" t="s">
        <v>82</v>
      </c>
      <c r="K37" s="24">
        <v>24</v>
      </c>
      <c r="L37" s="24">
        <v>3</v>
      </c>
      <c r="M37" s="24">
        <v>10</v>
      </c>
      <c r="N37" s="8" t="s">
        <v>87</v>
      </c>
      <c r="O37" s="18">
        <v>44337</v>
      </c>
      <c r="P37" s="8" t="s">
        <v>77</v>
      </c>
      <c r="Q37" s="1">
        <f t="shared" ref="Q37:Q38" si="2">IF(O37&lt;=$D$3,1,0)</f>
        <v>1</v>
      </c>
      <c r="R37" t="s">
        <v>699</v>
      </c>
      <c r="S37" s="1">
        <v>10</v>
      </c>
      <c r="T37" s="8">
        <v>419491</v>
      </c>
      <c r="U37" s="171" t="s">
        <v>82</v>
      </c>
      <c r="V37" s="172"/>
    </row>
    <row r="38" spans="1:22" x14ac:dyDescent="0.25">
      <c r="A38" s="1">
        <v>31</v>
      </c>
      <c r="B38" s="8">
        <v>50611040</v>
      </c>
      <c r="C38" s="7" t="s">
        <v>39</v>
      </c>
      <c r="D38" s="17">
        <v>27826</v>
      </c>
      <c r="E38" s="7" t="s">
        <v>14</v>
      </c>
      <c r="F38" s="7" t="s">
        <v>88</v>
      </c>
      <c r="G38" s="7" t="s">
        <v>89</v>
      </c>
      <c r="H38" s="7" t="s">
        <v>35</v>
      </c>
      <c r="I38" s="7">
        <v>350060</v>
      </c>
      <c r="J38" s="7" t="s">
        <v>36</v>
      </c>
      <c r="K38" s="24">
        <v>16</v>
      </c>
      <c r="L38" s="24">
        <v>2</v>
      </c>
      <c r="M38" s="24">
        <v>13</v>
      </c>
      <c r="N38" s="8" t="s">
        <v>90</v>
      </c>
      <c r="O38" s="18">
        <v>44338</v>
      </c>
      <c r="P38" s="8" t="s">
        <v>77</v>
      </c>
      <c r="Q38" s="1">
        <f t="shared" si="2"/>
        <v>1</v>
      </c>
      <c r="R38" t="s">
        <v>699</v>
      </c>
      <c r="S38" s="1">
        <v>10</v>
      </c>
      <c r="T38" s="8">
        <v>510745</v>
      </c>
      <c r="U38" s="171" t="s">
        <v>623</v>
      </c>
      <c r="V38" s="172" t="s">
        <v>763</v>
      </c>
    </row>
    <row r="39" spans="1:22" x14ac:dyDescent="0.25">
      <c r="A39" s="1">
        <v>32</v>
      </c>
      <c r="B39" s="8">
        <v>50611043</v>
      </c>
      <c r="C39" s="7" t="s">
        <v>39</v>
      </c>
      <c r="D39" s="17">
        <v>21481</v>
      </c>
      <c r="E39" s="7" t="s">
        <v>13</v>
      </c>
      <c r="F39" s="7" t="s">
        <v>74</v>
      </c>
      <c r="G39" s="7" t="s">
        <v>34</v>
      </c>
      <c r="H39" s="8" t="s">
        <v>72</v>
      </c>
      <c r="I39" s="8">
        <v>458886</v>
      </c>
      <c r="J39" s="7" t="s">
        <v>75</v>
      </c>
      <c r="K39" s="27">
        <v>8</v>
      </c>
      <c r="L39" s="27">
        <v>1</v>
      </c>
      <c r="M39" s="27">
        <v>11</v>
      </c>
      <c r="N39" s="18" t="s">
        <v>91</v>
      </c>
      <c r="O39" s="18">
        <v>44340</v>
      </c>
      <c r="P39" s="8" t="s">
        <v>77</v>
      </c>
      <c r="Q39" s="1">
        <f t="shared" ref="Q39:Q102" si="3">IF(O39&lt;=$D$3,1,0)</f>
        <v>1</v>
      </c>
      <c r="R39" t="s">
        <v>699</v>
      </c>
      <c r="S39" s="1">
        <v>13</v>
      </c>
      <c r="T39" s="8">
        <v>458886</v>
      </c>
      <c r="U39" s="171" t="s">
        <v>617</v>
      </c>
      <c r="V39" s="172"/>
    </row>
    <row r="40" spans="1:22" x14ac:dyDescent="0.25">
      <c r="A40" s="1">
        <v>33</v>
      </c>
      <c r="B40" s="8">
        <v>50609864</v>
      </c>
      <c r="C40" s="7" t="s">
        <v>39</v>
      </c>
      <c r="D40" s="17">
        <v>27335</v>
      </c>
      <c r="E40" s="7" t="s">
        <v>14</v>
      </c>
      <c r="F40" s="7" t="s">
        <v>81</v>
      </c>
      <c r="G40" s="7" t="s">
        <v>40</v>
      </c>
      <c r="H40" s="7" t="s">
        <v>35</v>
      </c>
      <c r="I40" s="7">
        <v>419491</v>
      </c>
      <c r="J40" s="7" t="s">
        <v>82</v>
      </c>
      <c r="K40" s="24">
        <v>24</v>
      </c>
      <c r="L40" s="24">
        <v>3</v>
      </c>
      <c r="M40" s="24">
        <v>10</v>
      </c>
      <c r="N40" s="8" t="s">
        <v>92</v>
      </c>
      <c r="O40" s="18">
        <v>44340</v>
      </c>
      <c r="P40" s="8" t="s">
        <v>77</v>
      </c>
      <c r="Q40" s="1">
        <f t="shared" si="3"/>
        <v>1</v>
      </c>
      <c r="R40" t="s">
        <v>699</v>
      </c>
      <c r="S40" s="1">
        <v>6</v>
      </c>
      <c r="T40" s="8">
        <v>419491</v>
      </c>
      <c r="U40" s="171" t="s">
        <v>82</v>
      </c>
      <c r="V40" s="172" t="s">
        <v>764</v>
      </c>
    </row>
    <row r="41" spans="1:22" hidden="1" x14ac:dyDescent="0.25">
      <c r="A41" s="1">
        <v>34</v>
      </c>
      <c r="B41" s="173"/>
      <c r="C41" s="7" t="s">
        <v>39</v>
      </c>
      <c r="D41" s="17">
        <v>24750</v>
      </c>
      <c r="E41" s="7" t="s">
        <v>7</v>
      </c>
      <c r="F41" s="7" t="s">
        <v>78</v>
      </c>
      <c r="G41" s="7" t="s">
        <v>40</v>
      </c>
      <c r="H41" s="8" t="s">
        <v>35</v>
      </c>
      <c r="I41" s="8">
        <v>354951</v>
      </c>
      <c r="J41" s="7" t="s">
        <v>63</v>
      </c>
      <c r="K41" s="27">
        <v>24</v>
      </c>
      <c r="L41" s="27">
        <v>3</v>
      </c>
      <c r="M41" s="27">
        <v>5</v>
      </c>
      <c r="N41" s="18" t="s">
        <v>93</v>
      </c>
      <c r="O41" s="18">
        <v>44344</v>
      </c>
      <c r="P41" s="8" t="s">
        <v>77</v>
      </c>
      <c r="Q41" s="1">
        <f t="shared" si="3"/>
        <v>1</v>
      </c>
      <c r="R41" s="16" t="s">
        <v>701</v>
      </c>
      <c r="T41" s="173"/>
      <c r="U41" s="174"/>
      <c r="V41" s="175" t="s">
        <v>760</v>
      </c>
    </row>
    <row r="42" spans="1:22" x14ac:dyDescent="0.25">
      <c r="A42" s="1">
        <v>35</v>
      </c>
      <c r="B42" s="8">
        <v>50611090</v>
      </c>
      <c r="C42" s="7" t="s">
        <v>39</v>
      </c>
      <c r="D42" s="17">
        <v>28027</v>
      </c>
      <c r="E42" s="7" t="s">
        <v>14</v>
      </c>
      <c r="F42" s="7" t="s">
        <v>88</v>
      </c>
      <c r="G42" s="7" t="s">
        <v>94</v>
      </c>
      <c r="H42" s="7" t="s">
        <v>35</v>
      </c>
      <c r="I42" s="7" t="s">
        <v>95</v>
      </c>
      <c r="J42" s="7" t="s">
        <v>96</v>
      </c>
      <c r="K42" s="24">
        <v>16</v>
      </c>
      <c r="L42" s="24">
        <v>2</v>
      </c>
      <c r="M42" s="24">
        <v>8</v>
      </c>
      <c r="N42" s="8" t="s">
        <v>97</v>
      </c>
      <c r="O42" s="18">
        <v>44344</v>
      </c>
      <c r="P42" s="8" t="s">
        <v>77</v>
      </c>
      <c r="Q42" s="1">
        <f t="shared" si="3"/>
        <v>1</v>
      </c>
      <c r="R42" t="s">
        <v>699</v>
      </c>
      <c r="S42" s="1">
        <v>12</v>
      </c>
      <c r="T42" s="8">
        <v>510745</v>
      </c>
      <c r="U42" s="171" t="s">
        <v>623</v>
      </c>
      <c r="V42" s="172" t="s">
        <v>763</v>
      </c>
    </row>
    <row r="43" spans="1:22" x14ac:dyDescent="0.25">
      <c r="A43" s="1">
        <v>36</v>
      </c>
      <c r="B43" s="8">
        <v>50609944</v>
      </c>
      <c r="C43" s="7" t="s">
        <v>39</v>
      </c>
      <c r="D43" s="17">
        <v>27352</v>
      </c>
      <c r="E43" s="7" t="s">
        <v>14</v>
      </c>
      <c r="F43" s="7" t="s">
        <v>81</v>
      </c>
      <c r="G43" s="7" t="s">
        <v>40</v>
      </c>
      <c r="H43" s="7" t="s">
        <v>35</v>
      </c>
      <c r="I43" s="7">
        <v>489671</v>
      </c>
      <c r="J43" s="7" t="s">
        <v>98</v>
      </c>
      <c r="K43" s="24">
        <v>24</v>
      </c>
      <c r="L43" s="24">
        <v>3</v>
      </c>
      <c r="M43" s="24">
        <v>12</v>
      </c>
      <c r="N43" s="8" t="s">
        <v>97</v>
      </c>
      <c r="O43" s="18">
        <v>44345</v>
      </c>
      <c r="P43" s="8" t="s">
        <v>77</v>
      </c>
      <c r="Q43" s="1">
        <f t="shared" si="3"/>
        <v>1</v>
      </c>
      <c r="R43" t="s">
        <v>699</v>
      </c>
      <c r="S43" s="1">
        <v>9</v>
      </c>
      <c r="T43" s="8">
        <v>489671</v>
      </c>
      <c r="U43" s="171" t="s">
        <v>98</v>
      </c>
      <c r="V43" s="172"/>
    </row>
    <row r="44" spans="1:22" x14ac:dyDescent="0.25">
      <c r="A44" s="1">
        <v>37</v>
      </c>
      <c r="B44" s="8">
        <v>50611027</v>
      </c>
      <c r="C44" s="7" t="s">
        <v>39</v>
      </c>
      <c r="D44" s="17">
        <v>21482</v>
      </c>
      <c r="E44" s="7" t="s">
        <v>13</v>
      </c>
      <c r="F44" s="7" t="s">
        <v>74</v>
      </c>
      <c r="G44" s="7" t="s">
        <v>34</v>
      </c>
      <c r="H44" s="8" t="s">
        <v>72</v>
      </c>
      <c r="I44" s="8">
        <v>458886</v>
      </c>
      <c r="J44" s="7" t="s">
        <v>75</v>
      </c>
      <c r="K44" s="27">
        <v>8</v>
      </c>
      <c r="L44" s="27">
        <v>1</v>
      </c>
      <c r="M44" s="27">
        <v>20</v>
      </c>
      <c r="N44" s="18" t="s">
        <v>99</v>
      </c>
      <c r="O44" s="18">
        <v>44348</v>
      </c>
      <c r="P44" s="8" t="s">
        <v>100</v>
      </c>
      <c r="Q44" s="1">
        <f t="shared" si="3"/>
        <v>1</v>
      </c>
      <c r="R44" t="s">
        <v>699</v>
      </c>
      <c r="S44" s="1">
        <v>15</v>
      </c>
      <c r="T44" s="8">
        <v>458886</v>
      </c>
      <c r="U44" s="171" t="s">
        <v>617</v>
      </c>
      <c r="V44" s="172" t="s">
        <v>765</v>
      </c>
    </row>
    <row r="45" spans="1:22" x14ac:dyDescent="0.25">
      <c r="A45" s="1">
        <v>38</v>
      </c>
      <c r="B45" s="8">
        <v>50611096</v>
      </c>
      <c r="C45" s="7" t="s">
        <v>39</v>
      </c>
      <c r="D45" s="17">
        <v>21446</v>
      </c>
      <c r="E45" s="7" t="s">
        <v>13</v>
      </c>
      <c r="F45" s="7" t="s">
        <v>74</v>
      </c>
      <c r="G45" s="7" t="s">
        <v>89</v>
      </c>
      <c r="H45" s="8" t="s">
        <v>35</v>
      </c>
      <c r="I45" s="8">
        <v>354951</v>
      </c>
      <c r="J45" s="7" t="s">
        <v>63</v>
      </c>
      <c r="K45" s="27">
        <v>16</v>
      </c>
      <c r="L45" s="27">
        <v>2</v>
      </c>
      <c r="M45" s="27">
        <v>10</v>
      </c>
      <c r="N45" s="18" t="s">
        <v>101</v>
      </c>
      <c r="O45" s="18">
        <v>44350</v>
      </c>
      <c r="P45" s="8" t="s">
        <v>100</v>
      </c>
      <c r="Q45" s="1">
        <f t="shared" si="3"/>
        <v>1</v>
      </c>
      <c r="R45" t="s">
        <v>699</v>
      </c>
      <c r="S45" s="1">
        <v>8</v>
      </c>
      <c r="T45" s="8">
        <v>510745</v>
      </c>
      <c r="U45" s="171" t="s">
        <v>623</v>
      </c>
      <c r="V45" s="172"/>
    </row>
    <row r="46" spans="1:22" x14ac:dyDescent="0.25">
      <c r="A46" s="1">
        <v>39</v>
      </c>
      <c r="B46" s="8">
        <v>50611129</v>
      </c>
      <c r="C46" s="7" t="s">
        <v>39</v>
      </c>
      <c r="D46" s="17">
        <v>21447</v>
      </c>
      <c r="E46" s="7" t="s">
        <v>13</v>
      </c>
      <c r="F46" s="7" t="s">
        <v>74</v>
      </c>
      <c r="G46" s="7" t="s">
        <v>89</v>
      </c>
      <c r="H46" s="8" t="s">
        <v>72</v>
      </c>
      <c r="I46" s="8">
        <v>354951</v>
      </c>
      <c r="J46" s="7" t="s">
        <v>63</v>
      </c>
      <c r="K46" s="27">
        <v>16</v>
      </c>
      <c r="L46" s="27">
        <v>2</v>
      </c>
      <c r="M46" s="27">
        <v>22</v>
      </c>
      <c r="N46" s="18" t="s">
        <v>102</v>
      </c>
      <c r="O46" s="18">
        <v>44356</v>
      </c>
      <c r="P46" s="8" t="s">
        <v>100</v>
      </c>
      <c r="Q46" s="1">
        <f t="shared" si="3"/>
        <v>1</v>
      </c>
      <c r="R46" t="s">
        <v>699</v>
      </c>
      <c r="S46" s="1">
        <v>12</v>
      </c>
      <c r="T46" s="8">
        <v>510745</v>
      </c>
      <c r="U46" s="171" t="s">
        <v>623</v>
      </c>
      <c r="V46" s="172" t="s">
        <v>766</v>
      </c>
    </row>
    <row r="47" spans="1:22" x14ac:dyDescent="0.25">
      <c r="A47" s="1">
        <v>40</v>
      </c>
      <c r="B47" s="173">
        <v>50611131</v>
      </c>
      <c r="C47" s="7" t="s">
        <v>39</v>
      </c>
      <c r="D47" s="17">
        <v>28026</v>
      </c>
      <c r="E47" s="7" t="s">
        <v>14</v>
      </c>
      <c r="F47" s="7" t="s">
        <v>88</v>
      </c>
      <c r="G47" s="7" t="s">
        <v>94</v>
      </c>
      <c r="H47" s="7" t="s">
        <v>35</v>
      </c>
      <c r="I47" s="7" t="s">
        <v>95</v>
      </c>
      <c r="J47" s="7" t="s">
        <v>96</v>
      </c>
      <c r="K47" s="24">
        <v>16</v>
      </c>
      <c r="L47" s="24">
        <v>2</v>
      </c>
      <c r="M47" s="24">
        <v>7</v>
      </c>
      <c r="N47" s="8" t="s">
        <v>102</v>
      </c>
      <c r="O47" s="18">
        <v>44356</v>
      </c>
      <c r="P47" s="8" t="s">
        <v>100</v>
      </c>
      <c r="Q47" s="1">
        <f t="shared" si="3"/>
        <v>1</v>
      </c>
      <c r="R47" s="211" t="s">
        <v>699</v>
      </c>
      <c r="S47" s="1">
        <v>13</v>
      </c>
      <c r="T47" s="173"/>
      <c r="U47" s="177" t="s">
        <v>676</v>
      </c>
      <c r="V47" s="175" t="s">
        <v>767</v>
      </c>
    </row>
    <row r="48" spans="1:22" x14ac:dyDescent="0.25">
      <c r="A48" s="1">
        <v>41</v>
      </c>
      <c r="B48" s="8">
        <v>50611706</v>
      </c>
      <c r="C48" s="7" t="s">
        <v>39</v>
      </c>
      <c r="D48" s="17">
        <v>22169</v>
      </c>
      <c r="E48" s="7" t="s">
        <v>12</v>
      </c>
      <c r="F48" s="7" t="s">
        <v>61</v>
      </c>
      <c r="G48" s="7" t="s">
        <v>62</v>
      </c>
      <c r="H48" s="8" t="s">
        <v>35</v>
      </c>
      <c r="I48" s="8">
        <v>389970</v>
      </c>
      <c r="J48" s="7" t="s">
        <v>69</v>
      </c>
      <c r="K48" s="27">
        <v>24</v>
      </c>
      <c r="L48" s="27">
        <v>3</v>
      </c>
      <c r="M48" s="27">
        <v>12</v>
      </c>
      <c r="N48" s="18" t="s">
        <v>103</v>
      </c>
      <c r="O48" s="18">
        <v>44358</v>
      </c>
      <c r="P48" s="8" t="s">
        <v>100</v>
      </c>
      <c r="Q48" s="1">
        <f t="shared" si="3"/>
        <v>1</v>
      </c>
      <c r="R48" t="s">
        <v>699</v>
      </c>
      <c r="S48" s="1">
        <v>7</v>
      </c>
      <c r="T48" s="8">
        <v>354951</v>
      </c>
      <c r="U48" s="171" t="s">
        <v>63</v>
      </c>
      <c r="V48" s="172" t="s">
        <v>768</v>
      </c>
    </row>
    <row r="49" spans="1:22" x14ac:dyDescent="0.25">
      <c r="A49" s="1">
        <v>42</v>
      </c>
      <c r="B49" s="8">
        <v>50611710</v>
      </c>
      <c r="C49" s="7" t="s">
        <v>39</v>
      </c>
      <c r="D49" s="17">
        <v>24591</v>
      </c>
      <c r="E49" s="7" t="s">
        <v>12</v>
      </c>
      <c r="F49" s="7" t="s">
        <v>61</v>
      </c>
      <c r="G49" s="7" t="s">
        <v>65</v>
      </c>
      <c r="H49" s="8" t="s">
        <v>35</v>
      </c>
      <c r="I49" s="8">
        <v>354951</v>
      </c>
      <c r="J49" s="7" t="s">
        <v>63</v>
      </c>
      <c r="K49" s="27">
        <v>24</v>
      </c>
      <c r="L49" s="27">
        <v>3</v>
      </c>
      <c r="M49" s="27">
        <v>12</v>
      </c>
      <c r="N49" s="18" t="s">
        <v>104</v>
      </c>
      <c r="O49" s="18">
        <v>44359</v>
      </c>
      <c r="P49" s="8" t="s">
        <v>100</v>
      </c>
      <c r="Q49" s="1">
        <f t="shared" si="3"/>
        <v>1</v>
      </c>
      <c r="R49" t="s">
        <v>699</v>
      </c>
      <c r="S49" s="1">
        <v>8</v>
      </c>
      <c r="T49" s="8">
        <v>354951</v>
      </c>
      <c r="U49" s="171" t="s">
        <v>63</v>
      </c>
      <c r="V49" s="172"/>
    </row>
    <row r="50" spans="1:22" x14ac:dyDescent="0.25">
      <c r="A50" s="1">
        <v>43</v>
      </c>
      <c r="B50" s="8">
        <v>50611711</v>
      </c>
      <c r="C50" s="7" t="s">
        <v>39</v>
      </c>
      <c r="D50" s="17">
        <v>29681</v>
      </c>
      <c r="E50" s="7" t="s">
        <v>12</v>
      </c>
      <c r="F50" s="7" t="s">
        <v>61</v>
      </c>
      <c r="G50" s="7" t="s">
        <v>105</v>
      </c>
      <c r="H50" s="8" t="s">
        <v>72</v>
      </c>
      <c r="I50" s="8">
        <v>350060</v>
      </c>
      <c r="J50" s="7" t="s">
        <v>36</v>
      </c>
      <c r="K50" s="27">
        <v>16</v>
      </c>
      <c r="L50" s="27">
        <v>2</v>
      </c>
      <c r="M50" s="27">
        <v>14</v>
      </c>
      <c r="N50" s="18" t="s">
        <v>104</v>
      </c>
      <c r="O50" s="18">
        <v>44363</v>
      </c>
      <c r="P50" s="8" t="s">
        <v>100</v>
      </c>
      <c r="Q50" s="1">
        <f t="shared" si="3"/>
        <v>1</v>
      </c>
      <c r="R50" t="s">
        <v>699</v>
      </c>
      <c r="S50" s="1">
        <v>5</v>
      </c>
      <c r="T50" s="8">
        <v>458886</v>
      </c>
      <c r="U50" s="171" t="s">
        <v>617</v>
      </c>
      <c r="V50" s="172"/>
    </row>
    <row r="51" spans="1:22" hidden="1" x14ac:dyDescent="0.25">
      <c r="A51" s="1">
        <v>44</v>
      </c>
      <c r="B51" s="173"/>
      <c r="C51" s="7" t="s">
        <v>39</v>
      </c>
      <c r="D51" s="17">
        <v>24916</v>
      </c>
      <c r="E51" s="7" t="s">
        <v>7</v>
      </c>
      <c r="F51" s="7" t="s">
        <v>78</v>
      </c>
      <c r="G51" s="7" t="s">
        <v>79</v>
      </c>
      <c r="H51" s="8" t="s">
        <v>35</v>
      </c>
      <c r="I51" s="8">
        <v>354951</v>
      </c>
      <c r="J51" s="7" t="s">
        <v>63</v>
      </c>
      <c r="K51" s="27">
        <v>16</v>
      </c>
      <c r="L51" s="27">
        <v>2</v>
      </c>
      <c r="M51" s="27">
        <v>7</v>
      </c>
      <c r="N51" s="18" t="s">
        <v>106</v>
      </c>
      <c r="O51" s="18">
        <v>44365</v>
      </c>
      <c r="P51" s="8" t="s">
        <v>100</v>
      </c>
      <c r="Q51" s="1">
        <f t="shared" si="3"/>
        <v>1</v>
      </c>
      <c r="R51" s="16" t="s">
        <v>701</v>
      </c>
      <c r="T51" s="173"/>
      <c r="U51" s="174"/>
      <c r="V51" s="175" t="s">
        <v>760</v>
      </c>
    </row>
    <row r="52" spans="1:22" x14ac:dyDescent="0.25">
      <c r="A52" s="1">
        <v>45</v>
      </c>
      <c r="B52" s="8">
        <v>50609755</v>
      </c>
      <c r="C52" s="7" t="s">
        <v>39</v>
      </c>
      <c r="D52" s="17">
        <v>27336</v>
      </c>
      <c r="E52" s="7" t="s">
        <v>14</v>
      </c>
      <c r="F52" s="7" t="s">
        <v>81</v>
      </c>
      <c r="G52" s="7" t="s">
        <v>40</v>
      </c>
      <c r="H52" s="7" t="s">
        <v>35</v>
      </c>
      <c r="I52" s="7">
        <v>419491</v>
      </c>
      <c r="J52" s="7" t="s">
        <v>82</v>
      </c>
      <c r="K52" s="24">
        <v>24</v>
      </c>
      <c r="L52" s="24">
        <v>3</v>
      </c>
      <c r="M52" s="24">
        <v>7</v>
      </c>
      <c r="N52" s="8" t="s">
        <v>107</v>
      </c>
      <c r="O52" s="18">
        <v>44365</v>
      </c>
      <c r="P52" s="8" t="s">
        <v>100</v>
      </c>
      <c r="Q52" s="1">
        <f t="shared" si="3"/>
        <v>1</v>
      </c>
      <c r="R52" t="s">
        <v>699</v>
      </c>
      <c r="S52" s="1">
        <v>7</v>
      </c>
      <c r="T52" s="8">
        <v>419491</v>
      </c>
      <c r="U52" s="171" t="s">
        <v>82</v>
      </c>
      <c r="V52" s="50"/>
    </row>
    <row r="53" spans="1:22" x14ac:dyDescent="0.25">
      <c r="A53" s="1">
        <v>46</v>
      </c>
      <c r="B53" s="8"/>
      <c r="C53" s="7" t="s">
        <v>39</v>
      </c>
      <c r="D53" s="17">
        <v>21483</v>
      </c>
      <c r="E53" s="7" t="s">
        <v>13</v>
      </c>
      <c r="F53" s="7" t="s">
        <v>74</v>
      </c>
      <c r="G53" s="7" t="s">
        <v>34</v>
      </c>
      <c r="H53" s="8" t="s">
        <v>72</v>
      </c>
      <c r="I53" s="8">
        <v>458886</v>
      </c>
      <c r="J53" s="7" t="s">
        <v>75</v>
      </c>
      <c r="K53" s="27">
        <v>8</v>
      </c>
      <c r="L53" s="27">
        <v>1</v>
      </c>
      <c r="M53" s="27">
        <v>13</v>
      </c>
      <c r="N53" s="18" t="s">
        <v>108</v>
      </c>
      <c r="O53" s="18">
        <v>44368</v>
      </c>
      <c r="P53" s="8" t="s">
        <v>100</v>
      </c>
      <c r="Q53" s="1">
        <f t="shared" si="3"/>
        <v>1</v>
      </c>
      <c r="R53" t="s">
        <v>699</v>
      </c>
      <c r="S53" s="1">
        <v>15</v>
      </c>
      <c r="T53" s="8">
        <v>458886</v>
      </c>
      <c r="U53" s="171" t="s">
        <v>617</v>
      </c>
      <c r="V53" s="50"/>
    </row>
    <row r="54" spans="1:22" x14ac:dyDescent="0.25">
      <c r="A54" s="1">
        <v>47</v>
      </c>
      <c r="B54" s="8">
        <v>50609759</v>
      </c>
      <c r="C54" s="7" t="s">
        <v>39</v>
      </c>
      <c r="D54" s="17">
        <v>27337</v>
      </c>
      <c r="E54" s="7" t="s">
        <v>14</v>
      </c>
      <c r="F54" s="7" t="s">
        <v>81</v>
      </c>
      <c r="G54" s="7" t="s">
        <v>40</v>
      </c>
      <c r="H54" s="7" t="s">
        <v>35</v>
      </c>
      <c r="I54" s="7">
        <v>419491</v>
      </c>
      <c r="J54" s="7" t="s">
        <v>82</v>
      </c>
      <c r="K54" s="24">
        <v>24</v>
      </c>
      <c r="L54" s="24">
        <v>3</v>
      </c>
      <c r="M54" s="24">
        <v>7</v>
      </c>
      <c r="N54" s="8" t="s">
        <v>109</v>
      </c>
      <c r="O54" s="18">
        <v>44368</v>
      </c>
      <c r="P54" s="8" t="s">
        <v>100</v>
      </c>
      <c r="Q54" s="1">
        <f t="shared" si="3"/>
        <v>1</v>
      </c>
      <c r="R54" t="s">
        <v>699</v>
      </c>
      <c r="S54" s="1">
        <v>7</v>
      </c>
      <c r="T54" s="8">
        <v>419491</v>
      </c>
      <c r="U54" s="171" t="s">
        <v>82</v>
      </c>
      <c r="V54" s="50"/>
    </row>
    <row r="55" spans="1:22" x14ac:dyDescent="0.25">
      <c r="A55" s="1">
        <v>48</v>
      </c>
      <c r="B55" s="1">
        <v>50611767</v>
      </c>
      <c r="C55" s="7" t="s">
        <v>39</v>
      </c>
      <c r="D55" s="17">
        <v>24592</v>
      </c>
      <c r="E55" s="7" t="s">
        <v>12</v>
      </c>
      <c r="F55" s="7" t="s">
        <v>61</v>
      </c>
      <c r="G55" s="7" t="s">
        <v>65</v>
      </c>
      <c r="H55" s="8" t="s">
        <v>35</v>
      </c>
      <c r="I55" s="8">
        <v>354951</v>
      </c>
      <c r="J55" s="7" t="s">
        <v>63</v>
      </c>
      <c r="K55" s="27">
        <v>24</v>
      </c>
      <c r="L55" s="27">
        <v>3</v>
      </c>
      <c r="M55" s="27">
        <v>12</v>
      </c>
      <c r="N55" s="18" t="s">
        <v>110</v>
      </c>
      <c r="O55" s="18">
        <v>44373</v>
      </c>
      <c r="P55" s="8" t="s">
        <v>100</v>
      </c>
      <c r="Q55" s="1">
        <f t="shared" si="3"/>
        <v>1</v>
      </c>
      <c r="R55" t="s">
        <v>699</v>
      </c>
      <c r="S55" s="1">
        <v>12</v>
      </c>
      <c r="T55" s="8">
        <v>510745</v>
      </c>
      <c r="U55" s="171" t="s">
        <v>623</v>
      </c>
    </row>
    <row r="56" spans="1:22" x14ac:dyDescent="0.25">
      <c r="A56" s="1">
        <v>49</v>
      </c>
      <c r="B56" s="1">
        <v>50609745</v>
      </c>
      <c r="C56" s="7" t="s">
        <v>39</v>
      </c>
      <c r="D56" s="17">
        <v>25933</v>
      </c>
      <c r="E56" s="7" t="s">
        <v>14</v>
      </c>
      <c r="F56" s="7" t="s">
        <v>81</v>
      </c>
      <c r="G56" s="7" t="s">
        <v>68</v>
      </c>
      <c r="H56" s="7" t="s">
        <v>35</v>
      </c>
      <c r="I56" s="7">
        <v>489671</v>
      </c>
      <c r="J56" s="7" t="s">
        <v>98</v>
      </c>
      <c r="K56" s="24">
        <v>24</v>
      </c>
      <c r="L56" s="24">
        <v>3</v>
      </c>
      <c r="M56" s="24">
        <v>5</v>
      </c>
      <c r="N56" s="8" t="s">
        <v>110</v>
      </c>
      <c r="O56" s="18">
        <v>44373</v>
      </c>
      <c r="P56" s="8" t="s">
        <v>100</v>
      </c>
      <c r="Q56" s="1">
        <f t="shared" si="3"/>
        <v>1</v>
      </c>
      <c r="R56" t="s">
        <v>699</v>
      </c>
      <c r="S56" s="1">
        <v>5</v>
      </c>
      <c r="T56" s="8">
        <v>489671</v>
      </c>
      <c r="U56" s="171" t="s">
        <v>98</v>
      </c>
    </row>
    <row r="57" spans="1:22" x14ac:dyDescent="0.25">
      <c r="A57" s="1">
        <v>50</v>
      </c>
      <c r="B57" s="1">
        <v>50609749</v>
      </c>
      <c r="C57" s="7" t="s">
        <v>39</v>
      </c>
      <c r="D57" s="17">
        <v>26157</v>
      </c>
      <c r="E57" s="7" t="s">
        <v>14</v>
      </c>
      <c r="F57" s="7" t="s">
        <v>81</v>
      </c>
      <c r="G57" s="7" t="s">
        <v>65</v>
      </c>
      <c r="H57" s="7" t="s">
        <v>35</v>
      </c>
      <c r="I57" s="7">
        <v>411339</v>
      </c>
      <c r="J57" s="7" t="s">
        <v>112</v>
      </c>
      <c r="K57" s="24">
        <v>24</v>
      </c>
      <c r="L57" s="24">
        <v>3</v>
      </c>
      <c r="M57" s="24">
        <v>12</v>
      </c>
      <c r="N57" s="8" t="s">
        <v>113</v>
      </c>
      <c r="O57" s="18">
        <v>44374</v>
      </c>
      <c r="P57" s="8" t="s">
        <v>100</v>
      </c>
      <c r="Q57" s="1">
        <f t="shared" si="3"/>
        <v>1</v>
      </c>
      <c r="R57" t="s">
        <v>699</v>
      </c>
      <c r="S57" s="1">
        <v>12</v>
      </c>
      <c r="T57" s="8">
        <v>411339</v>
      </c>
      <c r="U57" s="171" t="s">
        <v>112</v>
      </c>
    </row>
    <row r="58" spans="1:22" x14ac:dyDescent="0.25">
      <c r="A58" s="1">
        <v>51</v>
      </c>
      <c r="B58" s="1">
        <v>50610904</v>
      </c>
      <c r="C58" s="7" t="s">
        <v>39</v>
      </c>
      <c r="D58" s="17">
        <v>21432</v>
      </c>
      <c r="E58" s="7" t="s">
        <v>13</v>
      </c>
      <c r="F58" s="7" t="s">
        <v>74</v>
      </c>
      <c r="G58" s="7" t="s">
        <v>79</v>
      </c>
      <c r="H58" s="8" t="s">
        <v>35</v>
      </c>
      <c r="I58" s="8">
        <v>389970</v>
      </c>
      <c r="J58" s="7" t="s">
        <v>69</v>
      </c>
      <c r="K58" s="27">
        <v>16</v>
      </c>
      <c r="L58" s="27">
        <v>2</v>
      </c>
      <c r="M58" s="27">
        <v>19</v>
      </c>
      <c r="N58" s="18" t="s">
        <v>115</v>
      </c>
      <c r="O58" s="18">
        <v>44377</v>
      </c>
      <c r="P58" s="8" t="s">
        <v>100</v>
      </c>
      <c r="Q58" s="1">
        <f t="shared" si="3"/>
        <v>1</v>
      </c>
      <c r="R58" t="s">
        <v>699</v>
      </c>
      <c r="S58" s="1">
        <v>12</v>
      </c>
      <c r="T58" s="8">
        <v>510745</v>
      </c>
      <c r="U58" s="171" t="s">
        <v>623</v>
      </c>
    </row>
    <row r="59" spans="1:22" x14ac:dyDescent="0.25">
      <c r="A59" s="1">
        <v>52</v>
      </c>
      <c r="B59" s="8">
        <v>50609831</v>
      </c>
      <c r="C59" s="7" t="s">
        <v>39</v>
      </c>
      <c r="D59" s="17">
        <v>24918</v>
      </c>
      <c r="E59" s="7" t="s">
        <v>7</v>
      </c>
      <c r="F59" s="7" t="s">
        <v>78</v>
      </c>
      <c r="G59" s="7" t="s">
        <v>79</v>
      </c>
      <c r="H59" s="8" t="s">
        <v>35</v>
      </c>
      <c r="I59" s="8">
        <v>354951</v>
      </c>
      <c r="J59" s="7" t="s">
        <v>63</v>
      </c>
      <c r="K59" s="27">
        <v>16</v>
      </c>
      <c r="L59" s="27">
        <v>2</v>
      </c>
      <c r="M59" s="27">
        <v>5</v>
      </c>
      <c r="N59" s="18" t="s">
        <v>117</v>
      </c>
      <c r="O59" s="18">
        <v>44380</v>
      </c>
      <c r="P59" s="8" t="s">
        <v>119</v>
      </c>
      <c r="Q59" s="1">
        <f t="shared" si="3"/>
        <v>1</v>
      </c>
      <c r="R59" t="s">
        <v>699</v>
      </c>
      <c r="S59" s="1">
        <v>5</v>
      </c>
      <c r="T59" s="8">
        <v>354951</v>
      </c>
      <c r="U59" s="171" t="s">
        <v>63</v>
      </c>
    </row>
    <row r="60" spans="1:22" hidden="1" x14ac:dyDescent="0.25">
      <c r="A60" s="1">
        <v>53</v>
      </c>
      <c r="B60" s="8"/>
      <c r="C60" s="7" t="s">
        <v>39</v>
      </c>
      <c r="D60" s="17">
        <v>24923</v>
      </c>
      <c r="E60" s="7" t="s">
        <v>7</v>
      </c>
      <c r="F60" s="7" t="s">
        <v>78</v>
      </c>
      <c r="G60" s="7" t="s">
        <v>79</v>
      </c>
      <c r="H60" s="8" t="s">
        <v>35</v>
      </c>
      <c r="I60" s="8">
        <v>354951</v>
      </c>
      <c r="J60" s="7" t="s">
        <v>63</v>
      </c>
      <c r="K60" s="27">
        <v>16</v>
      </c>
      <c r="L60" s="27">
        <v>2</v>
      </c>
      <c r="M60" s="27">
        <v>1</v>
      </c>
      <c r="N60" s="18" t="s">
        <v>120</v>
      </c>
      <c r="O60" s="18">
        <v>44386</v>
      </c>
      <c r="P60" s="8" t="s">
        <v>119</v>
      </c>
      <c r="Q60" s="1">
        <f t="shared" si="3"/>
        <v>1</v>
      </c>
      <c r="R60" s="16" t="s">
        <v>701</v>
      </c>
      <c r="U60" s="50"/>
    </row>
    <row r="61" spans="1:22" x14ac:dyDescent="0.25">
      <c r="A61" s="1">
        <v>54</v>
      </c>
      <c r="B61" s="8">
        <v>50609798</v>
      </c>
      <c r="C61" s="7" t="s">
        <v>39</v>
      </c>
      <c r="D61" s="17">
        <v>27342</v>
      </c>
      <c r="E61" s="7" t="s">
        <v>14</v>
      </c>
      <c r="F61" s="7" t="s">
        <v>81</v>
      </c>
      <c r="G61" s="7" t="s">
        <v>40</v>
      </c>
      <c r="H61" s="7" t="s">
        <v>35</v>
      </c>
      <c r="I61" s="7">
        <v>316048</v>
      </c>
      <c r="J61" s="7" t="s">
        <v>122</v>
      </c>
      <c r="K61" s="24">
        <v>24</v>
      </c>
      <c r="L61" s="24">
        <v>3</v>
      </c>
      <c r="M61" s="24">
        <v>12</v>
      </c>
      <c r="N61" s="8" t="s">
        <v>123</v>
      </c>
      <c r="O61" s="18">
        <v>44386</v>
      </c>
      <c r="P61" s="8" t="s">
        <v>119</v>
      </c>
      <c r="Q61" s="1">
        <f t="shared" si="3"/>
        <v>1</v>
      </c>
      <c r="R61" t="s">
        <v>699</v>
      </c>
      <c r="S61" s="1">
        <v>11</v>
      </c>
      <c r="T61" s="8">
        <v>316048</v>
      </c>
      <c r="U61" s="171" t="s">
        <v>122</v>
      </c>
    </row>
    <row r="62" spans="1:22" hidden="1" x14ac:dyDescent="0.25">
      <c r="A62" s="1">
        <v>55</v>
      </c>
      <c r="B62" s="8"/>
      <c r="C62" s="7" t="s">
        <v>39</v>
      </c>
      <c r="D62" s="17">
        <v>24070</v>
      </c>
      <c r="E62" s="7" t="s">
        <v>6</v>
      </c>
      <c r="F62" s="7" t="s">
        <v>33</v>
      </c>
      <c r="G62" s="7" t="s">
        <v>65</v>
      </c>
      <c r="H62" s="8" t="s">
        <v>35</v>
      </c>
      <c r="I62" s="8">
        <v>350060</v>
      </c>
      <c r="J62" s="7" t="s">
        <v>36</v>
      </c>
      <c r="K62" s="27">
        <v>24</v>
      </c>
      <c r="L62" s="27">
        <v>3</v>
      </c>
      <c r="M62" s="27">
        <v>9</v>
      </c>
      <c r="N62" s="18" t="s">
        <v>120</v>
      </c>
      <c r="O62" s="18">
        <v>44387</v>
      </c>
      <c r="P62" s="8" t="s">
        <v>119</v>
      </c>
      <c r="Q62" s="1">
        <f t="shared" si="3"/>
        <v>1</v>
      </c>
      <c r="R62" s="16" t="s">
        <v>701</v>
      </c>
      <c r="U62" s="50"/>
    </row>
    <row r="63" spans="1:22" x14ac:dyDescent="0.25">
      <c r="A63" s="1">
        <v>56</v>
      </c>
      <c r="B63" s="8">
        <v>50609802</v>
      </c>
      <c r="C63" s="7" t="s">
        <v>39</v>
      </c>
      <c r="D63" s="17">
        <v>26158</v>
      </c>
      <c r="E63" s="7" t="s">
        <v>14</v>
      </c>
      <c r="F63" s="7" t="s">
        <v>81</v>
      </c>
      <c r="G63" s="7" t="s">
        <v>65</v>
      </c>
      <c r="H63" s="7" t="s">
        <v>35</v>
      </c>
      <c r="I63" s="7">
        <v>329117</v>
      </c>
      <c r="J63" s="7" t="s">
        <v>125</v>
      </c>
      <c r="K63" s="24">
        <v>24</v>
      </c>
      <c r="L63" s="24">
        <v>3</v>
      </c>
      <c r="M63" s="24">
        <v>12</v>
      </c>
      <c r="N63" s="8" t="s">
        <v>120</v>
      </c>
      <c r="O63" s="18">
        <v>44387</v>
      </c>
      <c r="P63" s="8" t="s">
        <v>119</v>
      </c>
      <c r="Q63" s="1">
        <f t="shared" si="3"/>
        <v>1</v>
      </c>
      <c r="R63" t="s">
        <v>699</v>
      </c>
      <c r="S63" s="1">
        <v>12</v>
      </c>
      <c r="T63" s="8">
        <v>329117</v>
      </c>
      <c r="U63" s="171" t="s">
        <v>656</v>
      </c>
    </row>
    <row r="64" spans="1:22" x14ac:dyDescent="0.25">
      <c r="A64" s="1">
        <v>57</v>
      </c>
      <c r="B64" s="8">
        <v>50610865</v>
      </c>
      <c r="C64" s="7" t="s">
        <v>39</v>
      </c>
      <c r="D64" s="17">
        <v>21484</v>
      </c>
      <c r="E64" s="7" t="s">
        <v>13</v>
      </c>
      <c r="F64" s="7" t="s">
        <v>74</v>
      </c>
      <c r="G64" s="7" t="s">
        <v>34</v>
      </c>
      <c r="H64" s="8" t="s">
        <v>72</v>
      </c>
      <c r="I64" s="8">
        <v>458886</v>
      </c>
      <c r="J64" s="7" t="s">
        <v>75</v>
      </c>
      <c r="K64" s="27">
        <v>8</v>
      </c>
      <c r="L64" s="27">
        <v>1</v>
      </c>
      <c r="M64" s="27">
        <v>15</v>
      </c>
      <c r="N64" s="18" t="s">
        <v>126</v>
      </c>
      <c r="O64" s="18">
        <v>44389</v>
      </c>
      <c r="P64" s="8" t="s">
        <v>119</v>
      </c>
      <c r="Q64" s="1">
        <f t="shared" si="3"/>
        <v>1</v>
      </c>
      <c r="R64" t="s">
        <v>699</v>
      </c>
      <c r="S64" s="1">
        <v>15</v>
      </c>
      <c r="T64" s="8">
        <v>458886</v>
      </c>
      <c r="U64" s="171" t="s">
        <v>617</v>
      </c>
      <c r="V64" s="172" t="s">
        <v>769</v>
      </c>
    </row>
    <row r="65" spans="1:22" x14ac:dyDescent="0.25">
      <c r="A65" s="1">
        <v>58</v>
      </c>
      <c r="B65" s="8">
        <v>50609807</v>
      </c>
      <c r="C65" s="7" t="s">
        <v>39</v>
      </c>
      <c r="D65" s="17">
        <v>27343</v>
      </c>
      <c r="E65" s="7" t="s">
        <v>14</v>
      </c>
      <c r="F65" s="7" t="s">
        <v>81</v>
      </c>
      <c r="G65" s="7" t="s">
        <v>40</v>
      </c>
      <c r="H65" s="7" t="s">
        <v>35</v>
      </c>
      <c r="I65" s="7">
        <v>316048</v>
      </c>
      <c r="J65" s="7" t="s">
        <v>122</v>
      </c>
      <c r="K65" s="24">
        <v>24</v>
      </c>
      <c r="L65" s="24">
        <v>3</v>
      </c>
      <c r="M65" s="24">
        <v>12</v>
      </c>
      <c r="N65" s="8" t="s">
        <v>124</v>
      </c>
      <c r="O65" s="18">
        <v>44389</v>
      </c>
      <c r="P65" s="8" t="s">
        <v>119</v>
      </c>
      <c r="Q65" s="1">
        <f t="shared" si="3"/>
        <v>1</v>
      </c>
      <c r="R65" t="s">
        <v>699</v>
      </c>
      <c r="S65" s="1">
        <v>12</v>
      </c>
      <c r="T65" s="8">
        <v>316048</v>
      </c>
      <c r="U65" s="171" t="s">
        <v>122</v>
      </c>
      <c r="V65" s="172"/>
    </row>
    <row r="66" spans="1:22" x14ac:dyDescent="0.25">
      <c r="A66" s="1">
        <v>59</v>
      </c>
      <c r="B66" s="252">
        <v>50611009</v>
      </c>
      <c r="C66" s="7" t="s">
        <v>39</v>
      </c>
      <c r="D66" s="17">
        <v>30264</v>
      </c>
      <c r="E66" s="7" t="s">
        <v>12</v>
      </c>
      <c r="F66" s="7" t="s">
        <v>61</v>
      </c>
      <c r="G66" s="7" t="s">
        <v>127</v>
      </c>
      <c r="H66" s="8" t="s">
        <v>72</v>
      </c>
      <c r="I66" s="8">
        <v>458886</v>
      </c>
      <c r="J66" s="7" t="s">
        <v>75</v>
      </c>
      <c r="K66" s="27">
        <v>16</v>
      </c>
      <c r="L66" s="27">
        <v>2</v>
      </c>
      <c r="M66" s="27">
        <v>10</v>
      </c>
      <c r="N66" s="18" t="s">
        <v>120</v>
      </c>
      <c r="O66" s="18">
        <v>44391</v>
      </c>
      <c r="P66" s="8" t="s">
        <v>119</v>
      </c>
      <c r="Q66" s="1">
        <f t="shared" si="3"/>
        <v>1</v>
      </c>
      <c r="R66" s="16" t="s">
        <v>699</v>
      </c>
      <c r="S66" s="260">
        <v>3</v>
      </c>
      <c r="T66" s="252">
        <v>458886</v>
      </c>
      <c r="U66" s="252" t="s">
        <v>617</v>
      </c>
      <c r="V66" s="252" t="s">
        <v>770</v>
      </c>
    </row>
    <row r="67" spans="1:22" x14ac:dyDescent="0.25">
      <c r="A67" s="1">
        <v>60</v>
      </c>
      <c r="B67" s="8">
        <v>50609138</v>
      </c>
      <c r="C67" s="7" t="s">
        <v>39</v>
      </c>
      <c r="D67" s="17">
        <v>27344</v>
      </c>
      <c r="E67" s="7" t="s">
        <v>14</v>
      </c>
      <c r="F67" s="7" t="s">
        <v>81</v>
      </c>
      <c r="G67" s="7" t="s">
        <v>40</v>
      </c>
      <c r="H67" s="7" t="s">
        <v>35</v>
      </c>
      <c r="I67" s="7">
        <v>419491</v>
      </c>
      <c r="J67" s="7" t="s">
        <v>82</v>
      </c>
      <c r="K67" s="24">
        <v>24</v>
      </c>
      <c r="L67" s="24">
        <v>3</v>
      </c>
      <c r="M67" s="24">
        <v>12</v>
      </c>
      <c r="N67" s="8" t="s">
        <v>128</v>
      </c>
      <c r="O67" s="18">
        <v>44393</v>
      </c>
      <c r="P67" s="8" t="s">
        <v>119</v>
      </c>
      <c r="Q67" s="1">
        <f t="shared" si="3"/>
        <v>1</v>
      </c>
      <c r="R67" t="s">
        <v>699</v>
      </c>
      <c r="S67" s="1">
        <v>12</v>
      </c>
      <c r="T67" s="8">
        <v>419491</v>
      </c>
      <c r="U67" s="171" t="s">
        <v>82</v>
      </c>
      <c r="V67" s="172" t="s">
        <v>771</v>
      </c>
    </row>
    <row r="68" spans="1:22" x14ac:dyDescent="0.25">
      <c r="A68" s="1">
        <v>61</v>
      </c>
      <c r="B68" s="8">
        <v>50609143</v>
      </c>
      <c r="C68" s="7" t="s">
        <v>39</v>
      </c>
      <c r="D68" s="17">
        <v>24919</v>
      </c>
      <c r="E68" s="7" t="s">
        <v>7</v>
      </c>
      <c r="F68" s="7" t="s">
        <v>78</v>
      </c>
      <c r="G68" s="7" t="s">
        <v>79</v>
      </c>
      <c r="H68" s="8" t="s">
        <v>35</v>
      </c>
      <c r="I68" s="8">
        <v>354951</v>
      </c>
      <c r="J68" s="7" t="s">
        <v>63</v>
      </c>
      <c r="K68" s="27">
        <v>16</v>
      </c>
      <c r="L68" s="27">
        <v>2</v>
      </c>
      <c r="M68" s="27">
        <v>5</v>
      </c>
      <c r="N68" s="18" t="s">
        <v>129</v>
      </c>
      <c r="O68" s="18">
        <v>44394</v>
      </c>
      <c r="P68" s="8" t="s">
        <v>119</v>
      </c>
      <c r="Q68" s="1">
        <f t="shared" si="3"/>
        <v>1</v>
      </c>
      <c r="R68" t="s">
        <v>699</v>
      </c>
      <c r="S68" s="1">
        <v>5</v>
      </c>
      <c r="T68" s="8">
        <v>510745</v>
      </c>
      <c r="U68" s="171" t="s">
        <v>623</v>
      </c>
    </row>
    <row r="69" spans="1:22" x14ac:dyDescent="0.25">
      <c r="A69" s="1">
        <v>62</v>
      </c>
      <c r="B69" s="8">
        <v>50609158</v>
      </c>
      <c r="C69" s="7" t="s">
        <v>39</v>
      </c>
      <c r="D69" s="17">
        <v>24922</v>
      </c>
      <c r="E69" s="7" t="s">
        <v>7</v>
      </c>
      <c r="F69" s="7" t="s">
        <v>78</v>
      </c>
      <c r="G69" s="7" t="s">
        <v>79</v>
      </c>
      <c r="H69" s="8" t="s">
        <v>35</v>
      </c>
      <c r="I69" s="8">
        <v>354951</v>
      </c>
      <c r="J69" s="7" t="s">
        <v>63</v>
      </c>
      <c r="K69" s="27">
        <v>16</v>
      </c>
      <c r="L69" s="27">
        <v>2</v>
      </c>
      <c r="M69" s="27">
        <v>11</v>
      </c>
      <c r="N69" s="18" t="s">
        <v>131</v>
      </c>
      <c r="O69" s="18">
        <v>44399</v>
      </c>
      <c r="P69" s="8" t="s">
        <v>119</v>
      </c>
      <c r="Q69" s="1">
        <f t="shared" si="3"/>
        <v>1</v>
      </c>
      <c r="R69" t="s">
        <v>699</v>
      </c>
      <c r="S69" s="1">
        <v>5</v>
      </c>
      <c r="T69" s="8">
        <v>510745</v>
      </c>
      <c r="U69" s="171" t="s">
        <v>623</v>
      </c>
    </row>
    <row r="70" spans="1:22" x14ac:dyDescent="0.25">
      <c r="A70" s="1">
        <v>63</v>
      </c>
      <c r="B70" s="8">
        <v>50609108</v>
      </c>
      <c r="C70" s="7" t="s">
        <v>39</v>
      </c>
      <c r="D70" s="17">
        <v>27345</v>
      </c>
      <c r="E70" s="7" t="s">
        <v>14</v>
      </c>
      <c r="F70" s="7" t="s">
        <v>81</v>
      </c>
      <c r="G70" s="7" t="s">
        <v>40</v>
      </c>
      <c r="H70" s="7" t="s">
        <v>35</v>
      </c>
      <c r="I70" s="7">
        <v>489671</v>
      </c>
      <c r="J70" s="7" t="s">
        <v>98</v>
      </c>
      <c r="K70" s="24">
        <v>24</v>
      </c>
      <c r="L70" s="24">
        <v>3</v>
      </c>
      <c r="M70" s="24">
        <v>12</v>
      </c>
      <c r="N70" s="8" t="s">
        <v>133</v>
      </c>
      <c r="O70" s="18">
        <v>44403</v>
      </c>
      <c r="P70" s="8" t="s">
        <v>119</v>
      </c>
      <c r="Q70" s="1">
        <f t="shared" si="3"/>
        <v>1</v>
      </c>
      <c r="R70" t="s">
        <v>699</v>
      </c>
      <c r="S70" s="1">
        <v>12</v>
      </c>
      <c r="T70" s="8">
        <v>489671</v>
      </c>
      <c r="U70" s="171" t="s">
        <v>98</v>
      </c>
    </row>
    <row r="71" spans="1:22" x14ac:dyDescent="0.25">
      <c r="A71" s="1">
        <v>64</v>
      </c>
      <c r="B71" s="8">
        <v>50609107</v>
      </c>
      <c r="C71" s="7" t="s">
        <v>39</v>
      </c>
      <c r="D71" s="17">
        <v>26159</v>
      </c>
      <c r="E71" s="7" t="s">
        <v>14</v>
      </c>
      <c r="F71" s="7" t="s">
        <v>81</v>
      </c>
      <c r="G71" s="7" t="s">
        <v>65</v>
      </c>
      <c r="H71" s="7" t="s">
        <v>35</v>
      </c>
      <c r="I71" s="7">
        <v>411339</v>
      </c>
      <c r="J71" s="7" t="s">
        <v>112</v>
      </c>
      <c r="K71" s="24">
        <v>24</v>
      </c>
      <c r="L71" s="24">
        <v>3</v>
      </c>
      <c r="M71" s="24">
        <v>12</v>
      </c>
      <c r="N71" s="8" t="s">
        <v>133</v>
      </c>
      <c r="O71" s="18">
        <v>44403</v>
      </c>
      <c r="P71" s="8" t="s">
        <v>119</v>
      </c>
      <c r="Q71" s="1">
        <f t="shared" si="3"/>
        <v>1</v>
      </c>
      <c r="R71" t="s">
        <v>699</v>
      </c>
      <c r="S71" s="1">
        <v>12</v>
      </c>
      <c r="T71" s="8">
        <v>411339</v>
      </c>
      <c r="U71" s="171" t="s">
        <v>112</v>
      </c>
    </row>
    <row r="72" spans="1:22" x14ac:dyDescent="0.25">
      <c r="A72" s="1">
        <v>65</v>
      </c>
      <c r="B72" s="8">
        <v>50619032</v>
      </c>
      <c r="C72" s="7" t="s">
        <v>39</v>
      </c>
      <c r="D72" s="17">
        <v>28028</v>
      </c>
      <c r="E72" s="7" t="s">
        <v>14</v>
      </c>
      <c r="F72" s="7" t="s">
        <v>88</v>
      </c>
      <c r="G72" s="7" t="s">
        <v>94</v>
      </c>
      <c r="H72" s="7" t="s">
        <v>35</v>
      </c>
      <c r="I72" s="7">
        <v>354951</v>
      </c>
      <c r="J72" s="7" t="s">
        <v>63</v>
      </c>
      <c r="K72" s="24">
        <v>16</v>
      </c>
      <c r="L72" s="24">
        <v>2</v>
      </c>
      <c r="M72" s="24">
        <v>4</v>
      </c>
      <c r="N72" s="8" t="s">
        <v>135</v>
      </c>
      <c r="O72" s="18">
        <v>44405</v>
      </c>
      <c r="P72" s="8" t="s">
        <v>119</v>
      </c>
      <c r="Q72" s="1">
        <f t="shared" si="3"/>
        <v>1</v>
      </c>
      <c r="R72" t="s">
        <v>699</v>
      </c>
      <c r="S72" s="1">
        <v>10</v>
      </c>
      <c r="T72" s="8">
        <v>510745</v>
      </c>
      <c r="U72" s="171" t="s">
        <v>623</v>
      </c>
    </row>
    <row r="73" spans="1:22" x14ac:dyDescent="0.25">
      <c r="A73" s="1">
        <v>66</v>
      </c>
      <c r="B73" s="8">
        <v>50610096</v>
      </c>
      <c r="C73" s="7" t="s">
        <v>39</v>
      </c>
      <c r="D73" s="17">
        <v>21434</v>
      </c>
      <c r="E73" s="7" t="s">
        <v>13</v>
      </c>
      <c r="F73" s="7" t="s">
        <v>74</v>
      </c>
      <c r="G73" s="7" t="s">
        <v>79</v>
      </c>
      <c r="H73" s="8" t="s">
        <v>35</v>
      </c>
      <c r="I73" s="8">
        <v>389970</v>
      </c>
      <c r="J73" s="7" t="s">
        <v>69</v>
      </c>
      <c r="K73" s="27">
        <v>16</v>
      </c>
      <c r="L73" s="27">
        <v>2</v>
      </c>
      <c r="M73" s="27">
        <v>12</v>
      </c>
      <c r="N73" s="18" t="s">
        <v>136</v>
      </c>
      <c r="O73" s="18">
        <v>44406</v>
      </c>
      <c r="P73" s="8" t="s">
        <v>119</v>
      </c>
      <c r="Q73" s="1">
        <f t="shared" si="3"/>
        <v>1</v>
      </c>
      <c r="R73" t="s">
        <v>699</v>
      </c>
      <c r="S73" s="1">
        <v>12</v>
      </c>
      <c r="T73" s="8">
        <v>458886</v>
      </c>
      <c r="U73" s="171" t="s">
        <v>617</v>
      </c>
    </row>
    <row r="74" spans="1:22" hidden="1" x14ac:dyDescent="0.25">
      <c r="A74" s="1">
        <v>67</v>
      </c>
      <c r="C74" s="7" t="s">
        <v>39</v>
      </c>
      <c r="D74" s="17">
        <v>26104</v>
      </c>
      <c r="E74" s="7" t="s">
        <v>13</v>
      </c>
      <c r="F74" s="7" t="s">
        <v>138</v>
      </c>
      <c r="G74" s="7" t="s">
        <v>79</v>
      </c>
      <c r="H74" s="8" t="s">
        <v>35</v>
      </c>
      <c r="I74" s="8">
        <v>389970</v>
      </c>
      <c r="J74" s="7" t="s">
        <v>69</v>
      </c>
      <c r="K74" s="27">
        <v>16</v>
      </c>
      <c r="L74" s="27">
        <v>2</v>
      </c>
      <c r="M74" s="27">
        <v>20</v>
      </c>
      <c r="N74" s="18" t="s">
        <v>139</v>
      </c>
      <c r="O74" s="18">
        <v>44411</v>
      </c>
      <c r="P74" s="8" t="s">
        <v>141</v>
      </c>
      <c r="Q74" s="1">
        <f t="shared" si="3"/>
        <v>1</v>
      </c>
      <c r="R74" s="16" t="s">
        <v>701</v>
      </c>
      <c r="T74" s="8"/>
      <c r="U74" s="171"/>
    </row>
    <row r="75" spans="1:22" hidden="1" x14ac:dyDescent="0.25">
      <c r="A75" s="1">
        <v>68</v>
      </c>
      <c r="C75" s="7" t="s">
        <v>39</v>
      </c>
      <c r="D75" s="17">
        <v>24789</v>
      </c>
      <c r="E75" s="7" t="s">
        <v>8</v>
      </c>
      <c r="F75" s="7" t="s">
        <v>142</v>
      </c>
      <c r="G75" s="7" t="s">
        <v>62</v>
      </c>
      <c r="H75" s="8" t="s">
        <v>35</v>
      </c>
      <c r="I75" s="8">
        <v>354951</v>
      </c>
      <c r="J75" s="7" t="s">
        <v>63</v>
      </c>
      <c r="K75" s="27">
        <v>24</v>
      </c>
      <c r="L75" s="27">
        <v>3</v>
      </c>
      <c r="M75" s="27">
        <v>1</v>
      </c>
      <c r="N75" s="18" t="s">
        <v>139</v>
      </c>
      <c r="O75" s="18">
        <v>44412</v>
      </c>
      <c r="P75" s="8" t="s">
        <v>141</v>
      </c>
      <c r="Q75" s="1">
        <f t="shared" si="3"/>
        <v>1</v>
      </c>
      <c r="R75" s="16" t="s">
        <v>701</v>
      </c>
      <c r="U75" s="171"/>
    </row>
    <row r="76" spans="1:22" hidden="1" x14ac:dyDescent="0.25">
      <c r="A76" s="1">
        <v>69</v>
      </c>
      <c r="C76" s="7" t="s">
        <v>39</v>
      </c>
      <c r="D76" s="17">
        <v>23496</v>
      </c>
      <c r="E76" s="7" t="s">
        <v>6</v>
      </c>
      <c r="F76" s="7" t="s">
        <v>33</v>
      </c>
      <c r="G76" s="7" t="s">
        <v>68</v>
      </c>
      <c r="H76" s="8" t="s">
        <v>35</v>
      </c>
      <c r="I76" s="8">
        <v>350060</v>
      </c>
      <c r="J76" s="7" t="s">
        <v>36</v>
      </c>
      <c r="K76" s="27">
        <v>24</v>
      </c>
      <c r="L76" s="27">
        <v>3</v>
      </c>
      <c r="M76" s="27">
        <v>6</v>
      </c>
      <c r="N76" s="18" t="s">
        <v>139</v>
      </c>
      <c r="O76" s="18">
        <v>44412</v>
      </c>
      <c r="P76" s="8" t="s">
        <v>141</v>
      </c>
      <c r="Q76" s="1">
        <f t="shared" si="3"/>
        <v>1</v>
      </c>
      <c r="R76" s="16" t="s">
        <v>701</v>
      </c>
    </row>
    <row r="77" spans="1:22" x14ac:dyDescent="0.25">
      <c r="A77" s="1">
        <v>70</v>
      </c>
      <c r="B77" s="8">
        <v>50609218</v>
      </c>
      <c r="C77" s="7" t="s">
        <v>39</v>
      </c>
      <c r="D77" s="17">
        <v>27338</v>
      </c>
      <c r="E77" s="7" t="s">
        <v>14</v>
      </c>
      <c r="F77" s="7" t="s">
        <v>81</v>
      </c>
      <c r="G77" s="7" t="s">
        <v>40</v>
      </c>
      <c r="H77" s="7" t="s">
        <v>35</v>
      </c>
      <c r="I77" s="7">
        <v>415202</v>
      </c>
      <c r="J77" s="7" t="s">
        <v>144</v>
      </c>
      <c r="K77" s="24">
        <v>24</v>
      </c>
      <c r="L77" s="24">
        <v>3</v>
      </c>
      <c r="M77" s="24">
        <v>10</v>
      </c>
      <c r="N77" s="8" t="s">
        <v>140</v>
      </c>
      <c r="O77" s="18">
        <v>44413</v>
      </c>
      <c r="P77" s="8" t="s">
        <v>141</v>
      </c>
      <c r="Q77" s="1">
        <f t="shared" si="3"/>
        <v>1</v>
      </c>
      <c r="R77" t="s">
        <v>699</v>
      </c>
      <c r="S77" s="1">
        <v>12</v>
      </c>
      <c r="T77" s="8">
        <v>491912</v>
      </c>
      <c r="U77" s="171" t="s">
        <v>772</v>
      </c>
    </row>
    <row r="78" spans="1:22" hidden="1" x14ac:dyDescent="0.25">
      <c r="A78" s="1">
        <v>71</v>
      </c>
      <c r="B78" s="8"/>
      <c r="C78" s="7" t="s">
        <v>39</v>
      </c>
      <c r="D78" s="17">
        <v>26401</v>
      </c>
      <c r="E78" s="7" t="s">
        <v>13</v>
      </c>
      <c r="F78" s="7" t="s">
        <v>138</v>
      </c>
      <c r="G78" s="7" t="s">
        <v>34</v>
      </c>
      <c r="H78" s="8" t="s">
        <v>72</v>
      </c>
      <c r="I78" s="8">
        <v>510745</v>
      </c>
      <c r="J78" s="7" t="s">
        <v>66</v>
      </c>
      <c r="K78" s="27">
        <v>8</v>
      </c>
      <c r="L78" s="27">
        <v>1</v>
      </c>
      <c r="M78" s="27">
        <v>10</v>
      </c>
      <c r="N78" s="18" t="s">
        <v>146</v>
      </c>
      <c r="O78" s="18" t="s">
        <v>146</v>
      </c>
      <c r="P78" s="8" t="s">
        <v>141</v>
      </c>
      <c r="Q78" s="1">
        <v>1</v>
      </c>
      <c r="R78" s="16" t="s">
        <v>701</v>
      </c>
      <c r="U78" s="171"/>
    </row>
    <row r="79" spans="1:22" x14ac:dyDescent="0.25">
      <c r="A79" s="1">
        <v>72</v>
      </c>
      <c r="B79" s="8">
        <v>50609164</v>
      </c>
      <c r="C79" s="7" t="s">
        <v>39</v>
      </c>
      <c r="D79" s="17">
        <v>26161</v>
      </c>
      <c r="E79" s="7" t="s">
        <v>14</v>
      </c>
      <c r="F79" s="7" t="s">
        <v>81</v>
      </c>
      <c r="G79" s="7" t="s">
        <v>773</v>
      </c>
      <c r="H79" s="7" t="s">
        <v>35</v>
      </c>
      <c r="I79" s="7">
        <v>350060</v>
      </c>
      <c r="J79" s="7" t="s">
        <v>36</v>
      </c>
      <c r="K79" s="24">
        <v>24</v>
      </c>
      <c r="L79" s="24">
        <v>3</v>
      </c>
      <c r="M79" s="24">
        <v>12</v>
      </c>
      <c r="N79" s="8" t="s">
        <v>146</v>
      </c>
      <c r="O79" s="18">
        <v>44416</v>
      </c>
      <c r="P79" s="8" t="s">
        <v>141</v>
      </c>
      <c r="Q79" s="1">
        <f t="shared" ref="Q79:Q80" si="4">IF(O79&lt;=$D$3,1,0)</f>
        <v>1</v>
      </c>
      <c r="R79" t="s">
        <v>699</v>
      </c>
      <c r="S79" s="1">
        <v>12</v>
      </c>
      <c r="T79" s="8">
        <v>458886</v>
      </c>
      <c r="U79" s="171" t="s">
        <v>617</v>
      </c>
    </row>
    <row r="80" spans="1:22" x14ac:dyDescent="0.25">
      <c r="A80" s="1">
        <v>73</v>
      </c>
      <c r="B80" s="8">
        <v>50609166</v>
      </c>
      <c r="C80" s="7" t="s">
        <v>39</v>
      </c>
      <c r="D80" s="17">
        <v>27346</v>
      </c>
      <c r="E80" s="7" t="s">
        <v>14</v>
      </c>
      <c r="F80" s="7" t="s">
        <v>81</v>
      </c>
      <c r="G80" s="7" t="s">
        <v>40</v>
      </c>
      <c r="H80" s="7" t="s">
        <v>35</v>
      </c>
      <c r="I80" s="7">
        <v>415202</v>
      </c>
      <c r="J80" s="7" t="s">
        <v>144</v>
      </c>
      <c r="K80" s="24">
        <v>24</v>
      </c>
      <c r="L80" s="24">
        <v>3</v>
      </c>
      <c r="M80" s="24">
        <v>12</v>
      </c>
      <c r="N80" s="8" t="s">
        <v>146</v>
      </c>
      <c r="O80" s="18">
        <v>44416</v>
      </c>
      <c r="P80" s="8" t="s">
        <v>141</v>
      </c>
      <c r="Q80" s="1">
        <f t="shared" si="4"/>
        <v>1</v>
      </c>
      <c r="R80" t="s">
        <v>699</v>
      </c>
      <c r="S80" s="1">
        <v>12</v>
      </c>
      <c r="T80" s="8">
        <v>419491</v>
      </c>
      <c r="U80" s="171" t="s">
        <v>82</v>
      </c>
    </row>
    <row r="81" spans="1:22" hidden="1" x14ac:dyDescent="0.25">
      <c r="A81" s="1">
        <v>74</v>
      </c>
      <c r="C81" s="7" t="s">
        <v>39</v>
      </c>
      <c r="D81" s="17">
        <v>26416</v>
      </c>
      <c r="E81" s="7" t="s">
        <v>13</v>
      </c>
      <c r="F81" s="7" t="s">
        <v>138</v>
      </c>
      <c r="G81" s="7" t="s">
        <v>148</v>
      </c>
      <c r="H81" s="8" t="s">
        <v>35</v>
      </c>
      <c r="I81" s="8">
        <v>389970</v>
      </c>
      <c r="J81" s="7" t="s">
        <v>69</v>
      </c>
      <c r="K81" s="27">
        <v>8</v>
      </c>
      <c r="L81" s="27">
        <v>1</v>
      </c>
      <c r="M81" s="27">
        <v>20</v>
      </c>
      <c r="N81" s="18" t="s">
        <v>149</v>
      </c>
      <c r="O81" s="18" t="s">
        <v>149</v>
      </c>
      <c r="P81" s="8" t="s">
        <v>141</v>
      </c>
      <c r="Q81" s="1">
        <v>1</v>
      </c>
      <c r="R81" s="16" t="s">
        <v>701</v>
      </c>
    </row>
    <row r="82" spans="1:22" hidden="1" x14ac:dyDescent="0.25">
      <c r="A82" s="1">
        <v>75</v>
      </c>
      <c r="C82" s="7" t="s">
        <v>39</v>
      </c>
      <c r="D82" s="17">
        <v>21993</v>
      </c>
      <c r="E82" s="7" t="s">
        <v>8</v>
      </c>
      <c r="F82" s="7" t="s">
        <v>142</v>
      </c>
      <c r="G82" s="7" t="s">
        <v>89</v>
      </c>
      <c r="H82" s="8" t="s">
        <v>35</v>
      </c>
      <c r="I82" s="8">
        <v>197995</v>
      </c>
      <c r="J82" s="7" t="s">
        <v>150</v>
      </c>
      <c r="K82" s="27">
        <v>16</v>
      </c>
      <c r="L82" s="27">
        <v>2</v>
      </c>
      <c r="M82" s="27">
        <v>2</v>
      </c>
      <c r="N82" s="18" t="s">
        <v>149</v>
      </c>
      <c r="O82" s="18" t="s">
        <v>151</v>
      </c>
      <c r="P82" s="8" t="s">
        <v>141</v>
      </c>
      <c r="Q82" s="1">
        <v>1</v>
      </c>
      <c r="R82" s="16" t="s">
        <v>701</v>
      </c>
    </row>
    <row r="83" spans="1:22" x14ac:dyDescent="0.25">
      <c r="A83" s="1">
        <v>76</v>
      </c>
      <c r="B83" s="43">
        <v>50610158</v>
      </c>
      <c r="C83" s="7" t="s">
        <v>39</v>
      </c>
      <c r="D83" s="17">
        <v>21435</v>
      </c>
      <c r="E83" s="7" t="s">
        <v>13</v>
      </c>
      <c r="F83" s="7" t="s">
        <v>74</v>
      </c>
      <c r="G83" s="7" t="s">
        <v>79</v>
      </c>
      <c r="H83" s="8" t="s">
        <v>72</v>
      </c>
      <c r="I83" s="8">
        <v>389970</v>
      </c>
      <c r="J83" s="7" t="s">
        <v>69</v>
      </c>
      <c r="K83" s="27">
        <v>16</v>
      </c>
      <c r="L83" s="27">
        <v>2</v>
      </c>
      <c r="M83" s="27">
        <v>12</v>
      </c>
      <c r="N83" s="18" t="s">
        <v>152</v>
      </c>
      <c r="O83" s="18" t="s">
        <v>153</v>
      </c>
      <c r="P83" s="8" t="s">
        <v>141</v>
      </c>
      <c r="Q83" s="1">
        <v>1</v>
      </c>
      <c r="R83" s="211" t="s">
        <v>699</v>
      </c>
      <c r="S83" s="1">
        <v>8</v>
      </c>
      <c r="T83">
        <v>458886</v>
      </c>
      <c r="U83" t="s">
        <v>617</v>
      </c>
      <c r="V83" t="s">
        <v>774</v>
      </c>
    </row>
    <row r="84" spans="1:22" hidden="1" x14ac:dyDescent="0.25">
      <c r="A84" s="1">
        <v>77</v>
      </c>
      <c r="C84" s="7" t="s">
        <v>39</v>
      </c>
      <c r="D84" s="17">
        <v>26094</v>
      </c>
      <c r="E84" s="7" t="s">
        <v>13</v>
      </c>
      <c r="F84" s="7" t="s">
        <v>138</v>
      </c>
      <c r="G84" s="7" t="s">
        <v>79</v>
      </c>
      <c r="H84" s="8" t="s">
        <v>35</v>
      </c>
      <c r="I84" s="8">
        <v>389970</v>
      </c>
      <c r="J84" s="7" t="s">
        <v>69</v>
      </c>
      <c r="K84" s="27">
        <v>16</v>
      </c>
      <c r="L84" s="27">
        <v>2</v>
      </c>
      <c r="M84" s="27">
        <v>20</v>
      </c>
      <c r="N84" s="18" t="s">
        <v>154</v>
      </c>
      <c r="O84" s="18" t="s">
        <v>155</v>
      </c>
      <c r="P84" s="8" t="s">
        <v>141</v>
      </c>
      <c r="Q84" s="1">
        <v>1</v>
      </c>
      <c r="R84" s="16" t="s">
        <v>701</v>
      </c>
    </row>
    <row r="85" spans="1:22" x14ac:dyDescent="0.25">
      <c r="A85" s="1">
        <v>78</v>
      </c>
      <c r="B85" s="8">
        <v>50609997</v>
      </c>
      <c r="C85" s="7" t="s">
        <v>39</v>
      </c>
      <c r="D85" s="17">
        <v>21448</v>
      </c>
      <c r="E85" s="7" t="s">
        <v>13</v>
      </c>
      <c r="F85" s="7" t="s">
        <v>74</v>
      </c>
      <c r="G85" s="7" t="s">
        <v>89</v>
      </c>
      <c r="H85" s="8" t="s">
        <v>35</v>
      </c>
      <c r="I85" s="8">
        <v>354951</v>
      </c>
      <c r="J85" s="7" t="s">
        <v>63</v>
      </c>
      <c r="K85" s="27">
        <v>16</v>
      </c>
      <c r="L85" s="27">
        <v>2</v>
      </c>
      <c r="M85" s="27">
        <v>11</v>
      </c>
      <c r="N85" s="18" t="s">
        <v>156</v>
      </c>
      <c r="O85" s="18" t="s">
        <v>157</v>
      </c>
      <c r="P85" s="8" t="s">
        <v>141</v>
      </c>
      <c r="Q85" s="1">
        <v>1</v>
      </c>
      <c r="R85" t="s">
        <v>699</v>
      </c>
      <c r="S85" s="1">
        <v>9</v>
      </c>
      <c r="T85" s="8">
        <v>458886</v>
      </c>
      <c r="U85" s="171" t="s">
        <v>617</v>
      </c>
    </row>
    <row r="86" spans="1:22" hidden="1" x14ac:dyDescent="0.25">
      <c r="A86" s="1">
        <v>79</v>
      </c>
      <c r="C86" s="7" t="s">
        <v>39</v>
      </c>
      <c r="D86" s="17">
        <v>28128</v>
      </c>
      <c r="E86" s="7" t="s">
        <v>13</v>
      </c>
      <c r="F86" s="7" t="s">
        <v>138</v>
      </c>
      <c r="G86" s="7" t="s">
        <v>40</v>
      </c>
      <c r="H86" s="8" t="s">
        <v>35</v>
      </c>
      <c r="I86" s="8">
        <v>374253</v>
      </c>
      <c r="J86" s="7" t="s">
        <v>41</v>
      </c>
      <c r="K86" s="27">
        <v>24</v>
      </c>
      <c r="L86" s="27">
        <v>3</v>
      </c>
      <c r="M86" s="27">
        <v>18</v>
      </c>
      <c r="N86" s="18" t="s">
        <v>156</v>
      </c>
      <c r="O86" s="18" t="s">
        <v>158</v>
      </c>
      <c r="P86" s="8" t="s">
        <v>141</v>
      </c>
      <c r="Q86" s="1">
        <v>1</v>
      </c>
      <c r="R86" s="16" t="s">
        <v>701</v>
      </c>
    </row>
    <row r="87" spans="1:22" x14ac:dyDescent="0.25">
      <c r="A87" s="1">
        <v>80</v>
      </c>
      <c r="B87" s="1">
        <v>50609017</v>
      </c>
      <c r="C87" s="7" t="s">
        <v>39</v>
      </c>
      <c r="D87" s="17">
        <v>26049</v>
      </c>
      <c r="E87" s="7" t="s">
        <v>14</v>
      </c>
      <c r="F87" s="7" t="s">
        <v>81</v>
      </c>
      <c r="G87" s="7" t="s">
        <v>159</v>
      </c>
      <c r="H87" s="7" t="s">
        <v>35</v>
      </c>
      <c r="I87" s="7">
        <v>411339</v>
      </c>
      <c r="J87" s="7" t="s">
        <v>112</v>
      </c>
      <c r="K87" s="24">
        <v>16</v>
      </c>
      <c r="L87" s="24">
        <v>2</v>
      </c>
      <c r="M87" s="24">
        <v>11</v>
      </c>
      <c r="N87" s="8" t="s">
        <v>157</v>
      </c>
      <c r="O87" s="18">
        <v>44428</v>
      </c>
      <c r="P87" s="8" t="s">
        <v>141</v>
      </c>
      <c r="Q87" s="1">
        <f t="shared" ref="Q87:Q88" si="5">IF(O87&lt;=$D$3,1,0)</f>
        <v>1</v>
      </c>
      <c r="R87" t="s">
        <v>699</v>
      </c>
      <c r="S87" s="1">
        <v>12</v>
      </c>
      <c r="T87" s="8">
        <v>411339</v>
      </c>
      <c r="U87" s="171" t="s">
        <v>112</v>
      </c>
    </row>
    <row r="88" spans="1:22" x14ac:dyDescent="0.25">
      <c r="A88" s="1">
        <v>81</v>
      </c>
      <c r="B88" s="1">
        <v>50609020</v>
      </c>
      <c r="C88" s="7" t="s">
        <v>39</v>
      </c>
      <c r="D88" s="17">
        <v>27347</v>
      </c>
      <c r="E88" s="7" t="s">
        <v>14</v>
      </c>
      <c r="F88" s="7" t="s">
        <v>81</v>
      </c>
      <c r="G88" s="7" t="s">
        <v>40</v>
      </c>
      <c r="H88" s="7" t="s">
        <v>35</v>
      </c>
      <c r="I88" s="7">
        <v>489671</v>
      </c>
      <c r="J88" s="7" t="s">
        <v>98</v>
      </c>
      <c r="K88" s="24">
        <v>24</v>
      </c>
      <c r="L88" s="24">
        <v>3</v>
      </c>
      <c r="M88" s="24">
        <v>12</v>
      </c>
      <c r="N88" s="8" t="s">
        <v>158</v>
      </c>
      <c r="O88" s="18">
        <v>44430</v>
      </c>
      <c r="P88" s="8" t="s">
        <v>141</v>
      </c>
      <c r="Q88" s="1">
        <f t="shared" si="5"/>
        <v>1</v>
      </c>
      <c r="R88" t="s">
        <v>699</v>
      </c>
      <c r="S88" s="1">
        <v>12</v>
      </c>
      <c r="T88" s="8">
        <v>489671</v>
      </c>
      <c r="U88" s="7" t="s">
        <v>98</v>
      </c>
    </row>
    <row r="89" spans="1:22" hidden="1" x14ac:dyDescent="0.25">
      <c r="A89" s="1">
        <v>82</v>
      </c>
      <c r="C89" s="7" t="s">
        <v>39</v>
      </c>
      <c r="D89" s="17">
        <v>26414</v>
      </c>
      <c r="E89" s="7" t="s">
        <v>13</v>
      </c>
      <c r="F89" s="7" t="s">
        <v>138</v>
      </c>
      <c r="G89" s="7" t="s">
        <v>148</v>
      </c>
      <c r="H89" s="8" t="s">
        <v>35</v>
      </c>
      <c r="I89" s="8">
        <v>389970</v>
      </c>
      <c r="J89" s="7" t="s">
        <v>69</v>
      </c>
      <c r="K89" s="27">
        <v>8</v>
      </c>
      <c r="L89" s="27">
        <v>1</v>
      </c>
      <c r="M89" s="27">
        <v>20</v>
      </c>
      <c r="N89" s="18" t="s">
        <v>161</v>
      </c>
      <c r="O89" s="18">
        <v>44431</v>
      </c>
      <c r="P89" s="8" t="s">
        <v>141</v>
      </c>
      <c r="Q89" s="1">
        <f t="shared" si="3"/>
        <v>1</v>
      </c>
      <c r="R89" s="16" t="s">
        <v>701</v>
      </c>
    </row>
    <row r="90" spans="1:22" hidden="1" x14ac:dyDescent="0.25">
      <c r="A90" s="1">
        <v>83</v>
      </c>
      <c r="C90" s="7" t="s">
        <v>39</v>
      </c>
      <c r="D90" s="17">
        <v>27990</v>
      </c>
      <c r="E90" s="7" t="s">
        <v>8</v>
      </c>
      <c r="F90" s="7" t="s">
        <v>162</v>
      </c>
      <c r="G90" s="7" t="s">
        <v>89</v>
      </c>
      <c r="H90" s="8" t="s">
        <v>35</v>
      </c>
      <c r="I90" s="8">
        <v>441106</v>
      </c>
      <c r="J90" s="7" t="s">
        <v>163</v>
      </c>
      <c r="K90" s="27">
        <v>16</v>
      </c>
      <c r="L90" s="27">
        <v>4</v>
      </c>
      <c r="M90" s="27">
        <v>16</v>
      </c>
      <c r="N90" s="18" t="s">
        <v>161</v>
      </c>
      <c r="O90" s="18">
        <v>44432</v>
      </c>
      <c r="P90" s="8" t="s">
        <v>141</v>
      </c>
      <c r="Q90" s="1">
        <f t="shared" si="3"/>
        <v>1</v>
      </c>
      <c r="R90" s="16" t="s">
        <v>701</v>
      </c>
    </row>
    <row r="91" spans="1:22" hidden="1" x14ac:dyDescent="0.25">
      <c r="A91" s="1">
        <v>84</v>
      </c>
      <c r="C91" s="7" t="s">
        <v>39</v>
      </c>
      <c r="D91" s="17">
        <v>26096</v>
      </c>
      <c r="E91" s="7" t="s">
        <v>13</v>
      </c>
      <c r="F91" s="7" t="s">
        <v>138</v>
      </c>
      <c r="G91" s="7" t="s">
        <v>79</v>
      </c>
      <c r="H91" s="8" t="s">
        <v>35</v>
      </c>
      <c r="I91" s="8">
        <v>389970</v>
      </c>
      <c r="J91" s="7" t="s">
        <v>69</v>
      </c>
      <c r="K91" s="27">
        <v>16</v>
      </c>
      <c r="L91" s="27">
        <v>2</v>
      </c>
      <c r="M91" s="27">
        <v>20</v>
      </c>
      <c r="N91" s="18" t="s">
        <v>164</v>
      </c>
      <c r="O91" s="18">
        <v>44433</v>
      </c>
      <c r="P91" s="8" t="s">
        <v>141</v>
      </c>
      <c r="Q91" s="1">
        <f t="shared" si="3"/>
        <v>1</v>
      </c>
      <c r="R91" s="16" t="s">
        <v>701</v>
      </c>
      <c r="T91" s="8"/>
      <c r="U91" s="7"/>
    </row>
    <row r="92" spans="1:22" x14ac:dyDescent="0.25">
      <c r="A92" s="1">
        <v>85</v>
      </c>
      <c r="B92" s="1">
        <v>50609033</v>
      </c>
      <c r="C92" s="7" t="s">
        <v>39</v>
      </c>
      <c r="D92" s="17">
        <v>26050</v>
      </c>
      <c r="E92" s="7" t="s">
        <v>14</v>
      </c>
      <c r="F92" s="7" t="s">
        <v>81</v>
      </c>
      <c r="G92" s="7" t="s">
        <v>159</v>
      </c>
      <c r="H92" s="7" t="s">
        <v>35</v>
      </c>
      <c r="I92" s="7">
        <v>411339</v>
      </c>
      <c r="J92" s="7" t="s">
        <v>112</v>
      </c>
      <c r="K92" s="24">
        <v>16</v>
      </c>
      <c r="L92" s="24">
        <v>2</v>
      </c>
      <c r="M92" s="24">
        <v>12</v>
      </c>
      <c r="N92" s="8" t="s">
        <v>164</v>
      </c>
      <c r="O92" s="18">
        <v>44433</v>
      </c>
      <c r="P92" s="8" t="s">
        <v>141</v>
      </c>
      <c r="Q92" s="1">
        <f t="shared" si="3"/>
        <v>1</v>
      </c>
      <c r="R92" t="s">
        <v>699</v>
      </c>
      <c r="S92" s="1">
        <v>6</v>
      </c>
      <c r="T92" s="8">
        <v>411339</v>
      </c>
      <c r="U92" s="171" t="s">
        <v>112</v>
      </c>
    </row>
    <row r="93" spans="1:22" x14ac:dyDescent="0.25">
      <c r="A93" s="1">
        <v>86</v>
      </c>
      <c r="B93" s="1">
        <v>50608988</v>
      </c>
      <c r="C93" s="7" t="s">
        <v>39</v>
      </c>
      <c r="D93" s="17">
        <v>24915</v>
      </c>
      <c r="E93" s="7" t="s">
        <v>7</v>
      </c>
      <c r="F93" s="7" t="s">
        <v>78</v>
      </c>
      <c r="G93" s="7" t="s">
        <v>79</v>
      </c>
      <c r="H93" s="8" t="s">
        <v>35</v>
      </c>
      <c r="I93" s="8">
        <v>354951</v>
      </c>
      <c r="J93" s="7" t="s">
        <v>63</v>
      </c>
      <c r="K93" s="27">
        <v>16</v>
      </c>
      <c r="L93" s="27">
        <v>2</v>
      </c>
      <c r="M93" s="27">
        <v>7</v>
      </c>
      <c r="N93" s="18" t="s">
        <v>165</v>
      </c>
      <c r="O93" s="18">
        <v>44434</v>
      </c>
      <c r="P93" s="8" t="s">
        <v>141</v>
      </c>
      <c r="Q93" s="1">
        <f t="shared" si="3"/>
        <v>1</v>
      </c>
      <c r="R93" t="s">
        <v>699</v>
      </c>
      <c r="S93" s="1">
        <v>4</v>
      </c>
      <c r="T93" s="8">
        <v>354951</v>
      </c>
      <c r="U93" s="171" t="s">
        <v>63</v>
      </c>
      <c r="V93" s="171" t="s">
        <v>775</v>
      </c>
    </row>
    <row r="94" spans="1:22" x14ac:dyDescent="0.25">
      <c r="A94" s="1">
        <v>87</v>
      </c>
      <c r="B94" s="1">
        <v>50609034</v>
      </c>
      <c r="C94" s="7" t="s">
        <v>39</v>
      </c>
      <c r="D94" s="17">
        <v>24069</v>
      </c>
      <c r="E94" s="7" t="s">
        <v>6</v>
      </c>
      <c r="F94" s="7" t="s">
        <v>33</v>
      </c>
      <c r="G94" s="7" t="s">
        <v>65</v>
      </c>
      <c r="H94" s="8" t="s">
        <v>35</v>
      </c>
      <c r="I94" s="8">
        <v>350060</v>
      </c>
      <c r="J94" s="7" t="s">
        <v>36</v>
      </c>
      <c r="K94" s="27">
        <v>24</v>
      </c>
      <c r="L94" s="27">
        <v>3</v>
      </c>
      <c r="M94" s="27">
        <v>10</v>
      </c>
      <c r="N94" s="18" t="s">
        <v>164</v>
      </c>
      <c r="O94" s="18">
        <v>44434</v>
      </c>
      <c r="P94" s="8" t="s">
        <v>141</v>
      </c>
      <c r="Q94" s="1">
        <f t="shared" si="3"/>
        <v>1</v>
      </c>
      <c r="R94" t="s">
        <v>699</v>
      </c>
      <c r="S94" s="1">
        <v>7</v>
      </c>
      <c r="T94" s="8">
        <v>374253</v>
      </c>
      <c r="U94" s="171" t="s">
        <v>621</v>
      </c>
      <c r="V94" s="171" t="s">
        <v>608</v>
      </c>
    </row>
    <row r="95" spans="1:22" x14ac:dyDescent="0.25">
      <c r="A95" s="1">
        <v>88</v>
      </c>
      <c r="C95" s="7" t="s">
        <v>39</v>
      </c>
      <c r="D95" s="17">
        <v>26389</v>
      </c>
      <c r="E95" s="7" t="s">
        <v>13</v>
      </c>
      <c r="F95" s="7" t="s">
        <v>138</v>
      </c>
      <c r="G95" s="7" t="s">
        <v>34</v>
      </c>
      <c r="H95" s="8" t="s">
        <v>72</v>
      </c>
      <c r="I95" s="8">
        <v>510745</v>
      </c>
      <c r="J95" s="7" t="s">
        <v>66</v>
      </c>
      <c r="K95" s="27">
        <v>8</v>
      </c>
      <c r="L95" s="27">
        <v>1</v>
      </c>
      <c r="M95" s="27">
        <v>20</v>
      </c>
      <c r="N95" s="18" t="s">
        <v>167</v>
      </c>
      <c r="O95" s="18">
        <v>44435</v>
      </c>
      <c r="P95" s="8" t="s">
        <v>141</v>
      </c>
      <c r="Q95" s="1">
        <f t="shared" si="3"/>
        <v>1</v>
      </c>
      <c r="R95" t="s">
        <v>699</v>
      </c>
      <c r="S95" s="1">
        <v>7</v>
      </c>
      <c r="T95" s="8">
        <v>510745</v>
      </c>
      <c r="U95" s="171" t="s">
        <v>757</v>
      </c>
      <c r="V95" s="171" t="s">
        <v>776</v>
      </c>
    </row>
    <row r="96" spans="1:22" hidden="1" x14ac:dyDescent="0.25">
      <c r="A96" s="1">
        <v>89</v>
      </c>
      <c r="C96" s="7" t="s">
        <v>39</v>
      </c>
      <c r="D96" s="17">
        <v>26388</v>
      </c>
      <c r="E96" s="7" t="s">
        <v>13</v>
      </c>
      <c r="F96" s="7" t="s">
        <v>138</v>
      </c>
      <c r="G96" s="7" t="s">
        <v>34</v>
      </c>
      <c r="H96" s="8" t="s">
        <v>35</v>
      </c>
      <c r="I96" s="8">
        <v>374253</v>
      </c>
      <c r="J96" s="7" t="s">
        <v>41</v>
      </c>
      <c r="K96" s="27">
        <v>8</v>
      </c>
      <c r="L96" s="27">
        <v>1</v>
      </c>
      <c r="M96" s="27">
        <v>20</v>
      </c>
      <c r="N96" s="18" t="s">
        <v>168</v>
      </c>
      <c r="O96" s="18">
        <v>44438</v>
      </c>
      <c r="P96" s="8" t="s">
        <v>141</v>
      </c>
      <c r="Q96" s="1">
        <f t="shared" si="3"/>
        <v>1</v>
      </c>
      <c r="R96" s="16" t="s">
        <v>701</v>
      </c>
    </row>
    <row r="97" spans="1:21" x14ac:dyDescent="0.25">
      <c r="A97" s="1">
        <v>90</v>
      </c>
      <c r="B97" s="1">
        <v>50609979</v>
      </c>
      <c r="C97" s="7" t="s">
        <v>39</v>
      </c>
      <c r="D97" s="17">
        <v>21436</v>
      </c>
      <c r="E97" s="7" t="s">
        <v>13</v>
      </c>
      <c r="F97" s="7" t="s">
        <v>74</v>
      </c>
      <c r="G97" s="7" t="s">
        <v>79</v>
      </c>
      <c r="H97" s="8" t="s">
        <v>35</v>
      </c>
      <c r="I97" s="8">
        <v>389970</v>
      </c>
      <c r="J97" s="7" t="s">
        <v>69</v>
      </c>
      <c r="K97" s="27">
        <v>16</v>
      </c>
      <c r="L97" s="27">
        <v>2</v>
      </c>
      <c r="M97" s="27">
        <v>12</v>
      </c>
      <c r="N97" s="18" t="s">
        <v>169</v>
      </c>
      <c r="O97" s="18">
        <v>44440</v>
      </c>
      <c r="P97" s="8" t="s">
        <v>141</v>
      </c>
      <c r="Q97" s="1">
        <f t="shared" si="3"/>
        <v>1</v>
      </c>
      <c r="R97" t="s">
        <v>699</v>
      </c>
      <c r="S97" s="1">
        <v>9</v>
      </c>
      <c r="T97" s="8">
        <v>389970</v>
      </c>
      <c r="U97" s="7" t="s">
        <v>69</v>
      </c>
    </row>
    <row r="98" spans="1:21" hidden="1" x14ac:dyDescent="0.25">
      <c r="A98" s="1">
        <v>91</v>
      </c>
      <c r="C98" s="7" t="s">
        <v>39</v>
      </c>
      <c r="D98" s="17">
        <v>24984</v>
      </c>
      <c r="E98" s="7" t="s">
        <v>8</v>
      </c>
      <c r="F98" s="7" t="s">
        <v>142</v>
      </c>
      <c r="G98" s="7" t="s">
        <v>171</v>
      </c>
      <c r="H98" s="8" t="s">
        <v>35</v>
      </c>
      <c r="I98" s="8">
        <v>458886</v>
      </c>
      <c r="J98" s="7" t="s">
        <v>75</v>
      </c>
      <c r="K98" s="27">
        <v>8</v>
      </c>
      <c r="L98" s="27">
        <v>1</v>
      </c>
      <c r="M98" s="27">
        <v>4</v>
      </c>
      <c r="N98" s="18" t="s">
        <v>172</v>
      </c>
      <c r="O98" s="18">
        <v>44441</v>
      </c>
      <c r="P98" s="8" t="s">
        <v>173</v>
      </c>
      <c r="Q98" s="1">
        <f t="shared" si="3"/>
        <v>1</v>
      </c>
      <c r="R98" s="16" t="s">
        <v>701</v>
      </c>
    </row>
    <row r="99" spans="1:21" hidden="1" x14ac:dyDescent="0.25">
      <c r="A99" s="1">
        <v>92</v>
      </c>
      <c r="C99" s="7" t="s">
        <v>39</v>
      </c>
      <c r="D99" s="17">
        <v>27989</v>
      </c>
      <c r="E99" s="7" t="s">
        <v>8</v>
      </c>
      <c r="F99" s="7" t="s">
        <v>162</v>
      </c>
      <c r="G99" s="7" t="s">
        <v>89</v>
      </c>
      <c r="H99" s="8" t="s">
        <v>35</v>
      </c>
      <c r="I99" s="8">
        <v>441106</v>
      </c>
      <c r="J99" s="7" t="s">
        <v>163</v>
      </c>
      <c r="K99" s="27">
        <v>16</v>
      </c>
      <c r="L99" s="27">
        <v>4</v>
      </c>
      <c r="M99" s="27">
        <v>17</v>
      </c>
      <c r="N99" s="18" t="s">
        <v>168</v>
      </c>
      <c r="O99" s="18">
        <v>44441</v>
      </c>
      <c r="P99" s="8" t="s">
        <v>141</v>
      </c>
      <c r="Q99" s="1">
        <f t="shared" si="3"/>
        <v>1</v>
      </c>
      <c r="R99" s="16" t="s">
        <v>701</v>
      </c>
    </row>
    <row r="100" spans="1:21" x14ac:dyDescent="0.25">
      <c r="A100" s="1">
        <v>93</v>
      </c>
      <c r="B100" s="1">
        <v>50608990</v>
      </c>
      <c r="C100" s="7" t="s">
        <v>39</v>
      </c>
      <c r="D100" s="17">
        <v>27339</v>
      </c>
      <c r="E100" s="7" t="s">
        <v>14</v>
      </c>
      <c r="F100" s="7" t="s">
        <v>81</v>
      </c>
      <c r="G100" s="7" t="s">
        <v>40</v>
      </c>
      <c r="H100" s="7" t="s">
        <v>35</v>
      </c>
      <c r="I100" s="7">
        <v>415202</v>
      </c>
      <c r="J100" s="7" t="s">
        <v>144</v>
      </c>
      <c r="K100" s="24">
        <v>24</v>
      </c>
      <c r="L100" s="24">
        <v>3</v>
      </c>
      <c r="M100" s="24">
        <v>10</v>
      </c>
      <c r="N100" s="8" t="s">
        <v>169</v>
      </c>
      <c r="O100" s="18">
        <v>44441</v>
      </c>
      <c r="P100" s="8" t="s">
        <v>141</v>
      </c>
      <c r="Q100" s="1">
        <f t="shared" si="3"/>
        <v>1</v>
      </c>
      <c r="R100" t="s">
        <v>699</v>
      </c>
      <c r="S100" s="1">
        <v>12</v>
      </c>
      <c r="T100" s="8">
        <v>491912</v>
      </c>
      <c r="U100" s="7" t="s">
        <v>777</v>
      </c>
    </row>
    <row r="101" spans="1:21" hidden="1" x14ac:dyDescent="0.25">
      <c r="A101" s="1">
        <v>94</v>
      </c>
      <c r="C101" s="7" t="s">
        <v>39</v>
      </c>
      <c r="D101" s="17">
        <v>24717</v>
      </c>
      <c r="E101" s="7" t="s">
        <v>8</v>
      </c>
      <c r="F101" s="7" t="s">
        <v>142</v>
      </c>
      <c r="G101" s="7" t="s">
        <v>68</v>
      </c>
      <c r="H101" s="8" t="s">
        <v>35</v>
      </c>
      <c r="I101" s="8">
        <v>419491</v>
      </c>
      <c r="J101" s="7" t="s">
        <v>82</v>
      </c>
      <c r="K101" s="27">
        <v>24</v>
      </c>
      <c r="L101" s="27">
        <v>3</v>
      </c>
      <c r="M101" s="27">
        <v>2</v>
      </c>
      <c r="N101" s="18" t="s">
        <v>170</v>
      </c>
      <c r="O101" s="18">
        <v>44442</v>
      </c>
      <c r="P101" s="8" t="s">
        <v>173</v>
      </c>
      <c r="Q101" s="1">
        <f t="shared" si="3"/>
        <v>1</v>
      </c>
      <c r="R101" s="16" t="s">
        <v>701</v>
      </c>
      <c r="T101" s="1"/>
    </row>
    <row r="102" spans="1:21" x14ac:dyDescent="0.25">
      <c r="A102" s="1">
        <v>95</v>
      </c>
      <c r="B102" s="1">
        <v>50608995</v>
      </c>
      <c r="C102" s="7" t="s">
        <v>39</v>
      </c>
      <c r="D102" s="17">
        <v>27348</v>
      </c>
      <c r="E102" s="7" t="s">
        <v>14</v>
      </c>
      <c r="F102" s="7" t="s">
        <v>81</v>
      </c>
      <c r="G102" s="7" t="s">
        <v>40</v>
      </c>
      <c r="H102" s="7" t="s">
        <v>35</v>
      </c>
      <c r="I102" s="7">
        <v>316048</v>
      </c>
      <c r="J102" s="7" t="s">
        <v>122</v>
      </c>
      <c r="K102" s="24">
        <v>24</v>
      </c>
      <c r="L102" s="24">
        <v>3</v>
      </c>
      <c r="M102" s="24">
        <v>12</v>
      </c>
      <c r="N102" s="8" t="s">
        <v>172</v>
      </c>
      <c r="O102" s="18">
        <v>44443</v>
      </c>
      <c r="P102" s="8" t="s">
        <v>173</v>
      </c>
      <c r="Q102" s="1">
        <f t="shared" si="3"/>
        <v>1</v>
      </c>
      <c r="R102" t="s">
        <v>699</v>
      </c>
      <c r="S102" s="1">
        <v>12</v>
      </c>
      <c r="T102" s="8">
        <v>316048</v>
      </c>
      <c r="U102" s="7" t="s">
        <v>122</v>
      </c>
    </row>
    <row r="103" spans="1:21" x14ac:dyDescent="0.25">
      <c r="A103" s="1">
        <v>96</v>
      </c>
      <c r="B103" s="1">
        <v>50608997</v>
      </c>
      <c r="C103" s="7" t="s">
        <v>39</v>
      </c>
      <c r="D103" s="17">
        <v>27349</v>
      </c>
      <c r="E103" s="7" t="s">
        <v>14</v>
      </c>
      <c r="F103" s="7" t="s">
        <v>81</v>
      </c>
      <c r="G103" s="7" t="s">
        <v>40</v>
      </c>
      <c r="H103" s="7" t="s">
        <v>35</v>
      </c>
      <c r="I103" s="7">
        <v>415202</v>
      </c>
      <c r="J103" s="7" t="s">
        <v>144</v>
      </c>
      <c r="K103" s="24">
        <v>24</v>
      </c>
      <c r="L103" s="24">
        <v>3</v>
      </c>
      <c r="M103" s="24">
        <v>12</v>
      </c>
      <c r="N103" s="8" t="s">
        <v>174</v>
      </c>
      <c r="O103" s="18">
        <v>44444</v>
      </c>
      <c r="P103" s="8" t="s">
        <v>173</v>
      </c>
      <c r="Q103" s="1">
        <f t="shared" ref="Q103" si="6">IF(O103&lt;=$D$3,1,0)</f>
        <v>1</v>
      </c>
      <c r="R103" t="s">
        <v>699</v>
      </c>
      <c r="S103" s="1">
        <v>12</v>
      </c>
      <c r="T103" s="8">
        <v>419491</v>
      </c>
      <c r="U103" s="7" t="s">
        <v>82</v>
      </c>
    </row>
    <row r="104" spans="1:21" hidden="1" x14ac:dyDescent="0.25">
      <c r="A104" s="1">
        <v>97</v>
      </c>
      <c r="C104" s="7" t="s">
        <v>39</v>
      </c>
      <c r="D104" s="17">
        <v>26415</v>
      </c>
      <c r="E104" s="7" t="s">
        <v>13</v>
      </c>
      <c r="F104" s="7" t="s">
        <v>138</v>
      </c>
      <c r="G104" s="7" t="s">
        <v>148</v>
      </c>
      <c r="H104" s="8" t="s">
        <v>35</v>
      </c>
      <c r="I104" s="8">
        <v>389970</v>
      </c>
      <c r="J104" s="7" t="s">
        <v>69</v>
      </c>
      <c r="K104" s="27">
        <v>8</v>
      </c>
      <c r="L104" s="27">
        <v>1</v>
      </c>
      <c r="M104" s="27">
        <v>20</v>
      </c>
      <c r="N104" s="18" t="s">
        <v>177</v>
      </c>
      <c r="O104" s="18">
        <v>44445</v>
      </c>
      <c r="P104" s="8" t="s">
        <v>173</v>
      </c>
      <c r="Q104" s="1">
        <f t="shared" ref="Q104:Q165" si="7">IF(O104&lt;=$D$3,1,0)</f>
        <v>1</v>
      </c>
      <c r="R104" s="16" t="s">
        <v>701</v>
      </c>
    </row>
    <row r="105" spans="1:21" x14ac:dyDescent="0.25">
      <c r="A105" s="1">
        <v>98</v>
      </c>
      <c r="B105" s="1">
        <v>50609000</v>
      </c>
      <c r="C105" s="7" t="s">
        <v>39</v>
      </c>
      <c r="D105" s="17">
        <v>26162</v>
      </c>
      <c r="E105" s="7" t="s">
        <v>14</v>
      </c>
      <c r="F105" s="7" t="s">
        <v>81</v>
      </c>
      <c r="G105" s="7" t="s">
        <v>65</v>
      </c>
      <c r="H105" s="7" t="s">
        <v>35</v>
      </c>
      <c r="I105" s="7">
        <v>350060</v>
      </c>
      <c r="J105" s="7" t="s">
        <v>36</v>
      </c>
      <c r="K105" s="24">
        <v>24</v>
      </c>
      <c r="L105" s="24">
        <v>3</v>
      </c>
      <c r="M105" s="24">
        <v>12</v>
      </c>
      <c r="N105" s="8" t="s">
        <v>175</v>
      </c>
      <c r="O105" s="18">
        <v>44445</v>
      </c>
      <c r="P105" s="8" t="s">
        <v>173</v>
      </c>
      <c r="Q105" s="1">
        <f t="shared" si="7"/>
        <v>1</v>
      </c>
      <c r="R105" s="211" t="s">
        <v>699</v>
      </c>
      <c r="S105" s="1">
        <v>11</v>
      </c>
      <c r="T105">
        <v>458886</v>
      </c>
      <c r="U105" t="s">
        <v>75</v>
      </c>
    </row>
    <row r="106" spans="1:21" hidden="1" x14ac:dyDescent="0.25">
      <c r="A106" s="1">
        <v>99</v>
      </c>
      <c r="C106" s="7" t="s">
        <v>39</v>
      </c>
      <c r="D106" s="17">
        <v>21983</v>
      </c>
      <c r="E106" s="7" t="s">
        <v>8</v>
      </c>
      <c r="F106" s="7" t="s">
        <v>142</v>
      </c>
      <c r="G106" s="7" t="s">
        <v>40</v>
      </c>
      <c r="H106" s="8" t="s">
        <v>35</v>
      </c>
      <c r="I106" s="8">
        <v>626472</v>
      </c>
      <c r="J106" s="7" t="s">
        <v>178</v>
      </c>
      <c r="K106" s="27">
        <v>24</v>
      </c>
      <c r="L106" s="27">
        <v>3</v>
      </c>
      <c r="M106" s="27">
        <v>2</v>
      </c>
      <c r="N106" s="18" t="s">
        <v>177</v>
      </c>
      <c r="O106" s="18">
        <v>44447</v>
      </c>
      <c r="P106" s="8" t="s">
        <v>173</v>
      </c>
      <c r="Q106" s="1">
        <f t="shared" si="7"/>
        <v>1</v>
      </c>
      <c r="R106" s="16" t="s">
        <v>701</v>
      </c>
    </row>
    <row r="107" spans="1:21" hidden="1" x14ac:dyDescent="0.25">
      <c r="A107" s="1">
        <v>100</v>
      </c>
      <c r="C107" s="7" t="s">
        <v>39</v>
      </c>
      <c r="D107" s="17">
        <v>26408</v>
      </c>
      <c r="E107" s="7" t="s">
        <v>13</v>
      </c>
      <c r="F107" s="7" t="s">
        <v>138</v>
      </c>
      <c r="G107" s="7" t="s">
        <v>34</v>
      </c>
      <c r="H107" s="8" t="s">
        <v>72</v>
      </c>
      <c r="I107" s="8">
        <v>510745</v>
      </c>
      <c r="J107" s="7" t="s">
        <v>66</v>
      </c>
      <c r="K107" s="27">
        <v>8</v>
      </c>
      <c r="L107" s="27">
        <v>1</v>
      </c>
      <c r="M107" s="27">
        <v>11</v>
      </c>
      <c r="N107" s="18" t="s">
        <v>179</v>
      </c>
      <c r="O107" s="18">
        <v>44448</v>
      </c>
      <c r="P107" s="8" t="s">
        <v>173</v>
      </c>
      <c r="Q107" s="1">
        <f t="shared" si="7"/>
        <v>1</v>
      </c>
      <c r="R107" s="16" t="s">
        <v>701</v>
      </c>
    </row>
    <row r="108" spans="1:21" x14ac:dyDescent="0.25">
      <c r="A108" s="1">
        <v>101</v>
      </c>
      <c r="B108" s="1">
        <v>50609084</v>
      </c>
      <c r="C108" s="7" t="s">
        <v>39</v>
      </c>
      <c r="D108" s="17">
        <v>27350</v>
      </c>
      <c r="E108" s="7" t="s">
        <v>14</v>
      </c>
      <c r="F108" s="7" t="s">
        <v>81</v>
      </c>
      <c r="G108" s="7" t="s">
        <v>40</v>
      </c>
      <c r="H108" s="7" t="s">
        <v>35</v>
      </c>
      <c r="I108" s="7">
        <v>419491</v>
      </c>
      <c r="J108" s="7" t="s">
        <v>82</v>
      </c>
      <c r="K108" s="24">
        <v>24</v>
      </c>
      <c r="L108" s="24">
        <v>3</v>
      </c>
      <c r="M108" s="24">
        <v>9</v>
      </c>
      <c r="N108" s="8" t="s">
        <v>181</v>
      </c>
      <c r="O108" s="18">
        <v>44448</v>
      </c>
      <c r="P108" s="8" t="s">
        <v>173</v>
      </c>
      <c r="Q108" s="1">
        <f t="shared" si="7"/>
        <v>1</v>
      </c>
      <c r="R108" t="s">
        <v>699</v>
      </c>
      <c r="S108" s="1">
        <v>4</v>
      </c>
      <c r="T108" s="7">
        <v>419491</v>
      </c>
      <c r="U108" s="7" t="s">
        <v>82</v>
      </c>
    </row>
    <row r="109" spans="1:21" hidden="1" x14ac:dyDescent="0.25">
      <c r="A109" s="1">
        <v>102</v>
      </c>
      <c r="C109" s="7" t="s">
        <v>39</v>
      </c>
      <c r="D109" s="17">
        <v>26413</v>
      </c>
      <c r="E109" s="7" t="s">
        <v>13</v>
      </c>
      <c r="F109" s="7" t="s">
        <v>138</v>
      </c>
      <c r="G109" s="7" t="s">
        <v>148</v>
      </c>
      <c r="H109" s="8" t="s">
        <v>35</v>
      </c>
      <c r="I109" s="8">
        <v>389970</v>
      </c>
      <c r="J109" s="7" t="s">
        <v>69</v>
      </c>
      <c r="K109" s="27">
        <v>8</v>
      </c>
      <c r="L109" s="27">
        <v>1</v>
      </c>
      <c r="M109" s="27">
        <v>20</v>
      </c>
      <c r="N109" s="18" t="s">
        <v>182</v>
      </c>
      <c r="O109" s="18">
        <v>44449</v>
      </c>
      <c r="P109" s="8" t="s">
        <v>173</v>
      </c>
      <c r="Q109" s="1">
        <v>1</v>
      </c>
      <c r="R109" s="16" t="s">
        <v>701</v>
      </c>
    </row>
    <row r="110" spans="1:21" hidden="1" x14ac:dyDescent="0.25">
      <c r="A110" s="1">
        <v>103</v>
      </c>
      <c r="C110" s="7" t="s">
        <v>39</v>
      </c>
      <c r="D110" s="17">
        <v>24917</v>
      </c>
      <c r="E110" s="7" t="s">
        <v>7</v>
      </c>
      <c r="F110" s="7" t="s">
        <v>78</v>
      </c>
      <c r="G110" s="7" t="s">
        <v>79</v>
      </c>
      <c r="H110" s="8" t="s">
        <v>35</v>
      </c>
      <c r="I110" s="8">
        <v>354951</v>
      </c>
      <c r="J110" s="7" t="s">
        <v>63</v>
      </c>
      <c r="K110" s="27">
        <v>16</v>
      </c>
      <c r="L110" s="27">
        <v>2</v>
      </c>
      <c r="M110" s="27">
        <v>1</v>
      </c>
      <c r="N110" s="18" t="s">
        <v>180</v>
      </c>
      <c r="O110" s="18">
        <v>44449</v>
      </c>
      <c r="P110" s="8" t="s">
        <v>173</v>
      </c>
      <c r="Q110" s="1">
        <v>1</v>
      </c>
      <c r="R110" s="16" t="s">
        <v>701</v>
      </c>
    </row>
    <row r="111" spans="1:21" hidden="1" x14ac:dyDescent="0.25">
      <c r="A111" s="1">
        <v>104</v>
      </c>
      <c r="C111" s="7" t="s">
        <v>39</v>
      </c>
      <c r="D111" s="17">
        <v>26396</v>
      </c>
      <c r="E111" s="7" t="s">
        <v>13</v>
      </c>
      <c r="F111" s="7" t="s">
        <v>138</v>
      </c>
      <c r="G111" s="7" t="s">
        <v>34</v>
      </c>
      <c r="H111" s="8" t="s">
        <v>72</v>
      </c>
      <c r="I111" s="8">
        <v>510745</v>
      </c>
      <c r="J111" s="7" t="s">
        <v>66</v>
      </c>
      <c r="K111" s="27">
        <v>8</v>
      </c>
      <c r="L111" s="27">
        <v>1</v>
      </c>
      <c r="M111" s="27">
        <v>10</v>
      </c>
      <c r="N111" s="18" t="s">
        <v>182</v>
      </c>
      <c r="O111" s="18">
        <v>44450</v>
      </c>
      <c r="P111" s="8" t="s">
        <v>173</v>
      </c>
      <c r="Q111" s="1">
        <v>1</v>
      </c>
      <c r="R111" s="16" t="s">
        <v>701</v>
      </c>
    </row>
    <row r="112" spans="1:21" hidden="1" x14ac:dyDescent="0.25">
      <c r="A112" s="1">
        <v>105</v>
      </c>
      <c r="C112" s="7" t="s">
        <v>39</v>
      </c>
      <c r="D112" s="17">
        <v>26390</v>
      </c>
      <c r="E112" s="7" t="s">
        <v>13</v>
      </c>
      <c r="F112" s="7" t="s">
        <v>138</v>
      </c>
      <c r="G112" s="7" t="s">
        <v>34</v>
      </c>
      <c r="H112" s="8" t="s">
        <v>35</v>
      </c>
      <c r="I112" s="8">
        <v>374253</v>
      </c>
      <c r="J112" s="7" t="s">
        <v>41</v>
      </c>
      <c r="K112" s="27">
        <v>8</v>
      </c>
      <c r="L112" s="27">
        <v>1</v>
      </c>
      <c r="M112" s="27">
        <v>20</v>
      </c>
      <c r="N112" s="18" t="s">
        <v>184</v>
      </c>
      <c r="O112" s="18">
        <v>44452</v>
      </c>
      <c r="P112" s="8" t="s">
        <v>173</v>
      </c>
      <c r="Q112" s="1">
        <v>1</v>
      </c>
      <c r="R112" s="16" t="s">
        <v>701</v>
      </c>
    </row>
    <row r="113" spans="1:22" x14ac:dyDescent="0.25">
      <c r="A113" s="1">
        <v>106</v>
      </c>
      <c r="B113" s="1">
        <v>50609037</v>
      </c>
      <c r="C113" s="7" t="s">
        <v>39</v>
      </c>
      <c r="D113" s="17">
        <v>27351</v>
      </c>
      <c r="E113" s="7" t="s">
        <v>14</v>
      </c>
      <c r="F113" s="7" t="s">
        <v>81</v>
      </c>
      <c r="G113" s="7" t="s">
        <v>40</v>
      </c>
      <c r="H113" s="7" t="s">
        <v>35</v>
      </c>
      <c r="I113" s="7">
        <v>419491</v>
      </c>
      <c r="J113" s="7" t="s">
        <v>82</v>
      </c>
      <c r="K113" s="24">
        <v>24</v>
      </c>
      <c r="L113" s="24">
        <v>3</v>
      </c>
      <c r="M113" s="24">
        <v>11</v>
      </c>
      <c r="N113" s="8" t="s">
        <v>183</v>
      </c>
      <c r="O113" s="18">
        <v>44452</v>
      </c>
      <c r="P113" s="8" t="s">
        <v>173</v>
      </c>
      <c r="Q113" s="1">
        <f t="shared" ref="Q113" si="8">IF(O113&lt;=$D$3,1,0)</f>
        <v>1</v>
      </c>
      <c r="R113" t="s">
        <v>699</v>
      </c>
      <c r="S113" s="1">
        <v>4</v>
      </c>
      <c r="T113" s="42">
        <v>419491</v>
      </c>
      <c r="U113" s="7" t="s">
        <v>82</v>
      </c>
    </row>
    <row r="114" spans="1:22" x14ac:dyDescent="0.25">
      <c r="A114" s="1">
        <v>107</v>
      </c>
      <c r="C114" s="7" t="s">
        <v>39</v>
      </c>
      <c r="D114" s="17">
        <v>26376</v>
      </c>
      <c r="E114" s="7" t="s">
        <v>13</v>
      </c>
      <c r="F114" s="7" t="s">
        <v>138</v>
      </c>
      <c r="G114" s="7" t="s">
        <v>34</v>
      </c>
      <c r="H114" s="8" t="s">
        <v>35</v>
      </c>
      <c r="I114" s="8">
        <v>374253</v>
      </c>
      <c r="J114" s="7" t="s">
        <v>41</v>
      </c>
      <c r="K114" s="27">
        <v>8</v>
      </c>
      <c r="L114" s="27">
        <v>1</v>
      </c>
      <c r="M114" s="27">
        <v>20</v>
      </c>
      <c r="N114" s="18" t="s">
        <v>185</v>
      </c>
      <c r="O114" s="18">
        <v>44453</v>
      </c>
      <c r="P114" s="8" t="s">
        <v>173</v>
      </c>
      <c r="Q114" s="1">
        <v>1</v>
      </c>
      <c r="R114" s="218" t="s">
        <v>699</v>
      </c>
      <c r="S114" s="1">
        <v>8</v>
      </c>
      <c r="T114" s="2"/>
    </row>
    <row r="115" spans="1:22" x14ac:dyDescent="0.25">
      <c r="A115" s="1">
        <v>108</v>
      </c>
      <c r="B115" s="1">
        <v>50610039</v>
      </c>
      <c r="C115" s="7" t="s">
        <v>39</v>
      </c>
      <c r="D115" s="17">
        <v>22121</v>
      </c>
      <c r="E115" s="7" t="s">
        <v>13</v>
      </c>
      <c r="F115" s="7" t="s">
        <v>186</v>
      </c>
      <c r="G115" s="7" t="s">
        <v>79</v>
      </c>
      <c r="H115" s="8" t="s">
        <v>35</v>
      </c>
      <c r="I115" s="8">
        <v>354951</v>
      </c>
      <c r="J115" s="7" t="s">
        <v>63</v>
      </c>
      <c r="K115" s="27">
        <v>16</v>
      </c>
      <c r="L115" s="27">
        <v>2</v>
      </c>
      <c r="M115" s="27">
        <v>11</v>
      </c>
      <c r="N115" s="18" t="s">
        <v>185</v>
      </c>
      <c r="O115" s="18">
        <v>44454</v>
      </c>
      <c r="P115" s="8" t="s">
        <v>173</v>
      </c>
      <c r="Q115" s="1">
        <v>1</v>
      </c>
      <c r="R115" t="s">
        <v>699</v>
      </c>
      <c r="S115" s="1">
        <v>12</v>
      </c>
      <c r="T115" s="42">
        <v>458886</v>
      </c>
      <c r="U115" s="7" t="s">
        <v>75</v>
      </c>
    </row>
    <row r="116" spans="1:22" x14ac:dyDescent="0.25">
      <c r="A116" s="1">
        <v>109</v>
      </c>
      <c r="B116" s="1">
        <v>50610038</v>
      </c>
      <c r="C116" s="7" t="s">
        <v>39</v>
      </c>
      <c r="D116" s="17">
        <v>21437</v>
      </c>
      <c r="E116" s="7" t="s">
        <v>13</v>
      </c>
      <c r="F116" s="7" t="s">
        <v>74</v>
      </c>
      <c r="G116" s="7" t="s">
        <v>79</v>
      </c>
      <c r="H116" s="8" t="s">
        <v>35</v>
      </c>
      <c r="I116" s="8">
        <v>389970</v>
      </c>
      <c r="J116" s="7" t="s">
        <v>69</v>
      </c>
      <c r="K116" s="27">
        <v>16</v>
      </c>
      <c r="L116" s="27">
        <v>2</v>
      </c>
      <c r="M116" s="27">
        <v>18</v>
      </c>
      <c r="N116" s="18" t="s">
        <v>185</v>
      </c>
      <c r="O116" s="18">
        <v>44454</v>
      </c>
      <c r="P116" s="8" t="s">
        <v>173</v>
      </c>
      <c r="Q116" s="1">
        <v>1</v>
      </c>
      <c r="R116" t="s">
        <v>699</v>
      </c>
      <c r="S116" s="1">
        <v>9</v>
      </c>
      <c r="T116" s="8">
        <v>510745</v>
      </c>
      <c r="U116" s="171" t="s">
        <v>623</v>
      </c>
    </row>
    <row r="117" spans="1:22" x14ac:dyDescent="0.25">
      <c r="A117" s="1">
        <v>110</v>
      </c>
      <c r="B117" s="1">
        <v>50609048</v>
      </c>
      <c r="C117" s="7" t="s">
        <v>39</v>
      </c>
      <c r="D117" s="17">
        <v>26051</v>
      </c>
      <c r="E117" s="7" t="s">
        <v>14</v>
      </c>
      <c r="F117" s="7" t="s">
        <v>81</v>
      </c>
      <c r="G117" s="7" t="s">
        <v>159</v>
      </c>
      <c r="H117" s="7" t="s">
        <v>35</v>
      </c>
      <c r="I117" s="7">
        <v>411339</v>
      </c>
      <c r="J117" s="7" t="s">
        <v>112</v>
      </c>
      <c r="K117" s="24">
        <v>16</v>
      </c>
      <c r="L117" s="24">
        <v>2</v>
      </c>
      <c r="M117" s="24">
        <v>9</v>
      </c>
      <c r="N117" s="8" t="s">
        <v>188</v>
      </c>
      <c r="O117" s="18">
        <v>44456</v>
      </c>
      <c r="P117" s="8" t="s">
        <v>173</v>
      </c>
      <c r="Q117" s="1">
        <f t="shared" ref="Q117" si="9">IF(O117&lt;=$D$3,1,0)</f>
        <v>1</v>
      </c>
      <c r="R117" t="s">
        <v>699</v>
      </c>
      <c r="S117" s="1">
        <v>9</v>
      </c>
      <c r="T117" s="8">
        <v>411339</v>
      </c>
      <c r="U117" s="171" t="s">
        <v>112</v>
      </c>
    </row>
    <row r="118" spans="1:22" x14ac:dyDescent="0.25">
      <c r="A118" s="1">
        <v>111</v>
      </c>
      <c r="B118" s="206">
        <v>50610840</v>
      </c>
      <c r="C118" s="7" t="s">
        <v>39</v>
      </c>
      <c r="D118" s="17">
        <v>29696</v>
      </c>
      <c r="E118" s="7" t="s">
        <v>12</v>
      </c>
      <c r="F118" s="7" t="s">
        <v>61</v>
      </c>
      <c r="G118" s="7" t="s">
        <v>34</v>
      </c>
      <c r="H118" s="8" t="s">
        <v>72</v>
      </c>
      <c r="I118" s="8">
        <v>374253</v>
      </c>
      <c r="J118" s="7" t="s">
        <v>41</v>
      </c>
      <c r="K118" s="27">
        <v>8</v>
      </c>
      <c r="L118" s="27">
        <v>2</v>
      </c>
      <c r="M118" s="27">
        <v>4</v>
      </c>
      <c r="N118" s="18" t="s">
        <v>190</v>
      </c>
      <c r="O118" s="18">
        <v>44461</v>
      </c>
      <c r="P118" s="8" t="s">
        <v>173</v>
      </c>
      <c r="Q118" s="1">
        <f t="shared" si="7"/>
        <v>1</v>
      </c>
      <c r="R118" s="211" t="s">
        <v>699</v>
      </c>
      <c r="S118" s="260">
        <v>5</v>
      </c>
      <c r="T118" s="252">
        <v>510745</v>
      </c>
      <c r="U118" s="252" t="s">
        <v>623</v>
      </c>
      <c r="V118" s="252" t="s">
        <v>778</v>
      </c>
    </row>
    <row r="119" spans="1:22" x14ac:dyDescent="0.25">
      <c r="A119" s="1">
        <v>112</v>
      </c>
      <c r="B119" s="1">
        <v>50609381</v>
      </c>
      <c r="C119" s="7" t="s">
        <v>39</v>
      </c>
      <c r="D119" s="17">
        <v>26052</v>
      </c>
      <c r="E119" s="7" t="s">
        <v>14</v>
      </c>
      <c r="F119" s="7" t="s">
        <v>81</v>
      </c>
      <c r="G119" s="7" t="s">
        <v>159</v>
      </c>
      <c r="H119" s="7" t="s">
        <v>35</v>
      </c>
      <c r="I119" s="7">
        <v>411339</v>
      </c>
      <c r="J119" s="7" t="s">
        <v>112</v>
      </c>
      <c r="K119" s="24">
        <v>16</v>
      </c>
      <c r="L119" s="24">
        <v>2</v>
      </c>
      <c r="M119" s="24">
        <v>12</v>
      </c>
      <c r="N119" s="8" t="s">
        <v>190</v>
      </c>
      <c r="O119" s="18">
        <v>44461</v>
      </c>
      <c r="P119" s="8" t="s">
        <v>173</v>
      </c>
      <c r="Q119" s="1">
        <f t="shared" si="7"/>
        <v>1</v>
      </c>
      <c r="R119" t="s">
        <v>699</v>
      </c>
      <c r="S119" s="1">
        <v>8</v>
      </c>
      <c r="T119" s="8">
        <v>411339</v>
      </c>
      <c r="U119" s="171" t="s">
        <v>112</v>
      </c>
    </row>
    <row r="120" spans="1:22" hidden="1" x14ac:dyDescent="0.25">
      <c r="A120" s="1">
        <v>113</v>
      </c>
      <c r="C120" s="7" t="s">
        <v>39</v>
      </c>
      <c r="D120" s="17">
        <v>26091</v>
      </c>
      <c r="E120" s="7" t="s">
        <v>13</v>
      </c>
      <c r="F120" s="7" t="s">
        <v>138</v>
      </c>
      <c r="G120" s="7" t="s">
        <v>79</v>
      </c>
      <c r="H120" s="8" t="s">
        <v>35</v>
      </c>
      <c r="I120" s="8">
        <v>389970</v>
      </c>
      <c r="J120" s="7" t="s">
        <v>69</v>
      </c>
      <c r="K120" s="27">
        <v>16</v>
      </c>
      <c r="L120" s="27">
        <v>2</v>
      </c>
      <c r="M120" s="27">
        <v>20</v>
      </c>
      <c r="N120" s="18" t="s">
        <v>191</v>
      </c>
      <c r="O120" s="18">
        <v>44462</v>
      </c>
      <c r="P120" s="8" t="s">
        <v>173</v>
      </c>
      <c r="Q120" s="1">
        <f t="shared" si="7"/>
        <v>1</v>
      </c>
      <c r="R120" s="16" t="s">
        <v>701</v>
      </c>
    </row>
    <row r="121" spans="1:22" x14ac:dyDescent="0.25">
      <c r="A121" s="1">
        <v>114</v>
      </c>
      <c r="B121" s="1">
        <v>50609385</v>
      </c>
      <c r="C121" s="7" t="s">
        <v>39</v>
      </c>
      <c r="D121" s="17">
        <v>27353</v>
      </c>
      <c r="E121" s="7" t="s">
        <v>14</v>
      </c>
      <c r="F121" s="7" t="s">
        <v>81</v>
      </c>
      <c r="G121" s="7" t="s">
        <v>40</v>
      </c>
      <c r="H121" s="7" t="s">
        <v>35</v>
      </c>
      <c r="I121" s="7">
        <v>489671</v>
      </c>
      <c r="J121" s="7" t="s">
        <v>98</v>
      </c>
      <c r="K121" s="24">
        <v>24</v>
      </c>
      <c r="L121" s="24">
        <v>3</v>
      </c>
      <c r="M121" s="24">
        <v>11</v>
      </c>
      <c r="N121" s="8" t="s">
        <v>190</v>
      </c>
      <c r="O121" s="18">
        <v>44462</v>
      </c>
      <c r="P121" s="8" t="s">
        <v>173</v>
      </c>
      <c r="Q121" s="1">
        <f t="shared" si="7"/>
        <v>1</v>
      </c>
      <c r="R121" t="s">
        <v>699</v>
      </c>
      <c r="S121" s="260">
        <v>8</v>
      </c>
      <c r="T121" s="8">
        <v>489671</v>
      </c>
      <c r="U121" s="7" t="s">
        <v>98</v>
      </c>
    </row>
    <row r="122" spans="1:22" x14ac:dyDescent="0.25">
      <c r="A122" s="1">
        <v>115</v>
      </c>
      <c r="B122" s="1">
        <v>50609392</v>
      </c>
      <c r="C122" s="7" t="s">
        <v>39</v>
      </c>
      <c r="D122" s="17">
        <v>24751</v>
      </c>
      <c r="E122" s="7" t="s">
        <v>7</v>
      </c>
      <c r="F122" s="7" t="s">
        <v>78</v>
      </c>
      <c r="G122" s="7" t="s">
        <v>40</v>
      </c>
      <c r="H122" s="8" t="s">
        <v>35</v>
      </c>
      <c r="I122" s="8">
        <v>354951</v>
      </c>
      <c r="J122" s="7" t="s">
        <v>63</v>
      </c>
      <c r="K122" s="27">
        <v>24</v>
      </c>
      <c r="L122" s="27">
        <v>3</v>
      </c>
      <c r="M122" s="27">
        <v>2</v>
      </c>
      <c r="N122" s="18" t="s">
        <v>191</v>
      </c>
      <c r="O122" s="18">
        <v>44463</v>
      </c>
      <c r="P122" s="8" t="s">
        <v>173</v>
      </c>
      <c r="Q122" s="1">
        <v>1</v>
      </c>
      <c r="R122" t="s">
        <v>699</v>
      </c>
      <c r="S122" s="1">
        <v>10</v>
      </c>
      <c r="T122" s="8">
        <v>374253</v>
      </c>
      <c r="U122" s="171" t="s">
        <v>621</v>
      </c>
    </row>
    <row r="123" spans="1:22" hidden="1" x14ac:dyDescent="0.25">
      <c r="A123" s="1">
        <v>116</v>
      </c>
      <c r="C123" s="7" t="s">
        <v>39</v>
      </c>
      <c r="D123" s="17">
        <v>26409</v>
      </c>
      <c r="E123" s="7" t="s">
        <v>13</v>
      </c>
      <c r="F123" s="7" t="s">
        <v>138</v>
      </c>
      <c r="G123" s="7" t="s">
        <v>34</v>
      </c>
      <c r="H123" s="8" t="s">
        <v>72</v>
      </c>
      <c r="I123" s="8">
        <v>510745</v>
      </c>
      <c r="J123" s="7" t="s">
        <v>66</v>
      </c>
      <c r="K123" s="27">
        <v>8</v>
      </c>
      <c r="L123" s="27">
        <v>1</v>
      </c>
      <c r="M123" s="27">
        <v>11</v>
      </c>
      <c r="N123" s="18" t="s">
        <v>193</v>
      </c>
      <c r="O123" s="18">
        <v>44464</v>
      </c>
      <c r="P123" s="8" t="s">
        <v>173</v>
      </c>
      <c r="Q123" s="1">
        <v>1</v>
      </c>
      <c r="R123" s="16" t="s">
        <v>701</v>
      </c>
    </row>
    <row r="124" spans="1:22" x14ac:dyDescent="0.25">
      <c r="A124" s="1">
        <v>117</v>
      </c>
      <c r="B124" s="1">
        <v>50610390</v>
      </c>
      <c r="C124" s="7" t="s">
        <v>39</v>
      </c>
      <c r="D124" s="17">
        <v>28025</v>
      </c>
      <c r="E124" s="7" t="s">
        <v>14</v>
      </c>
      <c r="F124" s="7" t="s">
        <v>88</v>
      </c>
      <c r="G124" s="7" t="s">
        <v>94</v>
      </c>
      <c r="H124" s="7" t="s">
        <v>35</v>
      </c>
      <c r="I124" s="7" t="s">
        <v>95</v>
      </c>
      <c r="J124" s="7" t="s">
        <v>96</v>
      </c>
      <c r="K124" s="24">
        <v>16</v>
      </c>
      <c r="L124" s="24">
        <v>2</v>
      </c>
      <c r="M124" s="24">
        <v>13</v>
      </c>
      <c r="N124" s="8" t="s">
        <v>193</v>
      </c>
      <c r="O124" s="18">
        <v>44464</v>
      </c>
      <c r="P124" s="8" t="s">
        <v>173</v>
      </c>
      <c r="Q124" s="1">
        <f t="shared" ref="Q124:Q125" si="10">IF(O124&lt;=$D$3,1,0)</f>
        <v>1</v>
      </c>
      <c r="R124" s="211" t="s">
        <v>699</v>
      </c>
      <c r="S124" s="1">
        <v>8</v>
      </c>
      <c r="U124" t="s">
        <v>653</v>
      </c>
      <c r="V124" t="s">
        <v>779</v>
      </c>
    </row>
    <row r="125" spans="1:22" x14ac:dyDescent="0.25">
      <c r="A125" s="1">
        <v>118</v>
      </c>
      <c r="B125" s="1">
        <v>50609395</v>
      </c>
      <c r="C125" s="7" t="s">
        <v>39</v>
      </c>
      <c r="D125" s="17">
        <v>27354</v>
      </c>
      <c r="E125" s="7" t="s">
        <v>14</v>
      </c>
      <c r="F125" s="7" t="s">
        <v>81</v>
      </c>
      <c r="G125" s="7" t="s">
        <v>40</v>
      </c>
      <c r="H125" s="7" t="s">
        <v>35</v>
      </c>
      <c r="I125" s="7">
        <v>489671</v>
      </c>
      <c r="J125" s="7" t="s">
        <v>98</v>
      </c>
      <c r="K125" s="24">
        <v>24</v>
      </c>
      <c r="L125" s="24">
        <v>3</v>
      </c>
      <c r="M125" s="24">
        <v>9</v>
      </c>
      <c r="N125" s="8" t="s">
        <v>194</v>
      </c>
      <c r="O125" s="18">
        <v>44466</v>
      </c>
      <c r="P125" s="8" t="s">
        <v>173</v>
      </c>
      <c r="Q125" s="1">
        <f t="shared" si="10"/>
        <v>1</v>
      </c>
      <c r="R125" t="s">
        <v>699</v>
      </c>
      <c r="S125" s="1">
        <v>5</v>
      </c>
      <c r="T125">
        <v>489671</v>
      </c>
      <c r="U125" t="s">
        <v>780</v>
      </c>
    </row>
    <row r="126" spans="1:22" hidden="1" x14ac:dyDescent="0.25">
      <c r="A126" s="1">
        <v>119</v>
      </c>
      <c r="C126" s="7" t="s">
        <v>39</v>
      </c>
      <c r="D126" s="17">
        <v>26095</v>
      </c>
      <c r="E126" s="7" t="s">
        <v>13</v>
      </c>
      <c r="F126" s="7" t="s">
        <v>138</v>
      </c>
      <c r="G126" s="7" t="s">
        <v>79</v>
      </c>
      <c r="H126" s="8" t="s">
        <v>35</v>
      </c>
      <c r="I126" s="8">
        <v>389970</v>
      </c>
      <c r="J126" s="7" t="s">
        <v>69</v>
      </c>
      <c r="K126" s="27">
        <v>16</v>
      </c>
      <c r="L126" s="27">
        <v>2</v>
      </c>
      <c r="M126" s="27">
        <v>20</v>
      </c>
      <c r="N126" s="18" t="s">
        <v>195</v>
      </c>
      <c r="O126" s="18">
        <v>44467</v>
      </c>
      <c r="P126" s="8" t="s">
        <v>173</v>
      </c>
      <c r="Q126" s="1">
        <f t="shared" si="7"/>
        <v>1</v>
      </c>
      <c r="R126" s="16" t="s">
        <v>701</v>
      </c>
    </row>
    <row r="127" spans="1:22" hidden="1" x14ac:dyDescent="0.25">
      <c r="A127" s="1">
        <v>120</v>
      </c>
      <c r="C127" s="7" t="s">
        <v>39</v>
      </c>
      <c r="D127" s="17">
        <v>28129</v>
      </c>
      <c r="E127" s="7" t="s">
        <v>13</v>
      </c>
      <c r="F127" s="7" t="s">
        <v>138</v>
      </c>
      <c r="G127" s="7" t="s">
        <v>94</v>
      </c>
      <c r="H127" s="8" t="s">
        <v>35</v>
      </c>
      <c r="I127" s="8">
        <v>510745</v>
      </c>
      <c r="J127" s="7" t="s">
        <v>66</v>
      </c>
      <c r="K127" s="27">
        <v>16</v>
      </c>
      <c r="L127" s="27">
        <v>2</v>
      </c>
      <c r="M127" s="27">
        <v>6</v>
      </c>
      <c r="N127" s="18" t="s">
        <v>195</v>
      </c>
      <c r="O127" s="18">
        <v>44467</v>
      </c>
      <c r="P127" s="8" t="s">
        <v>173</v>
      </c>
      <c r="Q127" s="1">
        <f t="shared" si="7"/>
        <v>1</v>
      </c>
      <c r="R127" s="16" t="s">
        <v>701</v>
      </c>
    </row>
    <row r="128" spans="1:22" hidden="1" x14ac:dyDescent="0.25">
      <c r="A128" s="1">
        <v>121</v>
      </c>
      <c r="C128" s="7" t="s">
        <v>39</v>
      </c>
      <c r="D128" s="17">
        <v>26403</v>
      </c>
      <c r="E128" s="7" t="s">
        <v>13</v>
      </c>
      <c r="F128" s="7" t="s">
        <v>138</v>
      </c>
      <c r="G128" s="7" t="s">
        <v>34</v>
      </c>
      <c r="H128" s="8" t="s">
        <v>72</v>
      </c>
      <c r="I128" s="8">
        <v>458886</v>
      </c>
      <c r="J128" s="7" t="s">
        <v>75</v>
      </c>
      <c r="K128" s="27">
        <v>8</v>
      </c>
      <c r="L128" s="27">
        <v>1</v>
      </c>
      <c r="M128" s="27">
        <v>15</v>
      </c>
      <c r="N128" s="18" t="s">
        <v>197</v>
      </c>
      <c r="O128" s="18">
        <v>44468</v>
      </c>
      <c r="P128" s="8" t="s">
        <v>173</v>
      </c>
      <c r="Q128" s="1">
        <f t="shared" si="7"/>
        <v>1</v>
      </c>
      <c r="R128" t="s">
        <v>701</v>
      </c>
      <c r="S128" s="130"/>
      <c r="T128" s="131"/>
      <c r="U128" s="131"/>
      <c r="V128" t="s">
        <v>781</v>
      </c>
    </row>
    <row r="129" spans="1:22" hidden="1" x14ac:dyDescent="0.25">
      <c r="A129" s="1">
        <v>122</v>
      </c>
      <c r="C129" s="7" t="s">
        <v>39</v>
      </c>
      <c r="D129" s="17">
        <v>24920</v>
      </c>
      <c r="E129" s="7" t="s">
        <v>7</v>
      </c>
      <c r="F129" s="7" t="s">
        <v>78</v>
      </c>
      <c r="G129" s="7" t="s">
        <v>79</v>
      </c>
      <c r="H129" s="8" t="s">
        <v>35</v>
      </c>
      <c r="I129" s="8">
        <v>354951</v>
      </c>
      <c r="J129" s="7" t="s">
        <v>63</v>
      </c>
      <c r="K129" s="27">
        <v>16</v>
      </c>
      <c r="L129" s="27">
        <v>2</v>
      </c>
      <c r="M129" s="27">
        <v>1</v>
      </c>
      <c r="N129" s="18" t="s">
        <v>196</v>
      </c>
      <c r="O129" s="18">
        <v>44468</v>
      </c>
      <c r="P129" s="8" t="s">
        <v>173</v>
      </c>
      <c r="Q129" s="1">
        <f t="shared" si="7"/>
        <v>1</v>
      </c>
      <c r="R129" s="16" t="s">
        <v>701</v>
      </c>
    </row>
    <row r="130" spans="1:22" hidden="1" x14ac:dyDescent="0.25">
      <c r="A130" s="1">
        <v>123</v>
      </c>
      <c r="C130" s="7" t="s">
        <v>39</v>
      </c>
      <c r="D130" s="17">
        <v>26098</v>
      </c>
      <c r="E130" s="7" t="s">
        <v>13</v>
      </c>
      <c r="F130" s="7" t="s">
        <v>138</v>
      </c>
      <c r="G130" s="7" t="s">
        <v>79</v>
      </c>
      <c r="H130" s="8" t="s">
        <v>35</v>
      </c>
      <c r="I130" s="8">
        <v>389970</v>
      </c>
      <c r="J130" s="7" t="s">
        <v>69</v>
      </c>
      <c r="K130" s="27">
        <v>16</v>
      </c>
      <c r="L130" s="27">
        <v>2</v>
      </c>
      <c r="M130" s="27">
        <v>20</v>
      </c>
      <c r="N130" s="18" t="s">
        <v>197</v>
      </c>
      <c r="O130" s="18">
        <v>44469</v>
      </c>
      <c r="P130" s="8" t="s">
        <v>173</v>
      </c>
      <c r="Q130" s="1">
        <f t="shared" si="7"/>
        <v>1</v>
      </c>
      <c r="R130" s="16" t="s">
        <v>701</v>
      </c>
    </row>
    <row r="131" spans="1:22" x14ac:dyDescent="0.25">
      <c r="A131" s="1">
        <v>124</v>
      </c>
      <c r="B131" s="1">
        <v>50609357</v>
      </c>
      <c r="C131" s="7" t="s">
        <v>39</v>
      </c>
      <c r="D131" s="17">
        <v>26040</v>
      </c>
      <c r="E131" s="7" t="s">
        <v>14</v>
      </c>
      <c r="F131" s="7" t="s">
        <v>81</v>
      </c>
      <c r="G131" s="7" t="s">
        <v>199</v>
      </c>
      <c r="H131" s="7" t="s">
        <v>35</v>
      </c>
      <c r="I131" s="7">
        <v>354951</v>
      </c>
      <c r="J131" s="7" t="s">
        <v>63</v>
      </c>
      <c r="K131" s="24">
        <v>8</v>
      </c>
      <c r="L131" s="24">
        <v>1</v>
      </c>
      <c r="M131" s="24">
        <v>5</v>
      </c>
      <c r="N131" s="8" t="s">
        <v>198</v>
      </c>
      <c r="O131" s="18">
        <v>44469</v>
      </c>
      <c r="P131" s="8" t="s">
        <v>173</v>
      </c>
      <c r="Q131" s="1">
        <f t="shared" si="7"/>
        <v>1</v>
      </c>
      <c r="R131" t="s">
        <v>699</v>
      </c>
      <c r="S131" s="1">
        <v>3</v>
      </c>
      <c r="T131">
        <v>354951</v>
      </c>
      <c r="U131" t="s">
        <v>639</v>
      </c>
    </row>
    <row r="132" spans="1:22" x14ac:dyDescent="0.25">
      <c r="A132" s="1">
        <v>125</v>
      </c>
      <c r="B132" s="240">
        <v>50609356</v>
      </c>
      <c r="C132" s="7" t="s">
        <v>39</v>
      </c>
      <c r="D132" s="17">
        <v>26044</v>
      </c>
      <c r="E132" s="7" t="s">
        <v>14</v>
      </c>
      <c r="F132" s="7" t="s">
        <v>81</v>
      </c>
      <c r="G132" s="7" t="s">
        <v>62</v>
      </c>
      <c r="H132" s="7" t="s">
        <v>35</v>
      </c>
      <c r="I132" s="7">
        <v>316048</v>
      </c>
      <c r="J132" s="7" t="s">
        <v>122</v>
      </c>
      <c r="K132" s="24">
        <v>24</v>
      </c>
      <c r="L132" s="24">
        <v>3</v>
      </c>
      <c r="M132" s="24">
        <v>12</v>
      </c>
      <c r="N132" s="18">
        <v>44468</v>
      </c>
      <c r="O132" s="18">
        <v>44470</v>
      </c>
      <c r="P132" s="8" t="s">
        <v>202</v>
      </c>
      <c r="Q132" s="1">
        <f t="shared" si="7"/>
        <v>1</v>
      </c>
      <c r="R132" t="s">
        <v>699</v>
      </c>
      <c r="S132" s="1">
        <v>10</v>
      </c>
      <c r="U132" t="s">
        <v>782</v>
      </c>
    </row>
    <row r="133" spans="1:22" hidden="1" x14ac:dyDescent="0.25">
      <c r="A133" s="1">
        <v>126</v>
      </c>
      <c r="C133" s="7" t="s">
        <v>39</v>
      </c>
      <c r="D133" s="17">
        <v>26406</v>
      </c>
      <c r="E133" s="7" t="s">
        <v>13</v>
      </c>
      <c r="F133" s="7" t="s">
        <v>138</v>
      </c>
      <c r="G133" s="7" t="s">
        <v>34</v>
      </c>
      <c r="H133" s="8" t="s">
        <v>72</v>
      </c>
      <c r="I133" s="8">
        <v>510745</v>
      </c>
      <c r="J133" s="7" t="s">
        <v>66</v>
      </c>
      <c r="K133" s="27">
        <v>8</v>
      </c>
      <c r="L133" s="27">
        <v>1</v>
      </c>
      <c r="M133" s="27">
        <v>8</v>
      </c>
      <c r="N133" s="18" t="s">
        <v>200</v>
      </c>
      <c r="O133" s="18">
        <v>44471</v>
      </c>
      <c r="P133" s="8" t="s">
        <v>202</v>
      </c>
      <c r="Q133" s="1">
        <f t="shared" si="7"/>
        <v>1</v>
      </c>
      <c r="R133" s="16" t="s">
        <v>701</v>
      </c>
    </row>
    <row r="134" spans="1:22" hidden="1" x14ac:dyDescent="0.25">
      <c r="A134" s="1">
        <v>127</v>
      </c>
      <c r="C134" s="7" t="s">
        <v>39</v>
      </c>
      <c r="D134" s="17">
        <v>26407</v>
      </c>
      <c r="E134" s="7" t="s">
        <v>13</v>
      </c>
      <c r="F134" s="7" t="s">
        <v>138</v>
      </c>
      <c r="G134" s="7" t="s">
        <v>34</v>
      </c>
      <c r="H134" s="8" t="s">
        <v>72</v>
      </c>
      <c r="I134" s="8">
        <v>350060</v>
      </c>
      <c r="J134" s="7" t="s">
        <v>36</v>
      </c>
      <c r="K134" s="27">
        <v>8</v>
      </c>
      <c r="L134" s="27">
        <v>1</v>
      </c>
      <c r="M134" s="27">
        <v>11</v>
      </c>
      <c r="N134" s="18" t="s">
        <v>200</v>
      </c>
      <c r="O134" s="18">
        <v>44471</v>
      </c>
      <c r="P134" s="8" t="s">
        <v>202</v>
      </c>
      <c r="Q134" s="1">
        <f t="shared" si="7"/>
        <v>1</v>
      </c>
      <c r="R134" s="16" t="s">
        <v>701</v>
      </c>
    </row>
    <row r="135" spans="1:22" x14ac:dyDescent="0.25">
      <c r="A135" s="1">
        <v>128</v>
      </c>
      <c r="B135" s="1">
        <v>50609358</v>
      </c>
      <c r="C135" s="7" t="s">
        <v>39</v>
      </c>
      <c r="D135" s="17">
        <v>27355</v>
      </c>
      <c r="E135" s="7" t="s">
        <v>14</v>
      </c>
      <c r="F135" s="7" t="s">
        <v>81</v>
      </c>
      <c r="G135" s="7" t="s">
        <v>40</v>
      </c>
      <c r="H135" s="7" t="s">
        <v>35</v>
      </c>
      <c r="I135" s="7">
        <v>419491</v>
      </c>
      <c r="J135" s="7" t="s">
        <v>82</v>
      </c>
      <c r="K135" s="24">
        <v>24</v>
      </c>
      <c r="L135" s="24">
        <v>3</v>
      </c>
      <c r="M135" s="24">
        <v>12</v>
      </c>
      <c r="N135" s="8" t="s">
        <v>198</v>
      </c>
      <c r="O135" s="18">
        <v>44471</v>
      </c>
      <c r="P135" s="8" t="s">
        <v>202</v>
      </c>
      <c r="Q135" s="1">
        <f t="shared" si="7"/>
        <v>1</v>
      </c>
      <c r="R135" t="s">
        <v>699</v>
      </c>
      <c r="S135" s="1">
        <v>10</v>
      </c>
      <c r="U135" t="s">
        <v>783</v>
      </c>
    </row>
    <row r="136" spans="1:22" hidden="1" x14ac:dyDescent="0.25">
      <c r="A136" s="1">
        <v>129</v>
      </c>
      <c r="C136" s="7" t="s">
        <v>39</v>
      </c>
      <c r="D136" s="17">
        <v>26375</v>
      </c>
      <c r="E136" s="7" t="s">
        <v>13</v>
      </c>
      <c r="F136" s="7" t="s">
        <v>138</v>
      </c>
      <c r="G136" s="7" t="s">
        <v>34</v>
      </c>
      <c r="H136" s="8" t="s">
        <v>72</v>
      </c>
      <c r="I136" s="8">
        <v>510745</v>
      </c>
      <c r="J136" s="7" t="s">
        <v>66</v>
      </c>
      <c r="K136" s="27">
        <v>8</v>
      </c>
      <c r="L136" s="27">
        <v>1</v>
      </c>
      <c r="M136" s="27">
        <v>20</v>
      </c>
      <c r="N136" s="18" t="s">
        <v>203</v>
      </c>
      <c r="O136" s="18">
        <v>44475</v>
      </c>
      <c r="P136" s="8" t="s">
        <v>202</v>
      </c>
      <c r="Q136" s="1">
        <f t="shared" si="7"/>
        <v>1</v>
      </c>
      <c r="R136" s="16" t="s">
        <v>701</v>
      </c>
    </row>
    <row r="137" spans="1:22" x14ac:dyDescent="0.25">
      <c r="A137" s="1">
        <v>130</v>
      </c>
      <c r="B137" s="1">
        <v>50610447</v>
      </c>
      <c r="C137" s="7" t="s">
        <v>39</v>
      </c>
      <c r="D137" s="17">
        <v>28029</v>
      </c>
      <c r="E137" s="7" t="s">
        <v>14</v>
      </c>
      <c r="F137" s="7" t="s">
        <v>88</v>
      </c>
      <c r="G137" s="7" t="s">
        <v>94</v>
      </c>
      <c r="H137" s="7" t="s">
        <v>35</v>
      </c>
      <c r="I137" s="7" t="s">
        <v>95</v>
      </c>
      <c r="J137" s="7" t="s">
        <v>96</v>
      </c>
      <c r="K137" s="24">
        <v>16</v>
      </c>
      <c r="L137" s="24">
        <v>2</v>
      </c>
      <c r="M137" s="24">
        <v>3</v>
      </c>
      <c r="N137" s="8" t="s">
        <v>203</v>
      </c>
      <c r="O137" s="18">
        <v>44475</v>
      </c>
      <c r="P137" s="8" t="s">
        <v>202</v>
      </c>
      <c r="Q137" s="1">
        <f t="shared" si="7"/>
        <v>1</v>
      </c>
      <c r="R137" t="s">
        <v>699</v>
      </c>
      <c r="S137" s="1">
        <v>11</v>
      </c>
      <c r="U137" s="206" t="s">
        <v>676</v>
      </c>
      <c r="V137" s="206"/>
    </row>
    <row r="138" spans="1:22" hidden="1" x14ac:dyDescent="0.25">
      <c r="A138" s="1">
        <v>131</v>
      </c>
      <c r="C138" s="7" t="s">
        <v>39</v>
      </c>
      <c r="D138" s="17">
        <v>26093</v>
      </c>
      <c r="E138" s="7" t="s">
        <v>13</v>
      </c>
      <c r="F138" s="7" t="s">
        <v>138</v>
      </c>
      <c r="G138" s="7" t="s">
        <v>79</v>
      </c>
      <c r="H138" s="8" t="s">
        <v>35</v>
      </c>
      <c r="I138" s="8">
        <v>389970</v>
      </c>
      <c r="J138" s="7" t="s">
        <v>69</v>
      </c>
      <c r="K138" s="27">
        <v>16</v>
      </c>
      <c r="L138" s="27">
        <v>2</v>
      </c>
      <c r="M138" s="27">
        <v>20</v>
      </c>
      <c r="N138" s="18" t="s">
        <v>204</v>
      </c>
      <c r="O138" s="18">
        <v>44476</v>
      </c>
      <c r="P138" s="8" t="s">
        <v>202</v>
      </c>
      <c r="Q138" s="1">
        <f t="shared" si="7"/>
        <v>1</v>
      </c>
      <c r="R138" s="16" t="s">
        <v>701</v>
      </c>
    </row>
    <row r="139" spans="1:22" hidden="1" x14ac:dyDescent="0.25">
      <c r="A139" s="1">
        <v>132</v>
      </c>
      <c r="C139" s="7" t="s">
        <v>39</v>
      </c>
      <c r="D139" s="17">
        <v>27356</v>
      </c>
      <c r="E139" s="7" t="s">
        <v>14</v>
      </c>
      <c r="F139" s="7" t="s">
        <v>81</v>
      </c>
      <c r="G139" s="7" t="s">
        <v>40</v>
      </c>
      <c r="H139" s="7" t="s">
        <v>35</v>
      </c>
      <c r="I139" s="7">
        <v>419491</v>
      </c>
      <c r="J139" s="7" t="s">
        <v>82</v>
      </c>
      <c r="K139" s="24">
        <v>24</v>
      </c>
      <c r="L139" s="24">
        <v>3</v>
      </c>
      <c r="M139" s="24">
        <v>9</v>
      </c>
      <c r="N139" s="8" t="s">
        <v>203</v>
      </c>
      <c r="O139" s="18">
        <v>44476</v>
      </c>
      <c r="P139" s="8" t="s">
        <v>202</v>
      </c>
      <c r="Q139" s="1">
        <f t="shared" si="7"/>
        <v>1</v>
      </c>
      <c r="R139" t="s">
        <v>701</v>
      </c>
      <c r="S139" s="1" t="s">
        <v>784</v>
      </c>
    </row>
    <row r="140" spans="1:22" hidden="1" x14ac:dyDescent="0.25">
      <c r="A140" s="1">
        <v>133</v>
      </c>
      <c r="C140" s="7" t="s">
        <v>39</v>
      </c>
      <c r="D140" s="17">
        <v>24752</v>
      </c>
      <c r="E140" s="7" t="s">
        <v>7</v>
      </c>
      <c r="F140" s="7" t="s">
        <v>78</v>
      </c>
      <c r="G140" s="7" t="s">
        <v>40</v>
      </c>
      <c r="H140" s="8" t="s">
        <v>35</v>
      </c>
      <c r="I140" s="8">
        <v>354951</v>
      </c>
      <c r="J140" s="7" t="s">
        <v>63</v>
      </c>
      <c r="K140" s="27">
        <v>24</v>
      </c>
      <c r="L140" s="27">
        <v>3</v>
      </c>
      <c r="M140" s="27">
        <v>1</v>
      </c>
      <c r="N140" s="18" t="s">
        <v>204</v>
      </c>
      <c r="O140" s="18">
        <v>44477</v>
      </c>
      <c r="P140" s="8" t="s">
        <v>202</v>
      </c>
      <c r="Q140" s="1">
        <f t="shared" si="7"/>
        <v>1</v>
      </c>
      <c r="R140" s="16" t="s">
        <v>701</v>
      </c>
    </row>
    <row r="141" spans="1:22" x14ac:dyDescent="0.25">
      <c r="A141" s="1">
        <v>134</v>
      </c>
      <c r="B141" s="1">
        <v>50609452</v>
      </c>
      <c r="C141" s="7" t="s">
        <v>39</v>
      </c>
      <c r="D141" s="17">
        <v>26045</v>
      </c>
      <c r="E141" s="7" t="s">
        <v>14</v>
      </c>
      <c r="F141" s="7" t="s">
        <v>81</v>
      </c>
      <c r="G141" s="7" t="s">
        <v>62</v>
      </c>
      <c r="H141" s="7" t="s">
        <v>35</v>
      </c>
      <c r="I141" s="7">
        <v>316048</v>
      </c>
      <c r="J141" s="7" t="s">
        <v>122</v>
      </c>
      <c r="K141" s="24">
        <v>24</v>
      </c>
      <c r="L141" s="24">
        <v>3</v>
      </c>
      <c r="M141" s="24">
        <v>7</v>
      </c>
      <c r="N141" s="8" t="s">
        <v>206</v>
      </c>
      <c r="O141" s="18">
        <v>44479</v>
      </c>
      <c r="P141" s="8" t="s">
        <v>202</v>
      </c>
      <c r="Q141" s="1">
        <f t="shared" si="7"/>
        <v>1</v>
      </c>
      <c r="R141" t="s">
        <v>699</v>
      </c>
      <c r="S141" s="1">
        <v>4</v>
      </c>
      <c r="U141" t="s">
        <v>782</v>
      </c>
    </row>
    <row r="142" spans="1:22" hidden="1" x14ac:dyDescent="0.25">
      <c r="A142" s="1">
        <v>135</v>
      </c>
      <c r="C142" s="7" t="s">
        <v>39</v>
      </c>
      <c r="D142" s="17">
        <v>26391</v>
      </c>
      <c r="E142" s="7" t="s">
        <v>13</v>
      </c>
      <c r="F142" s="7" t="s">
        <v>138</v>
      </c>
      <c r="G142" s="7" t="s">
        <v>34</v>
      </c>
      <c r="H142" s="8" t="s">
        <v>35</v>
      </c>
      <c r="I142" s="8">
        <v>374253</v>
      </c>
      <c r="J142" s="7" t="s">
        <v>41</v>
      </c>
      <c r="K142" s="27">
        <v>8</v>
      </c>
      <c r="L142" s="27">
        <v>1</v>
      </c>
      <c r="M142" s="27">
        <v>20</v>
      </c>
      <c r="N142" s="18" t="s">
        <v>208</v>
      </c>
      <c r="O142" s="18">
        <v>44480</v>
      </c>
      <c r="P142" s="8" t="s">
        <v>202</v>
      </c>
      <c r="Q142" s="1">
        <f t="shared" si="7"/>
        <v>1</v>
      </c>
      <c r="R142" s="16" t="s">
        <v>701</v>
      </c>
    </row>
    <row r="143" spans="1:22" x14ac:dyDescent="0.25">
      <c r="A143" s="1">
        <v>136</v>
      </c>
      <c r="B143" s="1">
        <v>50610410</v>
      </c>
      <c r="C143" s="7" t="s">
        <v>39</v>
      </c>
      <c r="D143" s="17">
        <v>21438</v>
      </c>
      <c r="E143" s="7" t="s">
        <v>13</v>
      </c>
      <c r="F143" s="7" t="s">
        <v>74</v>
      </c>
      <c r="G143" s="7" t="s">
        <v>79</v>
      </c>
      <c r="H143" s="8" t="s">
        <v>35</v>
      </c>
      <c r="I143" s="8">
        <v>389970</v>
      </c>
      <c r="J143" s="7" t="s">
        <v>69</v>
      </c>
      <c r="K143" s="27">
        <v>16</v>
      </c>
      <c r="L143" s="27">
        <v>2</v>
      </c>
      <c r="M143" s="27">
        <v>8</v>
      </c>
      <c r="N143" s="18" t="s">
        <v>209</v>
      </c>
      <c r="O143" s="18">
        <v>44483</v>
      </c>
      <c r="P143" s="8" t="s">
        <v>202</v>
      </c>
      <c r="Q143" s="1">
        <f t="shared" si="7"/>
        <v>1</v>
      </c>
      <c r="R143" t="s">
        <v>699</v>
      </c>
      <c r="S143" s="1">
        <v>10</v>
      </c>
      <c r="T143">
        <v>458886</v>
      </c>
      <c r="U143" t="s">
        <v>617</v>
      </c>
      <c r="V143" t="s">
        <v>785</v>
      </c>
    </row>
    <row r="144" spans="1:22" hidden="1" x14ac:dyDescent="0.25">
      <c r="A144" s="1">
        <v>137</v>
      </c>
      <c r="C144" s="7" t="s">
        <v>39</v>
      </c>
      <c r="D144" s="17">
        <v>26417</v>
      </c>
      <c r="E144" s="7" t="s">
        <v>13</v>
      </c>
      <c r="F144" s="7" t="s">
        <v>138</v>
      </c>
      <c r="G144" s="7" t="s">
        <v>148</v>
      </c>
      <c r="H144" s="8" t="s">
        <v>35</v>
      </c>
      <c r="I144" s="8">
        <v>354951</v>
      </c>
      <c r="J144" s="7" t="s">
        <v>63</v>
      </c>
      <c r="K144" s="27">
        <v>8</v>
      </c>
      <c r="L144" s="27">
        <v>1</v>
      </c>
      <c r="M144" s="27">
        <v>12</v>
      </c>
      <c r="N144" s="18" t="s">
        <v>210</v>
      </c>
      <c r="O144" s="18">
        <v>44483</v>
      </c>
      <c r="P144" s="8" t="s">
        <v>202</v>
      </c>
      <c r="Q144" s="1">
        <f t="shared" si="7"/>
        <v>1</v>
      </c>
      <c r="R144" s="16" t="s">
        <v>701</v>
      </c>
    </row>
    <row r="145" spans="1:22" hidden="1" x14ac:dyDescent="0.25">
      <c r="A145" s="1">
        <v>138</v>
      </c>
      <c r="C145" s="7" t="s">
        <v>39</v>
      </c>
      <c r="D145" s="17">
        <v>26385</v>
      </c>
      <c r="E145" s="7" t="s">
        <v>13</v>
      </c>
      <c r="F145" s="7" t="s">
        <v>138</v>
      </c>
      <c r="G145" s="7" t="s">
        <v>34</v>
      </c>
      <c r="H145" s="8" t="s">
        <v>35</v>
      </c>
      <c r="I145" s="8">
        <v>374253</v>
      </c>
      <c r="J145" s="7" t="s">
        <v>41</v>
      </c>
      <c r="K145" s="27">
        <v>8</v>
      </c>
      <c r="L145" s="27">
        <v>1</v>
      </c>
      <c r="M145" s="27">
        <v>20</v>
      </c>
      <c r="N145" s="18" t="s">
        <v>211</v>
      </c>
      <c r="O145" s="18">
        <v>44484</v>
      </c>
      <c r="P145" s="8" t="s">
        <v>202</v>
      </c>
      <c r="Q145" s="1">
        <f t="shared" si="7"/>
        <v>1</v>
      </c>
      <c r="R145" s="16" t="s">
        <v>701</v>
      </c>
    </row>
    <row r="146" spans="1:22" x14ac:dyDescent="0.25">
      <c r="A146" s="1">
        <v>139</v>
      </c>
      <c r="B146" s="1">
        <v>50609470</v>
      </c>
      <c r="C146" s="7" t="s">
        <v>39</v>
      </c>
      <c r="D146" s="17">
        <v>27357</v>
      </c>
      <c r="E146" s="7" t="s">
        <v>14</v>
      </c>
      <c r="F146" s="7" t="s">
        <v>81</v>
      </c>
      <c r="G146" s="7" t="s">
        <v>40</v>
      </c>
      <c r="H146" s="7" t="s">
        <v>35</v>
      </c>
      <c r="I146" s="7">
        <v>489671</v>
      </c>
      <c r="J146" s="7" t="s">
        <v>98</v>
      </c>
      <c r="K146" s="24">
        <v>24</v>
      </c>
      <c r="L146" s="24">
        <v>3</v>
      </c>
      <c r="M146" s="24">
        <v>12</v>
      </c>
      <c r="N146" s="8" t="s">
        <v>210</v>
      </c>
      <c r="O146" s="18">
        <v>44485</v>
      </c>
      <c r="P146" s="8" t="s">
        <v>202</v>
      </c>
      <c r="Q146" s="1">
        <f t="shared" si="7"/>
        <v>1</v>
      </c>
      <c r="R146" t="s">
        <v>699</v>
      </c>
      <c r="S146" s="1">
        <v>12</v>
      </c>
      <c r="U146" t="s">
        <v>780</v>
      </c>
    </row>
    <row r="147" spans="1:22" hidden="1" x14ac:dyDescent="0.25">
      <c r="A147" s="1">
        <v>140</v>
      </c>
      <c r="C147" s="7" t="s">
        <v>39</v>
      </c>
      <c r="D147" s="17">
        <v>24071</v>
      </c>
      <c r="E147" s="7" t="s">
        <v>6</v>
      </c>
      <c r="F147" s="7" t="s">
        <v>33</v>
      </c>
      <c r="G147" s="7" t="s">
        <v>65</v>
      </c>
      <c r="H147" s="8" t="s">
        <v>35</v>
      </c>
      <c r="I147" s="8">
        <v>350060</v>
      </c>
      <c r="J147" s="7" t="s">
        <v>36</v>
      </c>
      <c r="K147" s="27">
        <v>24</v>
      </c>
      <c r="L147" s="27">
        <v>3</v>
      </c>
      <c r="M147" s="27">
        <v>7</v>
      </c>
      <c r="N147" s="18" t="s">
        <v>211</v>
      </c>
      <c r="O147" s="18">
        <v>44486</v>
      </c>
      <c r="P147" s="8" t="s">
        <v>202</v>
      </c>
      <c r="Q147" s="1">
        <f t="shared" si="7"/>
        <v>1</v>
      </c>
      <c r="R147" s="16" t="s">
        <v>701</v>
      </c>
    </row>
    <row r="148" spans="1:22" hidden="1" x14ac:dyDescent="0.25">
      <c r="A148" s="1">
        <v>141</v>
      </c>
      <c r="C148" s="7" t="s">
        <v>39</v>
      </c>
      <c r="D148" s="17">
        <v>24835</v>
      </c>
      <c r="E148" s="7" t="s">
        <v>8</v>
      </c>
      <c r="F148" s="7" t="s">
        <v>142</v>
      </c>
      <c r="G148" s="7" t="s">
        <v>159</v>
      </c>
      <c r="H148" s="8" t="s">
        <v>35</v>
      </c>
      <c r="I148" s="8">
        <v>332706</v>
      </c>
      <c r="J148" s="7" t="s">
        <v>214</v>
      </c>
      <c r="K148" s="27">
        <v>16</v>
      </c>
      <c r="L148" s="27">
        <v>2</v>
      </c>
      <c r="M148" s="27">
        <v>2</v>
      </c>
      <c r="N148" s="18" t="s">
        <v>215</v>
      </c>
      <c r="O148" s="18">
        <v>44490</v>
      </c>
      <c r="P148" s="8" t="s">
        <v>202</v>
      </c>
      <c r="Q148" s="1">
        <f t="shared" si="7"/>
        <v>1</v>
      </c>
      <c r="R148" s="16" t="s">
        <v>701</v>
      </c>
    </row>
    <row r="149" spans="1:22" x14ac:dyDescent="0.25">
      <c r="A149" s="1">
        <v>142</v>
      </c>
      <c r="B149" s="1">
        <v>50609429</v>
      </c>
      <c r="C149" s="7" t="s">
        <v>39</v>
      </c>
      <c r="D149" s="17">
        <v>27358</v>
      </c>
      <c r="E149" s="7" t="s">
        <v>14</v>
      </c>
      <c r="F149" s="7" t="s">
        <v>81</v>
      </c>
      <c r="G149" s="7" t="s">
        <v>40</v>
      </c>
      <c r="H149" s="7" t="s">
        <v>35</v>
      </c>
      <c r="I149" s="7">
        <v>489671</v>
      </c>
      <c r="J149" s="7" t="s">
        <v>98</v>
      </c>
      <c r="K149" s="24">
        <v>24</v>
      </c>
      <c r="L149" s="24">
        <v>3</v>
      </c>
      <c r="M149" s="24">
        <v>12</v>
      </c>
      <c r="N149" s="8" t="s">
        <v>217</v>
      </c>
      <c r="O149" s="18">
        <v>44490</v>
      </c>
      <c r="P149" s="8" t="s">
        <v>202</v>
      </c>
      <c r="Q149" s="1">
        <f t="shared" si="7"/>
        <v>1</v>
      </c>
      <c r="R149" t="s">
        <v>699</v>
      </c>
      <c r="S149" s="1">
        <v>8</v>
      </c>
      <c r="T149" s="8">
        <v>491912</v>
      </c>
      <c r="U149" t="s">
        <v>777</v>
      </c>
      <c r="V149" t="s">
        <v>786</v>
      </c>
    </row>
    <row r="150" spans="1:22" x14ac:dyDescent="0.25">
      <c r="A150" s="1">
        <v>143</v>
      </c>
      <c r="B150" s="1">
        <v>50610446</v>
      </c>
      <c r="C150" s="7" t="s">
        <v>39</v>
      </c>
      <c r="D150" s="17">
        <v>26393</v>
      </c>
      <c r="E150" s="7" t="s">
        <v>13</v>
      </c>
      <c r="F150" s="7" t="s">
        <v>138</v>
      </c>
      <c r="G150" s="7" t="s">
        <v>34</v>
      </c>
      <c r="H150" s="8" t="s">
        <v>72</v>
      </c>
      <c r="I150" s="8">
        <v>510745</v>
      </c>
      <c r="J150" s="7" t="s">
        <v>66</v>
      </c>
      <c r="K150" s="27">
        <v>8</v>
      </c>
      <c r="L150" s="27">
        <v>1</v>
      </c>
      <c r="M150" s="27">
        <v>11</v>
      </c>
      <c r="N150" s="18" t="s">
        <v>218</v>
      </c>
      <c r="O150" s="18">
        <v>44492</v>
      </c>
      <c r="P150" s="8" t="s">
        <v>202</v>
      </c>
      <c r="Q150" s="1">
        <f t="shared" si="7"/>
        <v>1</v>
      </c>
      <c r="R150" t="s">
        <v>699</v>
      </c>
      <c r="S150" s="1">
        <v>6</v>
      </c>
      <c r="T150">
        <v>458886</v>
      </c>
      <c r="U150" t="s">
        <v>617</v>
      </c>
    </row>
    <row r="151" spans="1:22" hidden="1" x14ac:dyDescent="0.25">
      <c r="A151" s="1">
        <v>144</v>
      </c>
      <c r="C151" s="7" t="s">
        <v>39</v>
      </c>
      <c r="D151" s="17">
        <v>26387</v>
      </c>
      <c r="E151" s="7" t="s">
        <v>13</v>
      </c>
      <c r="F151" s="7" t="s">
        <v>138</v>
      </c>
      <c r="G151" s="7" t="s">
        <v>34</v>
      </c>
      <c r="H151" s="8" t="s">
        <v>35</v>
      </c>
      <c r="I151" s="8">
        <v>374253</v>
      </c>
      <c r="J151" s="7" t="s">
        <v>41</v>
      </c>
      <c r="K151" s="27">
        <v>8</v>
      </c>
      <c r="L151" s="27">
        <v>1</v>
      </c>
      <c r="M151" s="27">
        <v>20</v>
      </c>
      <c r="N151" s="18" t="s">
        <v>220</v>
      </c>
      <c r="O151" s="18">
        <v>44494</v>
      </c>
      <c r="P151" s="8" t="s">
        <v>202</v>
      </c>
      <c r="Q151" s="1">
        <f t="shared" si="7"/>
        <v>1</v>
      </c>
      <c r="R151" s="16" t="s">
        <v>701</v>
      </c>
    </row>
    <row r="152" spans="1:22" x14ac:dyDescent="0.25">
      <c r="A152" s="1">
        <v>145</v>
      </c>
      <c r="B152" s="1">
        <v>50609437</v>
      </c>
      <c r="C152" s="7" t="s">
        <v>39</v>
      </c>
      <c r="D152" s="17">
        <v>27359</v>
      </c>
      <c r="E152" s="7" t="s">
        <v>14</v>
      </c>
      <c r="F152" s="7" t="s">
        <v>81</v>
      </c>
      <c r="G152" s="7" t="s">
        <v>40</v>
      </c>
      <c r="H152" s="7" t="s">
        <v>35</v>
      </c>
      <c r="I152" s="7">
        <v>489671</v>
      </c>
      <c r="J152" s="7" t="s">
        <v>98</v>
      </c>
      <c r="K152" s="24">
        <v>24</v>
      </c>
      <c r="L152" s="24">
        <v>3</v>
      </c>
      <c r="M152" s="24">
        <v>8</v>
      </c>
      <c r="N152" s="8" t="s">
        <v>219</v>
      </c>
      <c r="O152" s="18">
        <v>44494</v>
      </c>
      <c r="P152" s="8" t="s">
        <v>202</v>
      </c>
      <c r="Q152" s="1">
        <f t="shared" si="7"/>
        <v>1</v>
      </c>
      <c r="R152" t="s">
        <v>699</v>
      </c>
      <c r="S152" s="1">
        <v>6</v>
      </c>
      <c r="U152" t="s">
        <v>780</v>
      </c>
    </row>
    <row r="153" spans="1:22" x14ac:dyDescent="0.25">
      <c r="A153" s="1">
        <v>146</v>
      </c>
      <c r="B153" s="43">
        <v>50610257</v>
      </c>
      <c r="C153" s="7" t="s">
        <v>39</v>
      </c>
      <c r="D153" s="17">
        <v>22122</v>
      </c>
      <c r="E153" s="7" t="s">
        <v>13</v>
      </c>
      <c r="F153" s="7" t="s">
        <v>186</v>
      </c>
      <c r="G153" s="7" t="s">
        <v>79</v>
      </c>
      <c r="H153" s="8" t="s">
        <v>35</v>
      </c>
      <c r="I153" s="8">
        <v>389970</v>
      </c>
      <c r="J153" s="7" t="s">
        <v>69</v>
      </c>
      <c r="K153" s="27">
        <v>16</v>
      </c>
      <c r="L153" s="27">
        <v>2</v>
      </c>
      <c r="M153" s="27">
        <v>6</v>
      </c>
      <c r="N153" s="18" t="s">
        <v>221</v>
      </c>
      <c r="O153" s="18">
        <v>44496</v>
      </c>
      <c r="P153" s="8" t="s">
        <v>202</v>
      </c>
      <c r="Q153" s="1">
        <f t="shared" si="7"/>
        <v>1</v>
      </c>
      <c r="R153" t="s">
        <v>699</v>
      </c>
      <c r="S153" s="1">
        <v>10</v>
      </c>
      <c r="T153">
        <v>458886</v>
      </c>
      <c r="U153" t="s">
        <v>617</v>
      </c>
    </row>
    <row r="154" spans="1:22" x14ac:dyDescent="0.25">
      <c r="A154" s="1">
        <v>147</v>
      </c>
      <c r="B154" s="1">
        <v>50611210</v>
      </c>
      <c r="C154" s="7" t="s">
        <v>39</v>
      </c>
      <c r="D154" s="17">
        <v>24083</v>
      </c>
      <c r="E154" s="7" t="s">
        <v>12</v>
      </c>
      <c r="F154" s="7" t="s">
        <v>61</v>
      </c>
      <c r="G154" s="7" t="s">
        <v>223</v>
      </c>
      <c r="H154" s="8" t="s">
        <v>35</v>
      </c>
      <c r="I154" s="8">
        <v>354951</v>
      </c>
      <c r="J154" s="7" t="s">
        <v>63</v>
      </c>
      <c r="K154" s="27">
        <v>16</v>
      </c>
      <c r="L154" s="27">
        <v>2</v>
      </c>
      <c r="M154" s="27">
        <v>13</v>
      </c>
      <c r="N154" s="18" t="s">
        <v>224</v>
      </c>
      <c r="O154" s="18">
        <v>44498</v>
      </c>
      <c r="P154" s="8" t="s">
        <v>202</v>
      </c>
      <c r="Q154" s="1">
        <f t="shared" si="7"/>
        <v>1</v>
      </c>
      <c r="R154" s="16" t="s">
        <v>699</v>
      </c>
      <c r="S154" s="1">
        <v>4</v>
      </c>
      <c r="U154" s="206" t="s">
        <v>628</v>
      </c>
      <c r="V154" s="206" t="s">
        <v>787</v>
      </c>
    </row>
    <row r="155" spans="1:22" x14ac:dyDescent="0.25">
      <c r="A155" s="1">
        <v>148</v>
      </c>
      <c r="B155" s="1">
        <v>50609269</v>
      </c>
      <c r="C155" s="7" t="s">
        <v>39</v>
      </c>
      <c r="D155" s="17">
        <v>26046</v>
      </c>
      <c r="E155" s="7" t="s">
        <v>14</v>
      </c>
      <c r="F155" s="7" t="s">
        <v>81</v>
      </c>
      <c r="G155" s="7" t="s">
        <v>62</v>
      </c>
      <c r="H155" s="7" t="s">
        <v>35</v>
      </c>
      <c r="I155" s="7">
        <v>316048</v>
      </c>
      <c r="J155" s="7" t="s">
        <v>122</v>
      </c>
      <c r="K155" s="24">
        <v>24</v>
      </c>
      <c r="L155" s="24">
        <v>3</v>
      </c>
      <c r="M155" s="24">
        <v>8</v>
      </c>
      <c r="N155" s="8" t="s">
        <v>222</v>
      </c>
      <c r="O155" s="18">
        <v>44498</v>
      </c>
      <c r="P155" s="8" t="s">
        <v>202</v>
      </c>
      <c r="Q155" s="1">
        <f t="shared" si="7"/>
        <v>1</v>
      </c>
      <c r="R155" t="s">
        <v>699</v>
      </c>
      <c r="S155" s="1">
        <v>7</v>
      </c>
      <c r="U155" t="s">
        <v>122</v>
      </c>
    </row>
    <row r="156" spans="1:22" hidden="1" x14ac:dyDescent="0.25">
      <c r="A156" s="1">
        <v>149</v>
      </c>
      <c r="C156" s="7" t="s">
        <v>39</v>
      </c>
      <c r="D156" s="17">
        <v>26381</v>
      </c>
      <c r="E156" s="7" t="s">
        <v>13</v>
      </c>
      <c r="F156" s="7" t="s">
        <v>138</v>
      </c>
      <c r="G156" s="7" t="s">
        <v>34</v>
      </c>
      <c r="H156" s="8" t="s">
        <v>35</v>
      </c>
      <c r="I156" s="8">
        <v>374253</v>
      </c>
      <c r="J156" s="7" t="s">
        <v>41</v>
      </c>
      <c r="K156" s="27">
        <v>8</v>
      </c>
      <c r="L156" s="27">
        <v>1</v>
      </c>
      <c r="M156" s="27">
        <v>20</v>
      </c>
      <c r="N156" s="18" t="s">
        <v>226</v>
      </c>
      <c r="O156" s="18">
        <v>44503</v>
      </c>
      <c r="P156" s="8" t="s">
        <v>227</v>
      </c>
      <c r="Q156" s="1">
        <f t="shared" si="7"/>
        <v>1</v>
      </c>
      <c r="R156" s="16" t="s">
        <v>701</v>
      </c>
      <c r="V156" t="s">
        <v>788</v>
      </c>
    </row>
    <row r="157" spans="1:22" hidden="1" x14ac:dyDescent="0.25">
      <c r="A157" s="1">
        <v>150</v>
      </c>
      <c r="C157" s="7" t="s">
        <v>39</v>
      </c>
      <c r="D157" s="17">
        <v>26384</v>
      </c>
      <c r="E157" s="7" t="s">
        <v>13</v>
      </c>
      <c r="F157" s="7" t="s">
        <v>138</v>
      </c>
      <c r="G157" s="7" t="s">
        <v>34</v>
      </c>
      <c r="H157" s="8" t="s">
        <v>35</v>
      </c>
      <c r="I157" s="8">
        <v>374253</v>
      </c>
      <c r="J157" s="7" t="s">
        <v>41</v>
      </c>
      <c r="K157" s="27">
        <v>8</v>
      </c>
      <c r="L157" s="27">
        <v>1</v>
      </c>
      <c r="M157" s="27">
        <v>20</v>
      </c>
      <c r="N157" s="18" t="s">
        <v>228</v>
      </c>
      <c r="O157" s="18">
        <v>44505</v>
      </c>
      <c r="P157" s="8" t="s">
        <v>227</v>
      </c>
      <c r="Q157" s="1">
        <f t="shared" si="7"/>
        <v>1</v>
      </c>
      <c r="R157" s="16" t="s">
        <v>701</v>
      </c>
      <c r="V157" t="s">
        <v>788</v>
      </c>
    </row>
    <row r="158" spans="1:22" x14ac:dyDescent="0.25">
      <c r="A158" s="1">
        <v>151</v>
      </c>
      <c r="B158" s="1">
        <v>50609285</v>
      </c>
      <c r="C158" s="7" t="s">
        <v>39</v>
      </c>
      <c r="D158" s="17">
        <v>26047</v>
      </c>
      <c r="E158" s="7" t="s">
        <v>14</v>
      </c>
      <c r="F158" s="7" t="s">
        <v>81</v>
      </c>
      <c r="G158" s="7" t="s">
        <v>62</v>
      </c>
      <c r="H158" s="7" t="s">
        <v>35</v>
      </c>
      <c r="I158" s="7">
        <v>316048</v>
      </c>
      <c r="J158" s="7" t="s">
        <v>122</v>
      </c>
      <c r="K158" s="24">
        <v>24</v>
      </c>
      <c r="L158" s="24">
        <v>3</v>
      </c>
      <c r="M158" s="24">
        <v>6</v>
      </c>
      <c r="N158" s="8" t="s">
        <v>228</v>
      </c>
      <c r="O158" s="18">
        <v>44507</v>
      </c>
      <c r="P158" s="8" t="s">
        <v>227</v>
      </c>
      <c r="Q158" s="1">
        <f t="shared" si="7"/>
        <v>1</v>
      </c>
      <c r="R158" t="s">
        <v>699</v>
      </c>
      <c r="S158" s="1">
        <v>3</v>
      </c>
      <c r="T158">
        <v>316048</v>
      </c>
      <c r="U158" t="s">
        <v>122</v>
      </c>
    </row>
    <row r="159" spans="1:22" hidden="1" x14ac:dyDescent="0.25">
      <c r="A159" s="1">
        <v>152</v>
      </c>
      <c r="C159" s="7" t="s">
        <v>39</v>
      </c>
      <c r="D159" s="17">
        <v>26394</v>
      </c>
      <c r="E159" s="7" t="s">
        <v>13</v>
      </c>
      <c r="F159" s="7" t="s">
        <v>138</v>
      </c>
      <c r="G159" s="7" t="s">
        <v>34</v>
      </c>
      <c r="H159" s="8" t="s">
        <v>72</v>
      </c>
      <c r="I159" s="8">
        <v>510745</v>
      </c>
      <c r="J159" s="7" t="s">
        <v>66</v>
      </c>
      <c r="K159" s="27">
        <v>8</v>
      </c>
      <c r="L159" s="27">
        <v>1</v>
      </c>
      <c r="M159" s="27">
        <v>9</v>
      </c>
      <c r="N159" s="18" t="s">
        <v>230</v>
      </c>
      <c r="O159" s="18">
        <v>44509</v>
      </c>
      <c r="P159" s="8" t="s">
        <v>227</v>
      </c>
      <c r="Q159" s="1">
        <f t="shared" si="7"/>
        <v>1</v>
      </c>
      <c r="R159" s="16" t="s">
        <v>701</v>
      </c>
    </row>
    <row r="160" spans="1:22" x14ac:dyDescent="0.25">
      <c r="A160" s="1">
        <v>153</v>
      </c>
      <c r="B160" s="1">
        <v>50611172</v>
      </c>
      <c r="C160" s="7" t="s">
        <v>39</v>
      </c>
      <c r="D160" s="17">
        <v>22558</v>
      </c>
      <c r="E160" s="7" t="s">
        <v>12</v>
      </c>
      <c r="F160" s="7" t="s">
        <v>61</v>
      </c>
      <c r="G160" s="7" t="s">
        <v>171</v>
      </c>
      <c r="H160" s="8" t="s">
        <v>72</v>
      </c>
      <c r="I160" s="8">
        <v>510745</v>
      </c>
      <c r="J160" s="7" t="s">
        <v>66</v>
      </c>
      <c r="K160" s="27">
        <v>8</v>
      </c>
      <c r="L160" s="27">
        <v>1</v>
      </c>
      <c r="M160" s="27">
        <v>18</v>
      </c>
      <c r="N160" s="18" t="s">
        <v>232</v>
      </c>
      <c r="O160" s="18">
        <v>44512</v>
      </c>
      <c r="P160" s="8" t="s">
        <v>227</v>
      </c>
      <c r="Q160" s="1">
        <f t="shared" si="7"/>
        <v>1</v>
      </c>
      <c r="R160" t="s">
        <v>699</v>
      </c>
      <c r="S160" s="1">
        <v>9</v>
      </c>
      <c r="T160" s="252">
        <v>510745</v>
      </c>
      <c r="U160" s="252" t="s">
        <v>623</v>
      </c>
      <c r="V160" t="s">
        <v>789</v>
      </c>
    </row>
    <row r="161" spans="1:22" hidden="1" x14ac:dyDescent="0.25">
      <c r="A161" s="1">
        <v>154</v>
      </c>
      <c r="C161" s="7" t="s">
        <v>39</v>
      </c>
      <c r="D161" s="17">
        <v>26399</v>
      </c>
      <c r="E161" s="7" t="s">
        <v>13</v>
      </c>
      <c r="F161" s="7" t="s">
        <v>138</v>
      </c>
      <c r="G161" s="7" t="s">
        <v>34</v>
      </c>
      <c r="H161" s="8" t="s">
        <v>72</v>
      </c>
      <c r="I161" s="8">
        <v>510745</v>
      </c>
      <c r="J161" s="7" t="s">
        <v>66</v>
      </c>
      <c r="K161" s="27">
        <v>8</v>
      </c>
      <c r="L161" s="27">
        <v>1</v>
      </c>
      <c r="M161" s="27">
        <v>9</v>
      </c>
      <c r="N161" s="18">
        <v>44512</v>
      </c>
      <c r="O161" s="18">
        <v>44513</v>
      </c>
      <c r="P161" s="8" t="s">
        <v>227</v>
      </c>
      <c r="Q161" s="1">
        <f t="shared" si="7"/>
        <v>1</v>
      </c>
      <c r="R161" s="16" t="s">
        <v>701</v>
      </c>
    </row>
    <row r="162" spans="1:22" x14ac:dyDescent="0.25">
      <c r="A162" s="1">
        <v>155</v>
      </c>
      <c r="C162" s="7" t="s">
        <v>39</v>
      </c>
      <c r="D162" s="17">
        <v>27360</v>
      </c>
      <c r="E162" s="7" t="s">
        <v>14</v>
      </c>
      <c r="F162" s="7" t="s">
        <v>81</v>
      </c>
      <c r="G162" s="7" t="s">
        <v>40</v>
      </c>
      <c r="H162" s="7" t="s">
        <v>35</v>
      </c>
      <c r="I162" s="7">
        <v>489671</v>
      </c>
      <c r="J162" s="7" t="s">
        <v>98</v>
      </c>
      <c r="K162" s="24">
        <v>24</v>
      </c>
      <c r="L162" s="24">
        <v>3</v>
      </c>
      <c r="M162" s="24">
        <v>12</v>
      </c>
      <c r="N162" s="8" t="s">
        <v>232</v>
      </c>
      <c r="O162" s="18">
        <v>44513</v>
      </c>
      <c r="P162" s="8" t="s">
        <v>227</v>
      </c>
      <c r="Q162" s="1">
        <f t="shared" si="7"/>
        <v>1</v>
      </c>
      <c r="R162" t="s">
        <v>699</v>
      </c>
      <c r="S162" s="1">
        <v>9</v>
      </c>
      <c r="U162" t="s">
        <v>790</v>
      </c>
    </row>
    <row r="163" spans="1:22" x14ac:dyDescent="0.25">
      <c r="A163" s="1">
        <v>156</v>
      </c>
      <c r="B163" s="1">
        <v>50609240</v>
      </c>
      <c r="C163" s="7" t="s">
        <v>39</v>
      </c>
      <c r="D163" s="17">
        <v>26164</v>
      </c>
      <c r="E163" s="7" t="s">
        <v>14</v>
      </c>
      <c r="F163" s="7" t="s">
        <v>81</v>
      </c>
      <c r="G163" s="7" t="s">
        <v>65</v>
      </c>
      <c r="H163" s="7" t="s">
        <v>35</v>
      </c>
      <c r="I163" s="7">
        <v>411339</v>
      </c>
      <c r="J163" s="7" t="s">
        <v>112</v>
      </c>
      <c r="K163" s="24">
        <v>24</v>
      </c>
      <c r="L163" s="24">
        <v>3</v>
      </c>
      <c r="M163" s="24">
        <v>12</v>
      </c>
      <c r="N163" s="8" t="s">
        <v>232</v>
      </c>
      <c r="O163" s="18">
        <v>44513</v>
      </c>
      <c r="P163" s="8" t="s">
        <v>227</v>
      </c>
      <c r="Q163" s="1">
        <f t="shared" si="7"/>
        <v>1</v>
      </c>
      <c r="R163" t="s">
        <v>699</v>
      </c>
      <c r="S163" s="1">
        <v>9</v>
      </c>
      <c r="U163" t="s">
        <v>653</v>
      </c>
      <c r="V163" t="s">
        <v>791</v>
      </c>
    </row>
    <row r="164" spans="1:22" x14ac:dyDescent="0.25">
      <c r="A164" s="1">
        <v>157</v>
      </c>
      <c r="B164" s="1">
        <v>50611174</v>
      </c>
      <c r="C164" s="7" t="s">
        <v>39</v>
      </c>
      <c r="D164" s="17">
        <v>29597</v>
      </c>
      <c r="E164" s="7" t="s">
        <v>12</v>
      </c>
      <c r="F164" s="7" t="s">
        <v>61</v>
      </c>
      <c r="G164" s="7" t="s">
        <v>235</v>
      </c>
      <c r="H164" s="8" t="s">
        <v>35</v>
      </c>
      <c r="I164" s="8">
        <v>510745</v>
      </c>
      <c r="J164" s="7" t="s">
        <v>66</v>
      </c>
      <c r="K164" s="27">
        <v>8</v>
      </c>
      <c r="L164" s="27">
        <v>1</v>
      </c>
      <c r="M164" s="27">
        <v>9</v>
      </c>
      <c r="N164" s="18" t="s">
        <v>236</v>
      </c>
      <c r="O164" s="18">
        <v>44515</v>
      </c>
      <c r="P164" s="8" t="s">
        <v>227</v>
      </c>
      <c r="Q164" s="1">
        <f t="shared" si="7"/>
        <v>1</v>
      </c>
      <c r="R164" t="s">
        <v>699</v>
      </c>
      <c r="S164" s="1">
        <v>6</v>
      </c>
      <c r="T164">
        <v>458886</v>
      </c>
      <c r="U164" t="s">
        <v>617</v>
      </c>
      <c r="V164" t="s">
        <v>792</v>
      </c>
    </row>
    <row r="165" spans="1:22" hidden="1" x14ac:dyDescent="0.25">
      <c r="A165" s="1">
        <v>158</v>
      </c>
      <c r="C165" s="7" t="s">
        <v>39</v>
      </c>
      <c r="D165" s="17">
        <v>26097</v>
      </c>
      <c r="E165" s="7" t="s">
        <v>13</v>
      </c>
      <c r="F165" s="7" t="s">
        <v>138</v>
      </c>
      <c r="G165" s="7" t="s">
        <v>79</v>
      </c>
      <c r="H165" s="8" t="s">
        <v>35</v>
      </c>
      <c r="I165" s="8">
        <v>389970</v>
      </c>
      <c r="J165" s="7" t="s">
        <v>69</v>
      </c>
      <c r="K165" s="27">
        <v>16</v>
      </c>
      <c r="L165" s="27">
        <v>2</v>
      </c>
      <c r="M165" s="27">
        <v>20</v>
      </c>
      <c r="N165" s="18" t="s">
        <v>237</v>
      </c>
      <c r="O165" s="18">
        <v>44517</v>
      </c>
      <c r="P165" s="8" t="s">
        <v>227</v>
      </c>
      <c r="Q165" s="1">
        <f t="shared" si="7"/>
        <v>1</v>
      </c>
      <c r="R165" s="16" t="s">
        <v>701</v>
      </c>
    </row>
    <row r="166" spans="1:22" hidden="1" x14ac:dyDescent="0.25">
      <c r="A166" s="1">
        <v>159</v>
      </c>
      <c r="C166" s="7" t="s">
        <v>39</v>
      </c>
      <c r="D166" s="17">
        <v>26378</v>
      </c>
      <c r="E166" s="7" t="s">
        <v>13</v>
      </c>
      <c r="F166" s="7" t="s">
        <v>138</v>
      </c>
      <c r="G166" s="7" t="s">
        <v>34</v>
      </c>
      <c r="H166" s="8" t="s">
        <v>35</v>
      </c>
      <c r="I166" s="8">
        <v>374253</v>
      </c>
      <c r="J166" s="7" t="s">
        <v>41</v>
      </c>
      <c r="K166" s="27">
        <v>8</v>
      </c>
      <c r="L166" s="27">
        <v>1</v>
      </c>
      <c r="M166" s="27">
        <v>20</v>
      </c>
      <c r="N166" s="18" t="s">
        <v>239</v>
      </c>
      <c r="O166" s="18">
        <v>44518</v>
      </c>
      <c r="P166" s="8" t="s">
        <v>227</v>
      </c>
      <c r="Q166" s="1">
        <f t="shared" ref="Q166:Q190" si="11">IF(O166&lt;=$D$3,1,0)</f>
        <v>1</v>
      </c>
      <c r="R166" s="16" t="s">
        <v>701</v>
      </c>
    </row>
    <row r="167" spans="1:22" hidden="1" x14ac:dyDescent="0.25">
      <c r="A167" s="1">
        <v>160</v>
      </c>
      <c r="C167" s="7" t="s">
        <v>39</v>
      </c>
      <c r="D167" s="17">
        <v>26380</v>
      </c>
      <c r="E167" s="7" t="s">
        <v>13</v>
      </c>
      <c r="F167" s="7" t="s">
        <v>138</v>
      </c>
      <c r="G167" s="7" t="s">
        <v>34</v>
      </c>
      <c r="H167" s="8" t="s">
        <v>35</v>
      </c>
      <c r="I167" s="8">
        <v>374253</v>
      </c>
      <c r="J167" s="7" t="s">
        <v>41</v>
      </c>
      <c r="K167" s="27">
        <v>8</v>
      </c>
      <c r="L167" s="27">
        <v>1</v>
      </c>
      <c r="M167" s="27">
        <v>20</v>
      </c>
      <c r="N167" s="18" t="s">
        <v>240</v>
      </c>
      <c r="O167" s="18">
        <v>44519</v>
      </c>
      <c r="P167" s="8" t="s">
        <v>227</v>
      </c>
      <c r="Q167" s="1">
        <f t="shared" si="11"/>
        <v>1</v>
      </c>
      <c r="R167" s="16" t="s">
        <v>701</v>
      </c>
    </row>
    <row r="168" spans="1:22" x14ac:dyDescent="0.25">
      <c r="A168" s="1">
        <v>161</v>
      </c>
      <c r="B168" s="206">
        <v>50609254</v>
      </c>
      <c r="C168" s="7" t="s">
        <v>39</v>
      </c>
      <c r="D168" s="17">
        <v>27333</v>
      </c>
      <c r="E168" s="7" t="s">
        <v>14</v>
      </c>
      <c r="F168" s="7" t="s">
        <v>81</v>
      </c>
      <c r="G168" s="7" t="s">
        <v>40</v>
      </c>
      <c r="H168" s="7" t="s">
        <v>35</v>
      </c>
      <c r="I168" s="7">
        <v>489671</v>
      </c>
      <c r="J168" s="7" t="s">
        <v>98</v>
      </c>
      <c r="K168" s="24">
        <v>24</v>
      </c>
      <c r="L168" s="24">
        <v>3</v>
      </c>
      <c r="M168" s="24">
        <v>12</v>
      </c>
      <c r="N168" s="8" t="s">
        <v>238</v>
      </c>
      <c r="O168" s="18">
        <v>44519</v>
      </c>
      <c r="P168" s="8" t="s">
        <v>227</v>
      </c>
      <c r="Q168" s="1">
        <f t="shared" si="11"/>
        <v>1</v>
      </c>
      <c r="R168" t="s">
        <v>699</v>
      </c>
      <c r="S168" s="260">
        <v>11</v>
      </c>
      <c r="T168" s="206"/>
      <c r="U168" s="206" t="s">
        <v>780</v>
      </c>
    </row>
    <row r="169" spans="1:22" x14ac:dyDescent="0.25">
      <c r="A169" s="1">
        <v>162</v>
      </c>
      <c r="B169" s="206">
        <v>50609253</v>
      </c>
      <c r="C169" s="7" t="s">
        <v>39</v>
      </c>
      <c r="D169" s="17">
        <v>26165</v>
      </c>
      <c r="E169" s="7" t="s">
        <v>14</v>
      </c>
      <c r="F169" s="7" t="s">
        <v>81</v>
      </c>
      <c r="G169" s="7" t="s">
        <v>65</v>
      </c>
      <c r="H169" s="7" t="s">
        <v>35</v>
      </c>
      <c r="I169" s="7">
        <v>411339</v>
      </c>
      <c r="J169" s="7" t="s">
        <v>112</v>
      </c>
      <c r="K169" s="24">
        <v>24</v>
      </c>
      <c r="L169" s="24">
        <v>3</v>
      </c>
      <c r="M169" s="24">
        <v>10</v>
      </c>
      <c r="N169" s="8" t="s">
        <v>238</v>
      </c>
      <c r="O169" s="18">
        <v>44519</v>
      </c>
      <c r="P169" s="8" t="s">
        <v>227</v>
      </c>
      <c r="Q169" s="1">
        <f t="shared" si="11"/>
        <v>1</v>
      </c>
      <c r="R169" t="s">
        <v>699</v>
      </c>
      <c r="S169" s="260">
        <v>9</v>
      </c>
      <c r="T169" s="206"/>
      <c r="U169" s="206" t="s">
        <v>653</v>
      </c>
      <c r="V169" s="206" t="s">
        <v>791</v>
      </c>
    </row>
    <row r="170" spans="1:22" hidden="1" x14ac:dyDescent="0.25">
      <c r="A170" s="1">
        <v>163</v>
      </c>
      <c r="C170" s="7" t="s">
        <v>39</v>
      </c>
      <c r="D170" s="17">
        <v>26398</v>
      </c>
      <c r="E170" s="7" t="s">
        <v>13</v>
      </c>
      <c r="F170" s="7" t="s">
        <v>138</v>
      </c>
      <c r="G170" s="7" t="s">
        <v>34</v>
      </c>
      <c r="H170" s="8" t="s">
        <v>72</v>
      </c>
      <c r="I170" s="8">
        <v>510745</v>
      </c>
      <c r="J170" s="7" t="s">
        <v>66</v>
      </c>
      <c r="K170" s="27">
        <v>8</v>
      </c>
      <c r="L170" s="27">
        <v>1</v>
      </c>
      <c r="M170" s="27">
        <v>10</v>
      </c>
      <c r="N170" s="18" t="s">
        <v>240</v>
      </c>
      <c r="O170" s="18">
        <v>44520</v>
      </c>
      <c r="P170" s="8" t="s">
        <v>227</v>
      </c>
      <c r="Q170" s="1">
        <f t="shared" si="11"/>
        <v>1</v>
      </c>
      <c r="R170" s="16" t="s">
        <v>701</v>
      </c>
    </row>
    <row r="171" spans="1:22" hidden="1" x14ac:dyDescent="0.25">
      <c r="A171" s="1">
        <v>164</v>
      </c>
      <c r="C171" s="7" t="s">
        <v>39</v>
      </c>
      <c r="D171" s="17">
        <v>26386</v>
      </c>
      <c r="E171" s="7" t="s">
        <v>13</v>
      </c>
      <c r="F171" s="7" t="s">
        <v>138</v>
      </c>
      <c r="G171" s="7" t="s">
        <v>34</v>
      </c>
      <c r="H171" s="8" t="s">
        <v>35</v>
      </c>
      <c r="I171" s="8">
        <v>374253</v>
      </c>
      <c r="J171" s="7" t="s">
        <v>41</v>
      </c>
      <c r="K171" s="27">
        <v>8</v>
      </c>
      <c r="L171" s="27">
        <v>1</v>
      </c>
      <c r="M171" s="27">
        <v>20</v>
      </c>
      <c r="N171" s="18" t="s">
        <v>242</v>
      </c>
      <c r="O171" s="18">
        <v>44525</v>
      </c>
      <c r="P171" s="8" t="s">
        <v>227</v>
      </c>
      <c r="Q171" s="1">
        <f t="shared" si="11"/>
        <v>1</v>
      </c>
      <c r="R171" s="16" t="s">
        <v>701</v>
      </c>
    </row>
    <row r="172" spans="1:22" x14ac:dyDescent="0.25">
      <c r="A172" s="1">
        <v>165</v>
      </c>
      <c r="C172" s="7" t="s">
        <v>39</v>
      </c>
      <c r="D172" s="17">
        <v>24921</v>
      </c>
      <c r="E172" s="7" t="s">
        <v>7</v>
      </c>
      <c r="F172" s="7" t="s">
        <v>78</v>
      </c>
      <c r="G172" s="7" t="s">
        <v>79</v>
      </c>
      <c r="H172" s="8" t="s">
        <v>35</v>
      </c>
      <c r="I172" s="8">
        <v>354951</v>
      </c>
      <c r="J172" s="7" t="s">
        <v>63</v>
      </c>
      <c r="K172" s="27">
        <v>16</v>
      </c>
      <c r="L172" s="27">
        <v>2</v>
      </c>
      <c r="M172" s="27">
        <v>13</v>
      </c>
      <c r="N172" s="18" t="s">
        <v>243</v>
      </c>
      <c r="O172" s="18">
        <v>44525</v>
      </c>
      <c r="P172" s="8" t="s">
        <v>227</v>
      </c>
      <c r="Q172" s="1">
        <f t="shared" si="11"/>
        <v>1</v>
      </c>
      <c r="R172" t="s">
        <v>699</v>
      </c>
      <c r="S172" s="260">
        <v>8</v>
      </c>
      <c r="T172" s="206">
        <v>458886</v>
      </c>
      <c r="U172" s="206" t="s">
        <v>617</v>
      </c>
    </row>
    <row r="173" spans="1:22" hidden="1" x14ac:dyDescent="0.25">
      <c r="A173" s="1">
        <v>166</v>
      </c>
      <c r="C173" s="7" t="s">
        <v>39</v>
      </c>
      <c r="D173" s="17">
        <v>26383</v>
      </c>
      <c r="E173" s="7" t="s">
        <v>13</v>
      </c>
      <c r="F173" s="7" t="s">
        <v>138</v>
      </c>
      <c r="G173" s="7" t="s">
        <v>34</v>
      </c>
      <c r="H173" s="8" t="s">
        <v>35</v>
      </c>
      <c r="I173" s="8">
        <v>374253</v>
      </c>
      <c r="J173" s="7" t="s">
        <v>41</v>
      </c>
      <c r="K173" s="27">
        <v>8</v>
      </c>
      <c r="L173" s="27">
        <v>1</v>
      </c>
      <c r="M173" s="27">
        <v>20</v>
      </c>
      <c r="N173" s="18" t="s">
        <v>244</v>
      </c>
      <c r="O173" s="18">
        <v>44526</v>
      </c>
      <c r="P173" s="8" t="s">
        <v>227</v>
      </c>
      <c r="Q173" s="1">
        <f t="shared" si="11"/>
        <v>1</v>
      </c>
      <c r="R173" s="16" t="s">
        <v>701</v>
      </c>
    </row>
    <row r="174" spans="1:22" x14ac:dyDescent="0.25">
      <c r="A174" s="1">
        <v>167</v>
      </c>
      <c r="B174" s="206">
        <v>50610325</v>
      </c>
      <c r="C174" s="7" t="s">
        <v>39</v>
      </c>
      <c r="D174" s="17">
        <v>28030</v>
      </c>
      <c r="E174" s="7" t="s">
        <v>14</v>
      </c>
      <c r="F174" s="7" t="s">
        <v>88</v>
      </c>
      <c r="G174" s="7" t="s">
        <v>94</v>
      </c>
      <c r="H174" s="7" t="s">
        <v>35</v>
      </c>
      <c r="I174" s="7" t="s">
        <v>95</v>
      </c>
      <c r="J174" s="7" t="s">
        <v>96</v>
      </c>
      <c r="K174" s="24">
        <v>16</v>
      </c>
      <c r="L174" s="24">
        <v>2</v>
      </c>
      <c r="M174" s="24">
        <v>7</v>
      </c>
      <c r="N174" s="8" t="s">
        <v>242</v>
      </c>
      <c r="O174" s="18">
        <v>44526</v>
      </c>
      <c r="P174" s="8" t="s">
        <v>227</v>
      </c>
      <c r="Q174" s="1">
        <f t="shared" si="11"/>
        <v>1</v>
      </c>
      <c r="R174" t="s">
        <v>699</v>
      </c>
      <c r="S174" s="1">
        <v>7</v>
      </c>
      <c r="U174" s="206" t="s">
        <v>676</v>
      </c>
      <c r="V174" s="206" t="s">
        <v>793</v>
      </c>
    </row>
    <row r="175" spans="1:22" hidden="1" x14ac:dyDescent="0.25">
      <c r="A175" s="1">
        <v>168</v>
      </c>
      <c r="C175" s="7" t="s">
        <v>39</v>
      </c>
      <c r="D175" s="17">
        <v>26160</v>
      </c>
      <c r="E175" s="7" t="s">
        <v>14</v>
      </c>
      <c r="F175" s="7" t="s">
        <v>81</v>
      </c>
      <c r="G175" s="7" t="s">
        <v>65</v>
      </c>
      <c r="H175" s="7" t="s">
        <v>35</v>
      </c>
      <c r="I175" s="7">
        <v>350060</v>
      </c>
      <c r="J175" s="7" t="s">
        <v>36</v>
      </c>
      <c r="K175" s="24">
        <v>24</v>
      </c>
      <c r="L175" s="24">
        <v>3</v>
      </c>
      <c r="M175" s="24">
        <v>12</v>
      </c>
      <c r="N175" s="8" t="s">
        <v>242</v>
      </c>
      <c r="O175" s="18">
        <v>44527</v>
      </c>
      <c r="P175" s="8" t="s">
        <v>227</v>
      </c>
      <c r="Q175" s="1">
        <f t="shared" si="11"/>
        <v>1</v>
      </c>
      <c r="R175" s="16" t="s">
        <v>701</v>
      </c>
    </row>
    <row r="176" spans="1:22" x14ac:dyDescent="0.25">
      <c r="A176" s="1">
        <v>169</v>
      </c>
      <c r="B176" s="206">
        <v>50609339</v>
      </c>
      <c r="C176" s="7" t="s">
        <v>39</v>
      </c>
      <c r="D176" s="17">
        <v>27341</v>
      </c>
      <c r="E176" s="7" t="s">
        <v>14</v>
      </c>
      <c r="F176" s="7" t="s">
        <v>81</v>
      </c>
      <c r="G176" s="7" t="s">
        <v>40</v>
      </c>
      <c r="H176" s="7" t="s">
        <v>35</v>
      </c>
      <c r="I176" s="7">
        <v>419491</v>
      </c>
      <c r="J176" s="7" t="s">
        <v>82</v>
      </c>
      <c r="K176" s="24">
        <v>24</v>
      </c>
      <c r="L176" s="24">
        <v>3</v>
      </c>
      <c r="M176" s="24">
        <v>12</v>
      </c>
      <c r="N176" s="8" t="s">
        <v>242</v>
      </c>
      <c r="O176" s="18">
        <v>44527</v>
      </c>
      <c r="P176" s="8" t="s">
        <v>227</v>
      </c>
      <c r="Q176" s="1">
        <f t="shared" si="11"/>
        <v>1</v>
      </c>
      <c r="R176" t="s">
        <v>699</v>
      </c>
      <c r="S176" s="260">
        <v>9</v>
      </c>
      <c r="T176" s="206"/>
      <c r="U176" s="206" t="s">
        <v>794</v>
      </c>
      <c r="V176" s="206" t="s">
        <v>795</v>
      </c>
    </row>
    <row r="177" spans="1:22" x14ac:dyDescent="0.25">
      <c r="A177" s="1">
        <v>170</v>
      </c>
      <c r="B177" s="1">
        <v>50609337</v>
      </c>
      <c r="C177" s="7" t="s">
        <v>39</v>
      </c>
      <c r="D177" s="17">
        <v>25934</v>
      </c>
      <c r="E177" s="7" t="s">
        <v>14</v>
      </c>
      <c r="F177" s="7" t="s">
        <v>81</v>
      </c>
      <c r="G177" s="7" t="s">
        <v>68</v>
      </c>
      <c r="H177" s="7" t="s">
        <v>35</v>
      </c>
      <c r="I177" s="7">
        <v>316048</v>
      </c>
      <c r="J177" s="7" t="s">
        <v>122</v>
      </c>
      <c r="K177" s="24">
        <v>24</v>
      </c>
      <c r="L177" s="24">
        <v>3</v>
      </c>
      <c r="M177" s="24">
        <v>5</v>
      </c>
      <c r="N177" s="8" t="s">
        <v>242</v>
      </c>
      <c r="O177" s="18">
        <v>44527</v>
      </c>
      <c r="P177" s="8" t="s">
        <v>227</v>
      </c>
      <c r="Q177" s="1">
        <f t="shared" si="11"/>
        <v>1</v>
      </c>
      <c r="R177" t="s">
        <v>699</v>
      </c>
      <c r="S177" s="260">
        <v>4</v>
      </c>
      <c r="T177" s="206"/>
      <c r="U177" s="206" t="s">
        <v>122</v>
      </c>
    </row>
    <row r="178" spans="1:22" hidden="1" x14ac:dyDescent="0.25">
      <c r="A178" s="1">
        <v>171</v>
      </c>
      <c r="C178" s="7" t="s">
        <v>39</v>
      </c>
      <c r="D178" s="17">
        <v>26092</v>
      </c>
      <c r="E178" s="7" t="s">
        <v>13</v>
      </c>
      <c r="F178" s="7" t="s">
        <v>138</v>
      </c>
      <c r="G178" s="7" t="s">
        <v>79</v>
      </c>
      <c r="H178" s="8" t="s">
        <v>35</v>
      </c>
      <c r="I178" s="8">
        <v>389970</v>
      </c>
      <c r="J178" s="7" t="s">
        <v>69</v>
      </c>
      <c r="K178" s="27">
        <v>16</v>
      </c>
      <c r="L178" s="27">
        <v>2</v>
      </c>
      <c r="M178" s="27">
        <v>20</v>
      </c>
      <c r="N178" s="18" t="s">
        <v>246</v>
      </c>
      <c r="O178" s="18">
        <v>44531</v>
      </c>
      <c r="P178" s="8" t="s">
        <v>227</v>
      </c>
      <c r="Q178" s="1">
        <f t="shared" si="11"/>
        <v>1</v>
      </c>
      <c r="R178" s="16" t="s">
        <v>701</v>
      </c>
    </row>
    <row r="179" spans="1:22" x14ac:dyDescent="0.25">
      <c r="A179" s="1">
        <v>172</v>
      </c>
      <c r="B179" s="206">
        <v>50610273</v>
      </c>
      <c r="C179" s="7" t="s">
        <v>39</v>
      </c>
      <c r="D179" s="17">
        <v>21445</v>
      </c>
      <c r="E179" s="7" t="s">
        <v>13</v>
      </c>
      <c r="F179" s="7" t="s">
        <v>74</v>
      </c>
      <c r="G179" s="7" t="s">
        <v>89</v>
      </c>
      <c r="H179" s="8" t="s">
        <v>35</v>
      </c>
      <c r="I179" s="8">
        <v>354951</v>
      </c>
      <c r="J179" s="7" t="s">
        <v>63</v>
      </c>
      <c r="K179" s="27">
        <v>16</v>
      </c>
      <c r="L179" s="27">
        <v>2</v>
      </c>
      <c r="M179" s="27">
        <v>12</v>
      </c>
      <c r="N179" s="18" t="s">
        <v>246</v>
      </c>
      <c r="O179" s="18">
        <v>44531</v>
      </c>
      <c r="P179" s="8" t="s">
        <v>227</v>
      </c>
      <c r="Q179" s="1">
        <f t="shared" si="11"/>
        <v>1</v>
      </c>
      <c r="R179" t="s">
        <v>699</v>
      </c>
      <c r="S179" s="260">
        <v>7</v>
      </c>
      <c r="T179" s="206">
        <v>458886</v>
      </c>
      <c r="U179" s="206" t="s">
        <v>617</v>
      </c>
    </row>
    <row r="180" spans="1:22" hidden="1" x14ac:dyDescent="0.25">
      <c r="A180" s="1">
        <v>173</v>
      </c>
      <c r="C180" s="7" t="s">
        <v>39</v>
      </c>
      <c r="D180" s="17">
        <v>26379</v>
      </c>
      <c r="E180" s="7" t="s">
        <v>13</v>
      </c>
      <c r="F180" s="7" t="s">
        <v>138</v>
      </c>
      <c r="G180" s="7" t="s">
        <v>34</v>
      </c>
      <c r="H180" s="8" t="s">
        <v>35</v>
      </c>
      <c r="I180" s="8">
        <v>374253</v>
      </c>
      <c r="J180" s="7" t="s">
        <v>41</v>
      </c>
      <c r="K180" s="27">
        <v>8</v>
      </c>
      <c r="L180" s="27">
        <v>1</v>
      </c>
      <c r="M180" s="27">
        <v>20</v>
      </c>
      <c r="N180" s="18" t="s">
        <v>248</v>
      </c>
      <c r="O180" s="18">
        <v>44533</v>
      </c>
      <c r="P180" s="8" t="s">
        <v>249</v>
      </c>
      <c r="Q180" s="1">
        <f t="shared" si="11"/>
        <v>1</v>
      </c>
      <c r="R180" s="16" t="s">
        <v>701</v>
      </c>
    </row>
    <row r="181" spans="1:22" hidden="1" x14ac:dyDescent="0.25">
      <c r="A181" s="1">
        <v>174</v>
      </c>
      <c r="C181" s="7" t="s">
        <v>39</v>
      </c>
      <c r="D181" s="17">
        <v>26101</v>
      </c>
      <c r="E181" s="7" t="s">
        <v>13</v>
      </c>
      <c r="F181" s="7" t="s">
        <v>138</v>
      </c>
      <c r="G181" s="7" t="s">
        <v>79</v>
      </c>
      <c r="H181" s="8" t="s">
        <v>35</v>
      </c>
      <c r="I181" s="8">
        <v>389970</v>
      </c>
      <c r="J181" s="7" t="s">
        <v>69</v>
      </c>
      <c r="K181" s="27">
        <v>16</v>
      </c>
      <c r="L181" s="27">
        <v>2</v>
      </c>
      <c r="M181" s="27">
        <v>20</v>
      </c>
      <c r="N181" s="18" t="s">
        <v>250</v>
      </c>
      <c r="O181" s="18">
        <v>44537</v>
      </c>
      <c r="P181" s="8" t="s">
        <v>249</v>
      </c>
      <c r="Q181" s="1">
        <f t="shared" si="11"/>
        <v>1</v>
      </c>
      <c r="R181" s="16" t="s">
        <v>701</v>
      </c>
    </row>
    <row r="182" spans="1:22" hidden="1" x14ac:dyDescent="0.25">
      <c r="A182" s="1">
        <v>175</v>
      </c>
      <c r="C182" s="7" t="s">
        <v>39</v>
      </c>
      <c r="D182" s="17">
        <v>26106</v>
      </c>
      <c r="E182" s="7" t="s">
        <v>13</v>
      </c>
      <c r="F182" s="7" t="s">
        <v>138</v>
      </c>
      <c r="G182" s="7" t="s">
        <v>79</v>
      </c>
      <c r="H182" s="8" t="s">
        <v>35</v>
      </c>
      <c r="I182" s="8">
        <v>350060</v>
      </c>
      <c r="J182" s="7" t="s">
        <v>36</v>
      </c>
      <c r="K182" s="27">
        <v>16</v>
      </c>
      <c r="L182" s="27">
        <v>4</v>
      </c>
      <c r="M182" s="27">
        <v>9</v>
      </c>
      <c r="N182" s="18" t="s">
        <v>250</v>
      </c>
      <c r="O182" s="18">
        <v>44538</v>
      </c>
      <c r="P182" s="8" t="s">
        <v>249</v>
      </c>
      <c r="Q182" s="1">
        <f t="shared" si="11"/>
        <v>1</v>
      </c>
      <c r="R182" s="16" t="s">
        <v>701</v>
      </c>
    </row>
    <row r="183" spans="1:22" hidden="1" x14ac:dyDescent="0.25">
      <c r="A183" s="1">
        <v>176</v>
      </c>
      <c r="C183" s="7" t="s">
        <v>39</v>
      </c>
      <c r="D183" s="17">
        <v>26041</v>
      </c>
      <c r="E183" s="7" t="s">
        <v>14</v>
      </c>
      <c r="F183" s="7" t="s">
        <v>81</v>
      </c>
      <c r="G183" s="7" t="s">
        <v>199</v>
      </c>
      <c r="H183" s="7" t="s">
        <v>35</v>
      </c>
      <c r="I183" s="7">
        <v>489671</v>
      </c>
      <c r="J183" s="7" t="s">
        <v>98</v>
      </c>
      <c r="K183" s="24">
        <v>8</v>
      </c>
      <c r="L183" s="24">
        <v>2</v>
      </c>
      <c r="M183" s="24">
        <v>5</v>
      </c>
      <c r="N183" s="8" t="s">
        <v>253</v>
      </c>
      <c r="O183" s="18">
        <v>44539</v>
      </c>
      <c r="P183" s="8" t="s">
        <v>249</v>
      </c>
      <c r="Q183" s="1">
        <f t="shared" si="11"/>
        <v>1</v>
      </c>
      <c r="R183" s="16" t="s">
        <v>701</v>
      </c>
    </row>
    <row r="184" spans="1:22" hidden="1" x14ac:dyDescent="0.25">
      <c r="A184" s="1">
        <v>177</v>
      </c>
      <c r="C184" s="7" t="s">
        <v>39</v>
      </c>
      <c r="D184" s="17">
        <v>26099</v>
      </c>
      <c r="E184" s="7" t="s">
        <v>13</v>
      </c>
      <c r="F184" s="7" t="s">
        <v>138</v>
      </c>
      <c r="G184" s="7" t="s">
        <v>79</v>
      </c>
      <c r="H184" s="8" t="s">
        <v>35</v>
      </c>
      <c r="I184" s="8">
        <v>389970</v>
      </c>
      <c r="J184" s="7" t="s">
        <v>69</v>
      </c>
      <c r="K184" s="27">
        <v>16</v>
      </c>
      <c r="L184" s="27">
        <v>2</v>
      </c>
      <c r="M184" s="27">
        <v>20</v>
      </c>
      <c r="N184" s="18" t="s">
        <v>253</v>
      </c>
      <c r="O184" s="18">
        <v>44540</v>
      </c>
      <c r="P184" s="8" t="s">
        <v>249</v>
      </c>
      <c r="Q184" s="1">
        <f t="shared" si="11"/>
        <v>1</v>
      </c>
      <c r="R184" s="16" t="s">
        <v>701</v>
      </c>
    </row>
    <row r="185" spans="1:22" hidden="1" x14ac:dyDescent="0.25">
      <c r="A185" s="1">
        <v>178</v>
      </c>
      <c r="C185" s="7" t="s">
        <v>39</v>
      </c>
      <c r="D185" s="17">
        <v>24924</v>
      </c>
      <c r="E185" s="7" t="s">
        <v>7</v>
      </c>
      <c r="F185" s="7" t="s">
        <v>78</v>
      </c>
      <c r="G185" s="7" t="s">
        <v>79</v>
      </c>
      <c r="H185" s="8" t="s">
        <v>35</v>
      </c>
      <c r="I185" s="8">
        <v>354951</v>
      </c>
      <c r="J185" s="7" t="s">
        <v>63</v>
      </c>
      <c r="K185" s="27">
        <v>16</v>
      </c>
      <c r="L185" s="27">
        <v>2</v>
      </c>
      <c r="M185" s="27">
        <v>2</v>
      </c>
      <c r="N185" s="18" t="s">
        <v>253</v>
      </c>
      <c r="O185" s="18">
        <v>44540</v>
      </c>
      <c r="P185" s="8" t="s">
        <v>249</v>
      </c>
      <c r="Q185" s="1">
        <f t="shared" si="11"/>
        <v>1</v>
      </c>
      <c r="R185" s="16" t="s">
        <v>701</v>
      </c>
    </row>
    <row r="186" spans="1:22" x14ac:dyDescent="0.25">
      <c r="A186" s="1">
        <v>179</v>
      </c>
      <c r="B186" s="206">
        <v>50610294</v>
      </c>
      <c r="C186" s="7" t="s">
        <v>39</v>
      </c>
      <c r="D186" s="17">
        <v>28031</v>
      </c>
      <c r="E186" s="7" t="s">
        <v>14</v>
      </c>
      <c r="F186" s="7" t="s">
        <v>88</v>
      </c>
      <c r="G186" s="7" t="s">
        <v>94</v>
      </c>
      <c r="H186" s="7" t="s">
        <v>35</v>
      </c>
      <c r="I186" s="7" t="s">
        <v>95</v>
      </c>
      <c r="J186" s="7" t="s">
        <v>96</v>
      </c>
      <c r="K186" s="24">
        <v>16</v>
      </c>
      <c r="L186" s="24">
        <v>2</v>
      </c>
      <c r="M186" s="24">
        <v>7</v>
      </c>
      <c r="N186" s="8" t="s">
        <v>253</v>
      </c>
      <c r="O186" s="18">
        <v>44540</v>
      </c>
      <c r="P186" s="8" t="s">
        <v>249</v>
      </c>
      <c r="Q186" s="1">
        <f t="shared" si="11"/>
        <v>1</v>
      </c>
      <c r="R186" t="s">
        <v>699</v>
      </c>
      <c r="S186" s="1">
        <v>11</v>
      </c>
      <c r="T186" s="252">
        <v>510745</v>
      </c>
      <c r="U186" s="252" t="s">
        <v>623</v>
      </c>
      <c r="V186" s="252" t="s">
        <v>796</v>
      </c>
    </row>
    <row r="187" spans="1:22" hidden="1" x14ac:dyDescent="0.25">
      <c r="A187" s="1">
        <v>180</v>
      </c>
      <c r="C187" s="7" t="s">
        <v>39</v>
      </c>
      <c r="D187" s="17">
        <v>26392</v>
      </c>
      <c r="E187" s="7" t="s">
        <v>13</v>
      </c>
      <c r="F187" s="7" t="s">
        <v>138</v>
      </c>
      <c r="G187" s="7" t="s">
        <v>34</v>
      </c>
      <c r="H187" s="8" t="s">
        <v>72</v>
      </c>
      <c r="I187" s="8">
        <v>510745</v>
      </c>
      <c r="J187" s="7" t="s">
        <v>66</v>
      </c>
      <c r="K187" s="27">
        <v>8</v>
      </c>
      <c r="L187" s="27">
        <v>1</v>
      </c>
      <c r="M187" s="27">
        <v>18</v>
      </c>
      <c r="N187" s="18" t="s">
        <v>255</v>
      </c>
      <c r="O187" s="18">
        <v>44546</v>
      </c>
      <c r="P187" s="8" t="s">
        <v>249</v>
      </c>
      <c r="Q187" s="1">
        <f t="shared" si="11"/>
        <v>1</v>
      </c>
      <c r="R187" s="16" t="s">
        <v>701</v>
      </c>
    </row>
    <row r="188" spans="1:22" hidden="1" x14ac:dyDescent="0.25">
      <c r="A188" s="1">
        <v>181</v>
      </c>
      <c r="C188" s="7" t="s">
        <v>39</v>
      </c>
      <c r="D188" s="17">
        <v>26100</v>
      </c>
      <c r="E188" s="7" t="s">
        <v>13</v>
      </c>
      <c r="F188" s="7" t="s">
        <v>138</v>
      </c>
      <c r="G188" s="7" t="s">
        <v>79</v>
      </c>
      <c r="H188" s="8" t="s">
        <v>35</v>
      </c>
      <c r="I188" s="8">
        <v>389970</v>
      </c>
      <c r="J188" s="7" t="s">
        <v>69</v>
      </c>
      <c r="K188" s="27">
        <v>16</v>
      </c>
      <c r="L188" s="27">
        <v>2</v>
      </c>
      <c r="M188" s="27">
        <v>20</v>
      </c>
      <c r="N188" s="18" t="s">
        <v>256</v>
      </c>
      <c r="O188" s="18">
        <v>44547</v>
      </c>
      <c r="P188" s="8" t="s">
        <v>249</v>
      </c>
      <c r="Q188" s="1">
        <f t="shared" si="11"/>
        <v>1</v>
      </c>
      <c r="R188" s="16" t="s">
        <v>701</v>
      </c>
    </row>
    <row r="189" spans="1:22" x14ac:dyDescent="0.25">
      <c r="A189" s="1">
        <v>182</v>
      </c>
      <c r="B189" s="206">
        <v>50609317</v>
      </c>
      <c r="C189" s="7" t="s">
        <v>39</v>
      </c>
      <c r="D189" s="17">
        <v>24753</v>
      </c>
      <c r="E189" s="7" t="s">
        <v>7</v>
      </c>
      <c r="F189" s="7" t="s">
        <v>78</v>
      </c>
      <c r="G189" s="7" t="s">
        <v>40</v>
      </c>
      <c r="H189" s="8" t="s">
        <v>35</v>
      </c>
      <c r="I189" s="8">
        <v>354951</v>
      </c>
      <c r="J189" s="7" t="s">
        <v>63</v>
      </c>
      <c r="K189" s="27">
        <v>24</v>
      </c>
      <c r="L189" s="27">
        <v>3</v>
      </c>
      <c r="M189" s="27">
        <v>5</v>
      </c>
      <c r="N189" s="18" t="s">
        <v>258</v>
      </c>
      <c r="O189" s="18">
        <v>44554</v>
      </c>
      <c r="P189" s="8" t="s">
        <v>249</v>
      </c>
      <c r="Q189" s="1">
        <f>IF(O189&lt;=$D$3,1,0)</f>
        <v>1</v>
      </c>
      <c r="R189" t="s">
        <v>699</v>
      </c>
      <c r="S189" s="1">
        <v>8</v>
      </c>
      <c r="T189">
        <v>458886</v>
      </c>
      <c r="U189" t="s">
        <v>617</v>
      </c>
      <c r="V189" t="s">
        <v>797</v>
      </c>
    </row>
    <row r="190" spans="1:22" hidden="1" x14ac:dyDescent="0.25">
      <c r="A190" s="1">
        <v>183</v>
      </c>
      <c r="C190" s="7" t="s">
        <v>39</v>
      </c>
      <c r="D190" s="17">
        <v>26102</v>
      </c>
      <c r="E190" s="7" t="s">
        <v>13</v>
      </c>
      <c r="F190" s="7" t="s">
        <v>138</v>
      </c>
      <c r="G190" s="7" t="s">
        <v>79</v>
      </c>
      <c r="H190" s="8" t="s">
        <v>35</v>
      </c>
      <c r="I190" s="8">
        <v>389970</v>
      </c>
      <c r="J190" s="7" t="s">
        <v>69</v>
      </c>
      <c r="K190" s="27">
        <v>16</v>
      </c>
      <c r="L190" s="27">
        <v>2</v>
      </c>
      <c r="M190" s="27">
        <v>20</v>
      </c>
      <c r="N190" s="18" t="s">
        <v>260</v>
      </c>
      <c r="O190" s="18">
        <v>44558</v>
      </c>
      <c r="P190" s="8" t="s">
        <v>249</v>
      </c>
      <c r="Q190" s="1">
        <f t="shared" si="11"/>
        <v>1</v>
      </c>
      <c r="R190" s="16" t="s">
        <v>701</v>
      </c>
    </row>
    <row r="191" spans="1:22" x14ac:dyDescent="0.25">
      <c r="C191" s="7"/>
      <c r="E191" s="7"/>
      <c r="F191" s="209"/>
      <c r="G191" s="206"/>
      <c r="N191" s="207"/>
      <c r="O191" s="207"/>
      <c r="P191" s="206"/>
      <c r="U191" s="206"/>
      <c r="V191" s="206"/>
    </row>
  </sheetData>
  <autoFilter ref="A7:V190" xr:uid="{00000000-0001-0000-0800-000000000000}">
    <filterColumn colId="17">
      <filters>
        <filter val="Realizado"/>
      </filters>
    </filterColumn>
  </autoFilter>
  <sortState xmlns:xlrd2="http://schemas.microsoft.com/office/spreadsheetml/2017/richdata2" ref="A8:V190">
    <sortCondition ref="O8:O190"/>
  </sortState>
  <phoneticPr fontId="23" type="noConversion"/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Catalogo!$B$5:$B$6</xm:f>
          </x14:formula1>
          <xm:sqref>R8:R29 R31:R190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theme="9" tint="0.79998168889431442"/>
  </sheetPr>
  <dimension ref="A1:V89"/>
  <sheetViews>
    <sheetView workbookViewId="0">
      <pane xSplit="4" ySplit="7" topLeftCell="E11" activePane="bottomRight" state="frozenSplit"/>
      <selection pane="topRight" activeCell="H1" sqref="H1"/>
      <selection pane="bottomLeft" activeCell="C3" sqref="C3"/>
      <selection pane="bottomRight" activeCell="N28" sqref="N28"/>
    </sheetView>
  </sheetViews>
  <sheetFormatPr baseColWidth="10" defaultColWidth="11.42578125" defaultRowHeight="15" x14ac:dyDescent="0.25"/>
  <cols>
    <col min="1" max="1" width="7.140625" customWidth="1"/>
    <col min="2" max="2" width="9.28515625" customWidth="1"/>
    <col min="3" max="3" width="19.7109375" customWidth="1"/>
    <col min="5" max="5" width="38.7109375" customWidth="1"/>
    <col min="6" max="6" width="20.140625" customWidth="1"/>
    <col min="7" max="7" width="48.5703125" customWidth="1"/>
    <col min="8" max="8" width="14.5703125" customWidth="1"/>
    <col min="9" max="9" width="0" hidden="1" customWidth="1"/>
    <col min="10" max="10" width="16.7109375" hidden="1" customWidth="1"/>
    <col min="17" max="17" width="11.42578125" style="1"/>
    <col min="18" max="18" width="12" customWidth="1"/>
    <col min="19" max="19" width="13.7109375" customWidth="1"/>
    <col min="21" max="21" width="29" customWidth="1"/>
    <col min="22" max="22" width="32.28515625" customWidth="1"/>
  </cols>
  <sheetData>
    <row r="1" spans="1:22" s="28" customFormat="1" ht="14.25" customHeight="1" x14ac:dyDescent="0.3">
      <c r="B1" s="29"/>
      <c r="D1" s="29"/>
      <c r="G1" s="34" t="s">
        <v>713</v>
      </c>
      <c r="H1" s="29">
        <v>1</v>
      </c>
      <c r="J1" s="29"/>
      <c r="K1" s="30"/>
      <c r="L1" s="30"/>
      <c r="M1" s="30"/>
      <c r="O1" s="31"/>
      <c r="P1" s="32"/>
      <c r="Q1" s="32"/>
      <c r="R1" s="32"/>
      <c r="S1" s="29"/>
      <c r="T1" s="29"/>
    </row>
    <row r="2" spans="1:22" s="28" customFormat="1" x14ac:dyDescent="0.3">
      <c r="B2" s="29"/>
      <c r="C2" s="34"/>
      <c r="D2" s="29"/>
      <c r="E2" s="34" t="s">
        <v>715</v>
      </c>
      <c r="F2" s="29">
        <f>COUNT(D8:D138)</f>
        <v>81</v>
      </c>
      <c r="G2" s="34" t="s">
        <v>716</v>
      </c>
      <c r="H2" s="48">
        <f>M8</f>
        <v>10</v>
      </c>
      <c r="I2" s="34"/>
      <c r="J2" s="29"/>
      <c r="K2" s="30"/>
      <c r="L2" s="30"/>
      <c r="M2" s="30"/>
      <c r="O2" s="35"/>
      <c r="P2" s="29"/>
      <c r="Q2" s="32"/>
      <c r="R2" s="32"/>
      <c r="S2" s="29"/>
      <c r="T2" s="29"/>
    </row>
    <row r="3" spans="1:22" s="28" customFormat="1" x14ac:dyDescent="0.3">
      <c r="B3" s="29"/>
      <c r="C3" s="34"/>
      <c r="D3" s="36">
        <f>Seguimiento!T3</f>
        <v>44561</v>
      </c>
      <c r="E3" s="34" t="s">
        <v>718</v>
      </c>
      <c r="F3" s="37">
        <f>SUM(M8:M138)</f>
        <v>579</v>
      </c>
      <c r="G3" s="34" t="s">
        <v>719</v>
      </c>
      <c r="H3" s="29">
        <f>COUNTIFS($Q$9:$Q$138,1,$R$9:$R$138,"Realizado")</f>
        <v>32</v>
      </c>
      <c r="I3" s="34"/>
      <c r="J3" s="29"/>
      <c r="K3" s="30"/>
      <c r="L3" s="30"/>
      <c r="M3" s="30"/>
      <c r="O3" s="35"/>
      <c r="P3" s="29"/>
      <c r="Q3" s="29"/>
      <c r="R3" s="29"/>
      <c r="S3" s="29"/>
      <c r="T3" s="29"/>
    </row>
    <row r="4" spans="1:22" s="28" customFormat="1" x14ac:dyDescent="0.3">
      <c r="B4" s="29"/>
      <c r="C4" s="34"/>
      <c r="D4" s="29"/>
      <c r="E4" s="34" t="s">
        <v>721</v>
      </c>
      <c r="F4" s="29">
        <f>COUNTIF($Q$9:$Q$138,1)</f>
        <v>80</v>
      </c>
      <c r="G4" s="34" t="s">
        <v>722</v>
      </c>
      <c r="H4" s="29">
        <f>SUMIF($R$9:$R$138,"Realizado",$S$9:$S$138)</f>
        <v>210</v>
      </c>
      <c r="I4" s="34"/>
      <c r="J4" s="29"/>
      <c r="K4" s="30"/>
      <c r="L4" s="30"/>
      <c r="M4" s="30"/>
      <c r="O4" s="35"/>
      <c r="P4" s="29"/>
      <c r="Q4" s="29"/>
      <c r="R4" s="29"/>
      <c r="S4" s="29"/>
      <c r="T4" s="29"/>
    </row>
    <row r="5" spans="1:22" s="28" customFormat="1" x14ac:dyDescent="0.3">
      <c r="B5" s="29"/>
      <c r="C5" s="34"/>
      <c r="D5" s="29"/>
      <c r="E5" s="34" t="s">
        <v>724</v>
      </c>
      <c r="F5" s="29">
        <f>SUMIF(Q9:Q138,1,M9:M138)</f>
        <v>569</v>
      </c>
      <c r="G5" s="34" t="s">
        <v>725</v>
      </c>
      <c r="H5" s="29">
        <f>COUNTIFS($Q$9:$Q$138,1,$R$9:$R$138,"Cancelado")</f>
        <v>48</v>
      </c>
      <c r="I5" s="34"/>
      <c r="J5" s="29"/>
      <c r="K5" s="30"/>
      <c r="L5" s="30"/>
      <c r="M5" s="30"/>
      <c r="O5" s="35"/>
      <c r="P5" s="29"/>
      <c r="Q5" s="29"/>
      <c r="R5" s="29"/>
      <c r="S5" s="29"/>
      <c r="T5" s="29"/>
    </row>
    <row r="6" spans="1:22" x14ac:dyDescent="0.25">
      <c r="B6" s="1"/>
      <c r="D6" s="1"/>
      <c r="J6" s="1"/>
      <c r="K6" s="2"/>
      <c r="L6" s="2"/>
      <c r="M6" s="2"/>
      <c r="O6" s="19"/>
      <c r="P6" s="1"/>
      <c r="R6" s="1"/>
      <c r="S6" s="1"/>
      <c r="T6" s="1"/>
    </row>
    <row r="7" spans="1:22" s="3" customFormat="1" ht="31.5" x14ac:dyDescent="0.25">
      <c r="A7" s="4" t="s">
        <v>20</v>
      </c>
      <c r="B7" s="4" t="s">
        <v>21</v>
      </c>
      <c r="C7" s="4" t="s">
        <v>2</v>
      </c>
      <c r="D7" s="4" t="s">
        <v>22</v>
      </c>
      <c r="E7" s="4" t="s">
        <v>23</v>
      </c>
      <c r="F7" s="4" t="s">
        <v>24</v>
      </c>
      <c r="G7" s="4" t="s">
        <v>25</v>
      </c>
      <c r="H7" s="5" t="s">
        <v>26</v>
      </c>
      <c r="I7" s="4" t="s">
        <v>27</v>
      </c>
      <c r="J7" s="4" t="s">
        <v>28</v>
      </c>
      <c r="K7" s="26" t="s">
        <v>29</v>
      </c>
      <c r="L7" s="23" t="s">
        <v>30</v>
      </c>
      <c r="M7" s="26" t="s">
        <v>31</v>
      </c>
      <c r="N7" s="5" t="s">
        <v>0</v>
      </c>
      <c r="O7" s="5" t="s">
        <v>19</v>
      </c>
      <c r="P7" s="4" t="s">
        <v>17</v>
      </c>
      <c r="Q7" s="4" t="s">
        <v>516</v>
      </c>
      <c r="R7" s="5" t="s">
        <v>727</v>
      </c>
      <c r="S7" s="5" t="s">
        <v>523</v>
      </c>
      <c r="T7" s="5" t="s">
        <v>728</v>
      </c>
      <c r="U7" s="5" t="s">
        <v>28</v>
      </c>
      <c r="V7" s="5" t="s">
        <v>599</v>
      </c>
    </row>
    <row r="8" spans="1:22" hidden="1" x14ac:dyDescent="0.25">
      <c r="A8" s="1">
        <v>1</v>
      </c>
      <c r="C8" s="7" t="s">
        <v>262</v>
      </c>
      <c r="D8" s="17">
        <v>23203</v>
      </c>
      <c r="E8" s="7" t="s">
        <v>14</v>
      </c>
      <c r="F8" s="7" t="s">
        <v>263</v>
      </c>
      <c r="G8" s="7" t="s">
        <v>264</v>
      </c>
      <c r="H8" s="7" t="s">
        <v>35</v>
      </c>
      <c r="I8" s="7">
        <v>686135</v>
      </c>
      <c r="J8" s="7" t="s">
        <v>265</v>
      </c>
      <c r="K8" s="24">
        <v>8</v>
      </c>
      <c r="L8" s="24">
        <v>1</v>
      </c>
      <c r="M8" s="24">
        <v>10</v>
      </c>
      <c r="N8" s="8" t="s">
        <v>266</v>
      </c>
      <c r="O8" s="18">
        <v>44291</v>
      </c>
      <c r="P8" s="8" t="s">
        <v>60</v>
      </c>
      <c r="Q8" s="1">
        <f>IF(O8&lt;=$D$3,1,0)</f>
        <v>1</v>
      </c>
    </row>
    <row r="9" spans="1:22" s="110" customFormat="1" hidden="1" x14ac:dyDescent="0.25">
      <c r="A9" s="106">
        <v>2</v>
      </c>
      <c r="C9" s="107" t="s">
        <v>262</v>
      </c>
      <c r="D9" s="108">
        <v>29234</v>
      </c>
      <c r="E9" s="107" t="s">
        <v>14</v>
      </c>
      <c r="F9" s="107" t="s">
        <v>263</v>
      </c>
      <c r="G9" s="107" t="s">
        <v>159</v>
      </c>
      <c r="H9" s="107" t="s">
        <v>35</v>
      </c>
      <c r="I9" s="107">
        <v>686135</v>
      </c>
      <c r="J9" s="107" t="s">
        <v>265</v>
      </c>
      <c r="K9" s="148">
        <v>16</v>
      </c>
      <c r="L9" s="148">
        <v>2</v>
      </c>
      <c r="M9" s="148">
        <v>8</v>
      </c>
      <c r="N9" s="46" t="s">
        <v>267</v>
      </c>
      <c r="O9" s="47">
        <v>44317</v>
      </c>
      <c r="P9" s="46" t="s">
        <v>60</v>
      </c>
      <c r="Q9" s="106">
        <f t="shared" ref="Q9:Q53" si="0">IF(O9&lt;=$D$3,1,0)</f>
        <v>1</v>
      </c>
      <c r="R9" s="110" t="s">
        <v>701</v>
      </c>
    </row>
    <row r="10" spans="1:22" hidden="1" x14ac:dyDescent="0.25">
      <c r="A10" s="1">
        <v>3</v>
      </c>
      <c r="C10" s="7" t="s">
        <v>268</v>
      </c>
      <c r="D10" s="17">
        <v>25606</v>
      </c>
      <c r="E10" s="7" t="s">
        <v>14</v>
      </c>
      <c r="F10" s="7" t="s">
        <v>269</v>
      </c>
      <c r="G10" s="7" t="s">
        <v>159</v>
      </c>
      <c r="H10" s="7" t="s">
        <v>35</v>
      </c>
      <c r="I10" s="7">
        <v>316211</v>
      </c>
      <c r="J10" s="7" t="s">
        <v>270</v>
      </c>
      <c r="K10" s="24">
        <v>16</v>
      </c>
      <c r="L10" s="24">
        <v>2</v>
      </c>
      <c r="M10" s="24">
        <v>5</v>
      </c>
      <c r="N10" s="8" t="s">
        <v>271</v>
      </c>
      <c r="O10" s="18">
        <v>44320</v>
      </c>
      <c r="P10" s="8" t="s">
        <v>77</v>
      </c>
      <c r="Q10" s="1">
        <f>IF(O10&lt;=$D$3,1,0)</f>
        <v>1</v>
      </c>
      <c r="R10" s="16" t="s">
        <v>701</v>
      </c>
    </row>
    <row r="11" spans="1:22" x14ac:dyDescent="0.25">
      <c r="A11" s="1">
        <v>4</v>
      </c>
      <c r="C11" s="7" t="s">
        <v>262</v>
      </c>
      <c r="D11" s="17">
        <v>23205</v>
      </c>
      <c r="E11" s="7" t="s">
        <v>14</v>
      </c>
      <c r="F11" s="7" t="s">
        <v>263</v>
      </c>
      <c r="G11" s="7" t="s">
        <v>264</v>
      </c>
      <c r="H11" s="7" t="s">
        <v>35</v>
      </c>
      <c r="I11" s="7">
        <v>686135</v>
      </c>
      <c r="J11" s="7" t="s">
        <v>265</v>
      </c>
      <c r="K11" s="24">
        <v>8</v>
      </c>
      <c r="L11" s="24">
        <v>1</v>
      </c>
      <c r="M11" s="24">
        <v>8</v>
      </c>
      <c r="N11" s="8" t="s">
        <v>272</v>
      </c>
      <c r="O11" s="18">
        <v>44320</v>
      </c>
      <c r="P11" s="8" t="s">
        <v>77</v>
      </c>
      <c r="Q11" s="1">
        <f t="shared" si="0"/>
        <v>1</v>
      </c>
      <c r="R11" t="s">
        <v>699</v>
      </c>
      <c r="S11">
        <v>6</v>
      </c>
      <c r="T11" s="7">
        <v>686135</v>
      </c>
      <c r="U11" s="7" t="s">
        <v>265</v>
      </c>
    </row>
    <row r="12" spans="1:22" hidden="1" x14ac:dyDescent="0.25">
      <c r="A12" s="1">
        <v>5</v>
      </c>
      <c r="C12" s="7" t="s">
        <v>273</v>
      </c>
      <c r="D12" s="17">
        <v>24901</v>
      </c>
      <c r="E12" s="7" t="s">
        <v>14</v>
      </c>
      <c r="F12" s="7" t="s">
        <v>263</v>
      </c>
      <c r="G12" s="7" t="s">
        <v>84</v>
      </c>
      <c r="H12" s="7" t="s">
        <v>35</v>
      </c>
      <c r="I12" s="7">
        <v>520356</v>
      </c>
      <c r="J12" s="7" t="s">
        <v>274</v>
      </c>
      <c r="K12" s="24">
        <v>16</v>
      </c>
      <c r="L12" s="24">
        <v>2</v>
      </c>
      <c r="M12" s="24">
        <v>8</v>
      </c>
      <c r="N12" s="8" t="s">
        <v>275</v>
      </c>
      <c r="O12" s="18">
        <v>44323</v>
      </c>
      <c r="P12" s="8" t="s">
        <v>77</v>
      </c>
      <c r="Q12" s="1">
        <f t="shared" si="0"/>
        <v>1</v>
      </c>
      <c r="R12" s="16" t="s">
        <v>701</v>
      </c>
    </row>
    <row r="13" spans="1:22" hidden="1" x14ac:dyDescent="0.25">
      <c r="A13" s="1">
        <v>6</v>
      </c>
      <c r="C13" s="7" t="s">
        <v>276</v>
      </c>
      <c r="D13" s="17">
        <v>30820</v>
      </c>
      <c r="E13" s="7" t="s">
        <v>14</v>
      </c>
      <c r="F13" s="7" t="s">
        <v>269</v>
      </c>
      <c r="G13" s="7" t="s">
        <v>89</v>
      </c>
      <c r="H13" s="7" t="s">
        <v>35</v>
      </c>
      <c r="I13" s="7">
        <v>197260</v>
      </c>
      <c r="J13" s="7" t="s">
        <v>277</v>
      </c>
      <c r="K13" s="24">
        <v>16</v>
      </c>
      <c r="L13" s="24">
        <v>2</v>
      </c>
      <c r="M13" s="24">
        <v>10</v>
      </c>
      <c r="N13" s="8" t="s">
        <v>275</v>
      </c>
      <c r="O13" s="18">
        <v>44323</v>
      </c>
      <c r="P13" s="8" t="s">
        <v>77</v>
      </c>
      <c r="Q13" s="1">
        <f t="shared" si="0"/>
        <v>1</v>
      </c>
      <c r="R13" s="16" t="s">
        <v>701</v>
      </c>
    </row>
    <row r="14" spans="1:22" hidden="1" x14ac:dyDescent="0.25">
      <c r="A14" s="1">
        <v>7</v>
      </c>
      <c r="C14" s="7" t="s">
        <v>278</v>
      </c>
      <c r="D14" s="17">
        <v>25645</v>
      </c>
      <c r="E14" s="7" t="s">
        <v>14</v>
      </c>
      <c r="F14" s="7" t="s">
        <v>269</v>
      </c>
      <c r="G14" s="7" t="s">
        <v>279</v>
      </c>
      <c r="H14" s="7" t="s">
        <v>35</v>
      </c>
      <c r="I14" s="7">
        <v>679358</v>
      </c>
      <c r="J14" s="7" t="s">
        <v>280</v>
      </c>
      <c r="K14" s="24">
        <v>16</v>
      </c>
      <c r="L14" s="24">
        <v>2</v>
      </c>
      <c r="M14" s="24">
        <v>5</v>
      </c>
      <c r="N14" s="8" t="s">
        <v>281</v>
      </c>
      <c r="O14" s="18">
        <v>44334</v>
      </c>
      <c r="P14" s="8" t="s">
        <v>77</v>
      </c>
      <c r="Q14" s="1">
        <f t="shared" si="0"/>
        <v>1</v>
      </c>
      <c r="R14" s="16" t="s">
        <v>701</v>
      </c>
    </row>
    <row r="15" spans="1:22" x14ac:dyDescent="0.25">
      <c r="A15" s="1">
        <v>8</v>
      </c>
      <c r="C15" s="7" t="s">
        <v>273</v>
      </c>
      <c r="D15" s="17">
        <v>24904</v>
      </c>
      <c r="E15" s="7" t="s">
        <v>14</v>
      </c>
      <c r="F15" s="7" t="s">
        <v>263</v>
      </c>
      <c r="G15" s="7" t="s">
        <v>84</v>
      </c>
      <c r="H15" s="7" t="s">
        <v>35</v>
      </c>
      <c r="I15" s="7">
        <v>402802</v>
      </c>
      <c r="J15" s="7" t="s">
        <v>282</v>
      </c>
      <c r="K15" s="24">
        <v>16</v>
      </c>
      <c r="L15" s="24">
        <v>2</v>
      </c>
      <c r="M15" s="24">
        <v>10</v>
      </c>
      <c r="N15" s="8" t="s">
        <v>86</v>
      </c>
      <c r="O15" s="18">
        <v>44335</v>
      </c>
      <c r="P15" s="8" t="s">
        <v>77</v>
      </c>
      <c r="Q15" s="1">
        <f t="shared" si="0"/>
        <v>1</v>
      </c>
      <c r="R15" t="s">
        <v>699</v>
      </c>
      <c r="S15">
        <v>6</v>
      </c>
      <c r="U15" t="s">
        <v>798</v>
      </c>
      <c r="V15" t="s">
        <v>799</v>
      </c>
    </row>
    <row r="16" spans="1:22" x14ac:dyDescent="0.25">
      <c r="A16" s="1">
        <v>9</v>
      </c>
      <c r="C16" s="7" t="s">
        <v>273</v>
      </c>
      <c r="D16" s="17">
        <v>29102</v>
      </c>
      <c r="E16" s="7" t="s">
        <v>14</v>
      </c>
      <c r="F16" s="7" t="s">
        <v>263</v>
      </c>
      <c r="G16" s="7" t="s">
        <v>89</v>
      </c>
      <c r="H16" s="7" t="s">
        <v>35</v>
      </c>
      <c r="I16" s="7">
        <v>203699</v>
      </c>
      <c r="J16" s="7" t="s">
        <v>283</v>
      </c>
      <c r="K16" s="24">
        <v>16</v>
      </c>
      <c r="L16" s="24">
        <v>2</v>
      </c>
      <c r="M16" s="24">
        <v>10</v>
      </c>
      <c r="N16" s="8" t="s">
        <v>284</v>
      </c>
      <c r="O16" s="18">
        <v>44337</v>
      </c>
      <c r="P16" s="8" t="s">
        <v>77</v>
      </c>
      <c r="Q16" s="1">
        <f t="shared" si="0"/>
        <v>1</v>
      </c>
      <c r="R16" t="s">
        <v>699</v>
      </c>
      <c r="S16">
        <v>10</v>
      </c>
      <c r="T16" s="7">
        <v>203699</v>
      </c>
      <c r="U16" s="7" t="s">
        <v>283</v>
      </c>
    </row>
    <row r="17" spans="1:21" hidden="1" x14ac:dyDescent="0.25">
      <c r="A17" s="1">
        <v>10</v>
      </c>
      <c r="C17" s="7" t="s">
        <v>276</v>
      </c>
      <c r="D17" s="17">
        <v>30821</v>
      </c>
      <c r="E17" s="7" t="s">
        <v>14</v>
      </c>
      <c r="F17" s="7" t="s">
        <v>269</v>
      </c>
      <c r="G17" s="7" t="s">
        <v>89</v>
      </c>
      <c r="H17" s="7" t="s">
        <v>35</v>
      </c>
      <c r="I17" s="7">
        <v>197260</v>
      </c>
      <c r="J17" s="7" t="s">
        <v>277</v>
      </c>
      <c r="K17" s="24">
        <v>16</v>
      </c>
      <c r="L17" s="24">
        <v>2</v>
      </c>
      <c r="M17" s="24">
        <v>10</v>
      </c>
      <c r="N17" s="8" t="s">
        <v>284</v>
      </c>
      <c r="O17" s="18">
        <v>44337</v>
      </c>
      <c r="P17" s="8" t="s">
        <v>77</v>
      </c>
      <c r="Q17" s="1">
        <f t="shared" si="0"/>
        <v>1</v>
      </c>
      <c r="R17" s="16" t="s">
        <v>701</v>
      </c>
    </row>
    <row r="18" spans="1:21" x14ac:dyDescent="0.25">
      <c r="A18" s="1">
        <v>11</v>
      </c>
      <c r="C18" s="7" t="s">
        <v>285</v>
      </c>
      <c r="D18" s="17">
        <v>27786</v>
      </c>
      <c r="E18" s="7" t="s">
        <v>14</v>
      </c>
      <c r="F18" s="7" t="s">
        <v>88</v>
      </c>
      <c r="G18" s="7" t="s">
        <v>264</v>
      </c>
      <c r="H18" s="7" t="s">
        <v>35</v>
      </c>
      <c r="I18" s="7">
        <v>433424</v>
      </c>
      <c r="J18" s="7" t="s">
        <v>286</v>
      </c>
      <c r="K18" s="24">
        <v>8</v>
      </c>
      <c r="L18" s="24">
        <v>1</v>
      </c>
      <c r="M18" s="24">
        <v>7</v>
      </c>
      <c r="N18" s="8" t="s">
        <v>93</v>
      </c>
      <c r="O18" s="18">
        <v>44342</v>
      </c>
      <c r="P18" s="8" t="s">
        <v>77</v>
      </c>
      <c r="Q18" s="1">
        <f t="shared" si="0"/>
        <v>1</v>
      </c>
      <c r="R18" t="s">
        <v>699</v>
      </c>
      <c r="S18">
        <v>6</v>
      </c>
      <c r="T18" s="7">
        <v>433424</v>
      </c>
      <c r="U18" s="7" t="s">
        <v>286</v>
      </c>
    </row>
    <row r="19" spans="1:21" x14ac:dyDescent="0.25">
      <c r="A19" s="1">
        <v>12</v>
      </c>
      <c r="C19" s="7" t="s">
        <v>273</v>
      </c>
      <c r="D19" s="17">
        <v>29103</v>
      </c>
      <c r="E19" s="7" t="s">
        <v>14</v>
      </c>
      <c r="F19" s="7" t="s">
        <v>263</v>
      </c>
      <c r="G19" s="7" t="s">
        <v>89</v>
      </c>
      <c r="H19" s="7" t="s">
        <v>35</v>
      </c>
      <c r="I19" s="7">
        <v>203699</v>
      </c>
      <c r="J19" s="7" t="s">
        <v>283</v>
      </c>
      <c r="K19" s="24">
        <v>16</v>
      </c>
      <c r="L19" s="24">
        <v>2</v>
      </c>
      <c r="M19" s="24">
        <v>8</v>
      </c>
      <c r="N19" s="8" t="s">
        <v>97</v>
      </c>
      <c r="O19" s="18">
        <v>44344</v>
      </c>
      <c r="P19" s="8" t="s">
        <v>77</v>
      </c>
      <c r="Q19" s="1">
        <f t="shared" si="0"/>
        <v>1</v>
      </c>
      <c r="R19" t="s">
        <v>699</v>
      </c>
      <c r="S19">
        <v>6</v>
      </c>
      <c r="T19" s="7">
        <v>203699</v>
      </c>
      <c r="U19" s="7" t="s">
        <v>283</v>
      </c>
    </row>
    <row r="20" spans="1:21" hidden="1" x14ac:dyDescent="0.25">
      <c r="A20" s="1">
        <v>13</v>
      </c>
      <c r="C20" s="7" t="s">
        <v>285</v>
      </c>
      <c r="D20" s="17">
        <v>27818</v>
      </c>
      <c r="E20" s="7" t="s">
        <v>14</v>
      </c>
      <c r="F20" s="7" t="s">
        <v>88</v>
      </c>
      <c r="G20" s="7" t="s">
        <v>89</v>
      </c>
      <c r="H20" s="7" t="s">
        <v>35</v>
      </c>
      <c r="I20" s="7">
        <v>318824</v>
      </c>
      <c r="J20" s="7" t="s">
        <v>287</v>
      </c>
      <c r="K20" s="24">
        <v>16</v>
      </c>
      <c r="L20" s="24">
        <v>2</v>
      </c>
      <c r="M20" s="24">
        <v>7</v>
      </c>
      <c r="N20" s="8" t="s">
        <v>97</v>
      </c>
      <c r="O20" s="18">
        <v>44344</v>
      </c>
      <c r="P20" s="8" t="s">
        <v>77</v>
      </c>
      <c r="Q20" s="1">
        <f t="shared" si="0"/>
        <v>1</v>
      </c>
      <c r="R20" s="16" t="s">
        <v>701</v>
      </c>
    </row>
    <row r="21" spans="1:21" x14ac:dyDescent="0.25">
      <c r="A21" s="1">
        <v>14</v>
      </c>
      <c r="C21" s="7" t="s">
        <v>273</v>
      </c>
      <c r="D21" s="17">
        <v>29104</v>
      </c>
      <c r="E21" s="7" t="s">
        <v>14</v>
      </c>
      <c r="F21" s="7" t="s">
        <v>263</v>
      </c>
      <c r="G21" s="7" t="s">
        <v>89</v>
      </c>
      <c r="H21" s="7" t="s">
        <v>35</v>
      </c>
      <c r="I21" s="7">
        <v>203699</v>
      </c>
      <c r="J21" s="7" t="s">
        <v>283</v>
      </c>
      <c r="K21" s="24">
        <v>16</v>
      </c>
      <c r="L21" s="24">
        <v>2</v>
      </c>
      <c r="M21" s="24">
        <v>8</v>
      </c>
      <c r="N21" s="8" t="s">
        <v>99</v>
      </c>
      <c r="O21" s="18">
        <v>44349</v>
      </c>
      <c r="P21" s="8" t="s">
        <v>100</v>
      </c>
      <c r="Q21" s="1">
        <f t="shared" si="0"/>
        <v>1</v>
      </c>
      <c r="R21" t="s">
        <v>699</v>
      </c>
      <c r="S21">
        <v>7</v>
      </c>
      <c r="T21" s="7">
        <v>203699</v>
      </c>
      <c r="U21" s="7" t="s">
        <v>283</v>
      </c>
    </row>
    <row r="22" spans="1:21" x14ac:dyDescent="0.25">
      <c r="A22" s="1">
        <v>15</v>
      </c>
      <c r="C22" s="7" t="s">
        <v>262</v>
      </c>
      <c r="D22" s="17">
        <v>27999</v>
      </c>
      <c r="E22" s="7" t="s">
        <v>14</v>
      </c>
      <c r="F22" s="7" t="s">
        <v>88</v>
      </c>
      <c r="G22" s="7" t="s">
        <v>288</v>
      </c>
      <c r="H22" s="7" t="s">
        <v>35</v>
      </c>
      <c r="I22" s="7">
        <v>686135</v>
      </c>
      <c r="J22" s="7" t="s">
        <v>265</v>
      </c>
      <c r="K22" s="24">
        <v>16</v>
      </c>
      <c r="L22" s="24">
        <v>2</v>
      </c>
      <c r="M22" s="24">
        <v>6</v>
      </c>
      <c r="N22" s="8" t="s">
        <v>99</v>
      </c>
      <c r="O22" s="18">
        <v>44349</v>
      </c>
      <c r="P22" s="8" t="s">
        <v>100</v>
      </c>
      <c r="Q22" s="1">
        <f t="shared" si="0"/>
        <v>1</v>
      </c>
      <c r="R22" t="s">
        <v>699</v>
      </c>
      <c r="S22">
        <v>4</v>
      </c>
      <c r="T22" s="7">
        <v>686135</v>
      </c>
      <c r="U22" t="s">
        <v>800</v>
      </c>
    </row>
    <row r="23" spans="1:21" x14ac:dyDescent="0.25">
      <c r="A23" s="1">
        <v>16</v>
      </c>
      <c r="C23" s="7" t="s">
        <v>262</v>
      </c>
      <c r="D23" s="17">
        <v>28003</v>
      </c>
      <c r="E23" s="7" t="s">
        <v>14</v>
      </c>
      <c r="F23" s="7" t="s">
        <v>88</v>
      </c>
      <c r="G23" s="7" t="s">
        <v>288</v>
      </c>
      <c r="H23" s="7" t="s">
        <v>35</v>
      </c>
      <c r="I23" s="7">
        <v>686135</v>
      </c>
      <c r="J23" s="7" t="s">
        <v>265</v>
      </c>
      <c r="K23" s="24">
        <v>16</v>
      </c>
      <c r="L23" s="24">
        <v>2</v>
      </c>
      <c r="M23" s="24">
        <v>8</v>
      </c>
      <c r="N23" s="8" t="s">
        <v>289</v>
      </c>
      <c r="O23" s="18">
        <v>44351</v>
      </c>
      <c r="P23" s="8" t="s">
        <v>100</v>
      </c>
      <c r="Q23" s="1">
        <f t="shared" si="0"/>
        <v>1</v>
      </c>
      <c r="R23" t="s">
        <v>699</v>
      </c>
      <c r="S23">
        <v>8</v>
      </c>
      <c r="T23" s="7">
        <v>686135</v>
      </c>
      <c r="U23" t="s">
        <v>800</v>
      </c>
    </row>
    <row r="24" spans="1:21" x14ac:dyDescent="0.25">
      <c r="A24" s="1">
        <v>17</v>
      </c>
      <c r="C24" s="7" t="s">
        <v>273</v>
      </c>
      <c r="D24" s="17">
        <v>29101</v>
      </c>
      <c r="E24" s="7" t="s">
        <v>14</v>
      </c>
      <c r="F24" s="7" t="s">
        <v>263</v>
      </c>
      <c r="G24" s="7" t="s">
        <v>89</v>
      </c>
      <c r="H24" s="7" t="s">
        <v>35</v>
      </c>
      <c r="I24" s="7">
        <v>203699</v>
      </c>
      <c r="J24" s="7" t="s">
        <v>283</v>
      </c>
      <c r="K24" s="24">
        <v>16</v>
      </c>
      <c r="L24" s="24">
        <v>2</v>
      </c>
      <c r="M24" s="24">
        <v>10</v>
      </c>
      <c r="N24" s="8" t="s">
        <v>289</v>
      </c>
      <c r="O24" s="18">
        <v>44351</v>
      </c>
      <c r="P24" s="8" t="s">
        <v>100</v>
      </c>
      <c r="Q24" s="1">
        <f t="shared" si="0"/>
        <v>1</v>
      </c>
      <c r="R24" t="s">
        <v>699</v>
      </c>
      <c r="S24">
        <v>7</v>
      </c>
      <c r="T24" s="7">
        <v>203699</v>
      </c>
      <c r="U24" s="7" t="s">
        <v>283</v>
      </c>
    </row>
    <row r="25" spans="1:21" hidden="1" x14ac:dyDescent="0.25">
      <c r="A25" s="1">
        <v>18</v>
      </c>
      <c r="C25" s="7" t="s">
        <v>276</v>
      </c>
      <c r="D25" s="17">
        <v>30822</v>
      </c>
      <c r="E25" s="7" t="s">
        <v>14</v>
      </c>
      <c r="F25" s="7" t="s">
        <v>269</v>
      </c>
      <c r="G25" s="7" t="s">
        <v>89</v>
      </c>
      <c r="H25" s="7" t="s">
        <v>35</v>
      </c>
      <c r="I25" s="7">
        <v>197260</v>
      </c>
      <c r="J25" s="7" t="s">
        <v>277</v>
      </c>
      <c r="K25" s="24">
        <v>16</v>
      </c>
      <c r="L25" s="24">
        <v>2</v>
      </c>
      <c r="M25" s="24">
        <v>8</v>
      </c>
      <c r="N25" s="8" t="s">
        <v>289</v>
      </c>
      <c r="O25" s="18">
        <v>44351</v>
      </c>
      <c r="P25" s="8" t="s">
        <v>100</v>
      </c>
      <c r="Q25" s="1">
        <f t="shared" si="0"/>
        <v>1</v>
      </c>
      <c r="R25" s="16" t="s">
        <v>701</v>
      </c>
    </row>
    <row r="26" spans="1:21" hidden="1" x14ac:dyDescent="0.25">
      <c r="A26" s="1">
        <v>19</v>
      </c>
      <c r="C26" s="7" t="s">
        <v>285</v>
      </c>
      <c r="D26" s="17">
        <v>29238</v>
      </c>
      <c r="E26" s="7" t="s">
        <v>14</v>
      </c>
      <c r="F26" s="7" t="s">
        <v>263</v>
      </c>
      <c r="G26" s="7" t="s">
        <v>159</v>
      </c>
      <c r="H26" s="7" t="s">
        <v>35</v>
      </c>
      <c r="I26" s="7">
        <v>365499</v>
      </c>
      <c r="J26" s="7" t="s">
        <v>291</v>
      </c>
      <c r="K26" s="24">
        <v>16</v>
      </c>
      <c r="L26" s="24">
        <v>2</v>
      </c>
      <c r="M26" s="24">
        <v>12</v>
      </c>
      <c r="N26" s="8" t="s">
        <v>292</v>
      </c>
      <c r="O26" s="18">
        <v>44353</v>
      </c>
      <c r="P26" s="8" t="s">
        <v>100</v>
      </c>
      <c r="Q26" s="1">
        <f t="shared" si="0"/>
        <v>1</v>
      </c>
      <c r="R26" s="16" t="s">
        <v>701</v>
      </c>
    </row>
    <row r="27" spans="1:21" x14ac:dyDescent="0.25">
      <c r="A27" s="1">
        <v>20</v>
      </c>
      <c r="C27" s="7" t="s">
        <v>285</v>
      </c>
      <c r="D27" s="17">
        <v>27973</v>
      </c>
      <c r="E27" s="7" t="s">
        <v>14</v>
      </c>
      <c r="F27" s="7" t="s">
        <v>88</v>
      </c>
      <c r="G27" s="7" t="s">
        <v>294</v>
      </c>
      <c r="H27" s="7" t="s">
        <v>35</v>
      </c>
      <c r="I27" s="7">
        <v>318824</v>
      </c>
      <c r="J27" s="7" t="s">
        <v>287</v>
      </c>
      <c r="K27" s="24">
        <v>8</v>
      </c>
      <c r="L27" s="24">
        <v>1</v>
      </c>
      <c r="M27" s="24">
        <v>6</v>
      </c>
      <c r="N27" s="8" t="s">
        <v>295</v>
      </c>
      <c r="O27" s="18">
        <v>44354</v>
      </c>
      <c r="P27" s="8" t="s">
        <v>100</v>
      </c>
      <c r="Q27" s="1">
        <f t="shared" si="0"/>
        <v>1</v>
      </c>
      <c r="R27" t="s">
        <v>699</v>
      </c>
      <c r="S27">
        <v>5</v>
      </c>
      <c r="T27">
        <v>318824</v>
      </c>
      <c r="U27" t="s">
        <v>801</v>
      </c>
    </row>
    <row r="28" spans="1:21" x14ac:dyDescent="0.25">
      <c r="A28" s="1">
        <v>21</v>
      </c>
      <c r="C28" s="7" t="s">
        <v>285</v>
      </c>
      <c r="D28" s="17">
        <v>27974</v>
      </c>
      <c r="E28" s="7" t="s">
        <v>14</v>
      </c>
      <c r="F28" s="7" t="s">
        <v>88</v>
      </c>
      <c r="G28" s="7" t="s">
        <v>294</v>
      </c>
      <c r="H28" s="7" t="s">
        <v>35</v>
      </c>
      <c r="I28" s="7">
        <v>280104</v>
      </c>
      <c r="J28" s="7" t="s">
        <v>296</v>
      </c>
      <c r="K28" s="24">
        <v>8</v>
      </c>
      <c r="L28" s="24">
        <v>1</v>
      </c>
      <c r="M28" s="24">
        <v>6</v>
      </c>
      <c r="N28" s="8" t="s">
        <v>102</v>
      </c>
      <c r="O28" s="18">
        <v>44355</v>
      </c>
      <c r="P28" s="8" t="s">
        <v>100</v>
      </c>
      <c r="Q28" s="1">
        <f t="shared" si="0"/>
        <v>1</v>
      </c>
      <c r="R28" t="s">
        <v>699</v>
      </c>
      <c r="S28">
        <v>4</v>
      </c>
      <c r="T28">
        <v>280104</v>
      </c>
      <c r="U28" t="s">
        <v>802</v>
      </c>
    </row>
    <row r="29" spans="1:21" hidden="1" x14ac:dyDescent="0.25">
      <c r="A29" s="1">
        <v>22</v>
      </c>
      <c r="C29" s="7" t="s">
        <v>297</v>
      </c>
      <c r="D29" s="17">
        <v>29105</v>
      </c>
      <c r="E29" s="7" t="s">
        <v>14</v>
      </c>
      <c r="F29" s="7" t="s">
        <v>263</v>
      </c>
      <c r="G29" s="7" t="s">
        <v>89</v>
      </c>
      <c r="H29" s="7" t="s">
        <v>35</v>
      </c>
      <c r="I29" s="7">
        <v>433424</v>
      </c>
      <c r="J29" s="7" t="s">
        <v>286</v>
      </c>
      <c r="K29" s="24">
        <v>16</v>
      </c>
      <c r="L29" s="24">
        <v>2</v>
      </c>
      <c r="M29" s="24">
        <v>5</v>
      </c>
      <c r="N29" s="8" t="s">
        <v>102</v>
      </c>
      <c r="O29" s="18">
        <v>44356</v>
      </c>
      <c r="P29" s="8" t="s">
        <v>100</v>
      </c>
      <c r="Q29" s="1">
        <f t="shared" si="0"/>
        <v>1</v>
      </c>
      <c r="R29" s="16" t="s">
        <v>701</v>
      </c>
    </row>
    <row r="30" spans="1:21" x14ac:dyDescent="0.25">
      <c r="A30" s="1">
        <v>23</v>
      </c>
      <c r="C30" s="7" t="s">
        <v>262</v>
      </c>
      <c r="D30" s="17">
        <v>28001</v>
      </c>
      <c r="E30" s="7" t="s">
        <v>14</v>
      </c>
      <c r="F30" s="7" t="s">
        <v>88</v>
      </c>
      <c r="G30" s="7" t="s">
        <v>288</v>
      </c>
      <c r="H30" s="7" t="s">
        <v>35</v>
      </c>
      <c r="I30" s="7">
        <v>686135</v>
      </c>
      <c r="J30" s="7" t="s">
        <v>265</v>
      </c>
      <c r="K30" s="24">
        <v>16</v>
      </c>
      <c r="L30" s="24">
        <v>2</v>
      </c>
      <c r="M30" s="24">
        <v>8</v>
      </c>
      <c r="N30" s="8" t="s">
        <v>102</v>
      </c>
      <c r="O30" s="18">
        <v>44356</v>
      </c>
      <c r="P30" s="8" t="s">
        <v>100</v>
      </c>
      <c r="Q30" s="1">
        <f t="shared" si="0"/>
        <v>1</v>
      </c>
      <c r="R30" t="s">
        <v>699</v>
      </c>
      <c r="S30">
        <v>8</v>
      </c>
      <c r="T30" s="7">
        <v>686135</v>
      </c>
      <c r="U30" t="s">
        <v>800</v>
      </c>
    </row>
    <row r="31" spans="1:21" x14ac:dyDescent="0.25">
      <c r="A31" s="1">
        <v>24</v>
      </c>
      <c r="C31" s="7" t="s">
        <v>262</v>
      </c>
      <c r="D31" s="17">
        <v>28000</v>
      </c>
      <c r="E31" s="7" t="s">
        <v>14</v>
      </c>
      <c r="F31" s="7" t="s">
        <v>88</v>
      </c>
      <c r="G31" s="7" t="s">
        <v>288</v>
      </c>
      <c r="H31" s="7" t="s">
        <v>35</v>
      </c>
      <c r="I31" s="7">
        <v>686135</v>
      </c>
      <c r="J31" s="7" t="s">
        <v>265</v>
      </c>
      <c r="K31" s="24">
        <v>16</v>
      </c>
      <c r="L31" s="24">
        <v>2</v>
      </c>
      <c r="M31" s="24">
        <v>8</v>
      </c>
      <c r="N31" s="8" t="s">
        <v>104</v>
      </c>
      <c r="O31" s="18">
        <v>44358</v>
      </c>
      <c r="P31" s="8" t="s">
        <v>100</v>
      </c>
      <c r="Q31" s="1">
        <f t="shared" si="0"/>
        <v>1</v>
      </c>
      <c r="R31" t="s">
        <v>699</v>
      </c>
      <c r="S31">
        <v>6</v>
      </c>
      <c r="T31" s="7">
        <v>686135</v>
      </c>
      <c r="U31" t="s">
        <v>800</v>
      </c>
    </row>
    <row r="32" spans="1:21" x14ac:dyDescent="0.25">
      <c r="A32" s="1">
        <v>25</v>
      </c>
      <c r="C32" s="7" t="s">
        <v>262</v>
      </c>
      <c r="D32" s="17">
        <v>28002</v>
      </c>
      <c r="E32" s="7" t="s">
        <v>14</v>
      </c>
      <c r="F32" s="7" t="s">
        <v>88</v>
      </c>
      <c r="G32" s="7" t="s">
        <v>288</v>
      </c>
      <c r="H32" s="7" t="s">
        <v>35</v>
      </c>
      <c r="I32" s="7">
        <v>686135</v>
      </c>
      <c r="J32" s="7" t="s">
        <v>265</v>
      </c>
      <c r="K32" s="24">
        <v>16</v>
      </c>
      <c r="L32" s="24">
        <v>2</v>
      </c>
      <c r="M32" s="24">
        <v>7</v>
      </c>
      <c r="N32" s="8" t="s">
        <v>299</v>
      </c>
      <c r="O32" s="18">
        <v>44362</v>
      </c>
      <c r="P32" s="8" t="s">
        <v>100</v>
      </c>
      <c r="Q32" s="1">
        <f t="shared" si="0"/>
        <v>1</v>
      </c>
      <c r="R32" t="s">
        <v>699</v>
      </c>
      <c r="S32">
        <v>4</v>
      </c>
      <c r="T32" s="7">
        <v>686135</v>
      </c>
      <c r="U32" t="s">
        <v>800</v>
      </c>
    </row>
    <row r="33" spans="1:21" hidden="1" x14ac:dyDescent="0.25">
      <c r="A33" s="1">
        <v>26</v>
      </c>
      <c r="C33" s="7" t="s">
        <v>268</v>
      </c>
      <c r="D33" s="17">
        <v>25602</v>
      </c>
      <c r="E33" s="7" t="s">
        <v>14</v>
      </c>
      <c r="F33" s="7" t="s">
        <v>269</v>
      </c>
      <c r="G33" s="7" t="s">
        <v>62</v>
      </c>
      <c r="H33" s="7" t="s">
        <v>35</v>
      </c>
      <c r="I33" s="7">
        <v>341401</v>
      </c>
      <c r="J33" s="7" t="s">
        <v>301</v>
      </c>
      <c r="K33" s="24">
        <v>24</v>
      </c>
      <c r="L33" s="24">
        <v>3</v>
      </c>
      <c r="M33" s="24">
        <v>5</v>
      </c>
      <c r="N33" s="8" t="s">
        <v>299</v>
      </c>
      <c r="O33" s="18">
        <v>44363</v>
      </c>
      <c r="P33" s="8" t="s">
        <v>100</v>
      </c>
      <c r="Q33" s="1">
        <f t="shared" si="0"/>
        <v>1</v>
      </c>
      <c r="R33" s="16" t="s">
        <v>701</v>
      </c>
    </row>
    <row r="34" spans="1:21" x14ac:dyDescent="0.25">
      <c r="A34" s="1">
        <v>27</v>
      </c>
      <c r="C34" s="7" t="s">
        <v>262</v>
      </c>
      <c r="D34" s="17">
        <v>27811</v>
      </c>
      <c r="E34" s="7" t="s">
        <v>14</v>
      </c>
      <c r="F34" s="7" t="s">
        <v>88</v>
      </c>
      <c r="G34" s="7" t="s">
        <v>302</v>
      </c>
      <c r="H34" s="7" t="s">
        <v>35</v>
      </c>
      <c r="I34" s="7">
        <v>686135</v>
      </c>
      <c r="J34" s="7" t="s">
        <v>265</v>
      </c>
      <c r="K34" s="24">
        <v>8</v>
      </c>
      <c r="L34" s="24">
        <v>1</v>
      </c>
      <c r="M34" s="24">
        <v>7</v>
      </c>
      <c r="N34" s="8" t="s">
        <v>107</v>
      </c>
      <c r="O34" s="18">
        <v>44363</v>
      </c>
      <c r="P34" s="8" t="s">
        <v>100</v>
      </c>
      <c r="Q34" s="1">
        <f t="shared" si="0"/>
        <v>1</v>
      </c>
      <c r="R34" t="s">
        <v>699</v>
      </c>
      <c r="S34">
        <v>7</v>
      </c>
      <c r="T34" s="7">
        <v>686135</v>
      </c>
      <c r="U34" t="s">
        <v>800</v>
      </c>
    </row>
    <row r="35" spans="1:21" x14ac:dyDescent="0.25">
      <c r="A35" s="1">
        <v>28</v>
      </c>
      <c r="C35" s="7" t="s">
        <v>262</v>
      </c>
      <c r="D35" s="17">
        <v>27812</v>
      </c>
      <c r="E35" s="7" t="s">
        <v>14</v>
      </c>
      <c r="F35" s="7" t="s">
        <v>88</v>
      </c>
      <c r="G35" s="7" t="s">
        <v>302</v>
      </c>
      <c r="H35" s="7" t="s">
        <v>35</v>
      </c>
      <c r="I35" s="7">
        <v>686135</v>
      </c>
      <c r="J35" s="7" t="s">
        <v>265</v>
      </c>
      <c r="K35" s="24">
        <v>8</v>
      </c>
      <c r="L35" s="24">
        <v>1</v>
      </c>
      <c r="M35" s="24">
        <v>6</v>
      </c>
      <c r="N35" s="8" t="s">
        <v>106</v>
      </c>
      <c r="O35" s="18">
        <v>44364</v>
      </c>
      <c r="P35" s="8" t="s">
        <v>100</v>
      </c>
      <c r="Q35" s="1">
        <f t="shared" si="0"/>
        <v>1</v>
      </c>
      <c r="R35" t="s">
        <v>699</v>
      </c>
      <c r="S35">
        <v>4</v>
      </c>
      <c r="T35" s="7">
        <v>686135</v>
      </c>
      <c r="U35" t="s">
        <v>800</v>
      </c>
    </row>
    <row r="36" spans="1:21" x14ac:dyDescent="0.25">
      <c r="A36" s="1">
        <v>29</v>
      </c>
      <c r="C36" s="7" t="s">
        <v>262</v>
      </c>
      <c r="D36" s="17">
        <v>27813</v>
      </c>
      <c r="E36" s="7" t="s">
        <v>14</v>
      </c>
      <c r="F36" s="7" t="s">
        <v>88</v>
      </c>
      <c r="G36" s="7" t="s">
        <v>302</v>
      </c>
      <c r="H36" s="7" t="s">
        <v>35</v>
      </c>
      <c r="I36" s="7">
        <v>686135</v>
      </c>
      <c r="J36" s="7" t="s">
        <v>265</v>
      </c>
      <c r="K36" s="24">
        <v>8</v>
      </c>
      <c r="L36" s="24">
        <v>1</v>
      </c>
      <c r="M36" s="24">
        <v>5</v>
      </c>
      <c r="N36" s="8" t="s">
        <v>303</v>
      </c>
      <c r="O36" s="18">
        <v>44365</v>
      </c>
      <c r="P36" s="8" t="s">
        <v>100</v>
      </c>
      <c r="Q36" s="1">
        <f t="shared" si="0"/>
        <v>1</v>
      </c>
      <c r="R36" t="s">
        <v>699</v>
      </c>
      <c r="S36">
        <v>3</v>
      </c>
      <c r="T36" s="7">
        <v>686135</v>
      </c>
      <c r="U36" t="s">
        <v>800</v>
      </c>
    </row>
    <row r="37" spans="1:21" hidden="1" x14ac:dyDescent="0.25">
      <c r="A37" s="1">
        <v>30</v>
      </c>
      <c r="C37" s="7" t="s">
        <v>285</v>
      </c>
      <c r="D37" s="17">
        <v>29237</v>
      </c>
      <c r="E37" s="7" t="s">
        <v>14</v>
      </c>
      <c r="F37" s="7" t="s">
        <v>263</v>
      </c>
      <c r="G37" s="7" t="s">
        <v>159</v>
      </c>
      <c r="H37" s="7" t="s">
        <v>35</v>
      </c>
      <c r="I37" s="7">
        <v>365499</v>
      </c>
      <c r="J37" s="7" t="s">
        <v>291</v>
      </c>
      <c r="K37" s="24">
        <v>16</v>
      </c>
      <c r="L37" s="24">
        <v>2</v>
      </c>
      <c r="M37" s="24">
        <v>7</v>
      </c>
      <c r="N37" s="8" t="s">
        <v>304</v>
      </c>
      <c r="O37" s="18">
        <v>44370</v>
      </c>
      <c r="P37" s="8" t="s">
        <v>100</v>
      </c>
      <c r="Q37" s="1">
        <f t="shared" si="0"/>
        <v>1</v>
      </c>
      <c r="R37" s="16" t="s">
        <v>701</v>
      </c>
    </row>
    <row r="38" spans="1:21" x14ac:dyDescent="0.25">
      <c r="A38" s="1">
        <v>31</v>
      </c>
      <c r="C38" s="7" t="s">
        <v>262</v>
      </c>
      <c r="D38" s="17">
        <v>27825</v>
      </c>
      <c r="E38" s="7" t="s">
        <v>14</v>
      </c>
      <c r="F38" s="7" t="s">
        <v>88</v>
      </c>
      <c r="G38" s="7" t="s">
        <v>89</v>
      </c>
      <c r="H38" s="7" t="s">
        <v>35</v>
      </c>
      <c r="I38" s="7">
        <v>686135</v>
      </c>
      <c r="J38" s="7" t="s">
        <v>265</v>
      </c>
      <c r="K38" s="24">
        <v>16</v>
      </c>
      <c r="L38" s="24">
        <v>2</v>
      </c>
      <c r="M38" s="24">
        <v>6</v>
      </c>
      <c r="N38" s="8" t="s">
        <v>304</v>
      </c>
      <c r="O38" s="18">
        <v>44370</v>
      </c>
      <c r="P38" s="8" t="s">
        <v>100</v>
      </c>
      <c r="Q38" s="1">
        <f t="shared" si="0"/>
        <v>1</v>
      </c>
      <c r="R38" t="s">
        <v>699</v>
      </c>
      <c r="S38">
        <v>6</v>
      </c>
      <c r="T38" s="7">
        <v>686135</v>
      </c>
      <c r="U38" t="s">
        <v>800</v>
      </c>
    </row>
    <row r="39" spans="1:21" hidden="1" x14ac:dyDescent="0.25">
      <c r="A39" s="1">
        <v>32</v>
      </c>
      <c r="C39" s="7" t="s">
        <v>262</v>
      </c>
      <c r="D39" s="17">
        <v>27823</v>
      </c>
      <c r="E39" s="7" t="s">
        <v>14</v>
      </c>
      <c r="F39" s="7" t="s">
        <v>88</v>
      </c>
      <c r="G39" s="7" t="s">
        <v>89</v>
      </c>
      <c r="H39" s="7" t="s">
        <v>35</v>
      </c>
      <c r="I39" s="7">
        <v>686135</v>
      </c>
      <c r="J39" s="7" t="s">
        <v>265</v>
      </c>
      <c r="K39" s="24">
        <v>16</v>
      </c>
      <c r="L39" s="24">
        <v>2</v>
      </c>
      <c r="M39" s="24">
        <v>5</v>
      </c>
      <c r="N39" s="8" t="s">
        <v>110</v>
      </c>
      <c r="O39" s="18">
        <v>44372</v>
      </c>
      <c r="P39" s="8" t="s">
        <v>100</v>
      </c>
      <c r="Q39" s="1">
        <f t="shared" si="0"/>
        <v>1</v>
      </c>
      <c r="R39" s="16" t="s">
        <v>701</v>
      </c>
    </row>
    <row r="40" spans="1:21" x14ac:dyDescent="0.25">
      <c r="A40" s="1">
        <v>33</v>
      </c>
      <c r="C40" s="7" t="s">
        <v>262</v>
      </c>
      <c r="D40" s="17">
        <v>27824</v>
      </c>
      <c r="E40" s="7" t="s">
        <v>14</v>
      </c>
      <c r="F40" s="7" t="s">
        <v>88</v>
      </c>
      <c r="G40" s="7" t="s">
        <v>89</v>
      </c>
      <c r="H40" s="7" t="s">
        <v>35</v>
      </c>
      <c r="I40" s="7">
        <v>686135</v>
      </c>
      <c r="J40" s="7" t="s">
        <v>265</v>
      </c>
      <c r="K40" s="24">
        <v>16</v>
      </c>
      <c r="L40" s="24">
        <v>2</v>
      </c>
      <c r="M40" s="24">
        <v>6</v>
      </c>
      <c r="N40" s="8" t="s">
        <v>306</v>
      </c>
      <c r="O40" s="18">
        <v>44376</v>
      </c>
      <c r="P40" s="8" t="s">
        <v>100</v>
      </c>
      <c r="Q40" s="1">
        <f t="shared" si="0"/>
        <v>1</v>
      </c>
      <c r="R40" t="s">
        <v>699</v>
      </c>
      <c r="S40">
        <v>6</v>
      </c>
      <c r="T40" s="7">
        <v>686135</v>
      </c>
      <c r="U40" t="s">
        <v>800</v>
      </c>
    </row>
    <row r="41" spans="1:21" hidden="1" x14ac:dyDescent="0.25">
      <c r="A41" s="1">
        <v>34</v>
      </c>
      <c r="C41" s="7" t="s">
        <v>268</v>
      </c>
      <c r="D41" s="17">
        <v>23321</v>
      </c>
      <c r="E41" s="7" t="s">
        <v>14</v>
      </c>
      <c r="F41" s="7" t="s">
        <v>269</v>
      </c>
      <c r="G41" s="7" t="s">
        <v>71</v>
      </c>
      <c r="H41" s="7" t="s">
        <v>35</v>
      </c>
      <c r="I41" s="7">
        <v>590998</v>
      </c>
      <c r="J41" s="7" t="s">
        <v>307</v>
      </c>
      <c r="K41" s="24">
        <v>16</v>
      </c>
      <c r="L41" s="24">
        <v>4</v>
      </c>
      <c r="M41" s="24">
        <v>5</v>
      </c>
      <c r="N41" s="8" t="s">
        <v>306</v>
      </c>
      <c r="O41" s="18">
        <v>44378</v>
      </c>
      <c r="P41" s="8" t="s">
        <v>100</v>
      </c>
      <c r="Q41" s="1">
        <f t="shared" si="0"/>
        <v>1</v>
      </c>
      <c r="R41" s="16" t="s">
        <v>701</v>
      </c>
    </row>
    <row r="42" spans="1:21" hidden="1" x14ac:dyDescent="0.25">
      <c r="A42" s="1">
        <v>35</v>
      </c>
      <c r="C42" s="7" t="s">
        <v>285</v>
      </c>
      <c r="D42" s="17">
        <v>27819</v>
      </c>
      <c r="E42" s="7" t="s">
        <v>14</v>
      </c>
      <c r="F42" s="7" t="s">
        <v>88</v>
      </c>
      <c r="G42" s="7" t="s">
        <v>89</v>
      </c>
      <c r="H42" s="7" t="s">
        <v>35</v>
      </c>
      <c r="I42" s="7">
        <v>318824</v>
      </c>
      <c r="J42" s="7" t="s">
        <v>287</v>
      </c>
      <c r="K42" s="24">
        <v>16</v>
      </c>
      <c r="L42" s="24">
        <v>2</v>
      </c>
      <c r="M42" s="24">
        <v>5</v>
      </c>
      <c r="N42" s="8" t="s">
        <v>308</v>
      </c>
      <c r="O42" s="18">
        <v>44379</v>
      </c>
      <c r="P42" s="8" t="s">
        <v>119</v>
      </c>
      <c r="Q42" s="1">
        <f t="shared" si="0"/>
        <v>1</v>
      </c>
      <c r="R42" s="16" t="s">
        <v>701</v>
      </c>
    </row>
    <row r="43" spans="1:21" hidden="1" x14ac:dyDescent="0.25">
      <c r="A43" s="1">
        <v>36</v>
      </c>
      <c r="C43" s="7" t="s">
        <v>309</v>
      </c>
      <c r="D43" s="17">
        <v>27970</v>
      </c>
      <c r="E43" s="7" t="s">
        <v>14</v>
      </c>
      <c r="F43" s="7" t="s">
        <v>88</v>
      </c>
      <c r="G43" s="7" t="s">
        <v>127</v>
      </c>
      <c r="H43" s="7" t="s">
        <v>35</v>
      </c>
      <c r="I43" s="7">
        <v>318824</v>
      </c>
      <c r="J43" s="7" t="s">
        <v>287</v>
      </c>
      <c r="K43" s="24">
        <v>16</v>
      </c>
      <c r="L43" s="24">
        <v>2</v>
      </c>
      <c r="M43" s="24">
        <v>6</v>
      </c>
      <c r="N43" s="8" t="s">
        <v>310</v>
      </c>
      <c r="O43" s="18">
        <v>44383</v>
      </c>
      <c r="P43" s="8" t="s">
        <v>119</v>
      </c>
      <c r="Q43" s="1">
        <f t="shared" si="0"/>
        <v>1</v>
      </c>
      <c r="R43" s="16" t="s">
        <v>701</v>
      </c>
    </row>
    <row r="44" spans="1:21" hidden="1" x14ac:dyDescent="0.25">
      <c r="A44" s="1">
        <v>37</v>
      </c>
      <c r="C44" s="7" t="s">
        <v>312</v>
      </c>
      <c r="D44" s="17">
        <v>29854</v>
      </c>
      <c r="E44" s="7" t="s">
        <v>14</v>
      </c>
      <c r="F44" s="7" t="s">
        <v>313</v>
      </c>
      <c r="G44" s="7" t="s">
        <v>40</v>
      </c>
      <c r="H44" s="7" t="s">
        <v>35</v>
      </c>
      <c r="I44" s="7">
        <v>328559</v>
      </c>
      <c r="J44" s="7" t="s">
        <v>314</v>
      </c>
      <c r="K44" s="24">
        <v>24</v>
      </c>
      <c r="L44" s="24">
        <v>3</v>
      </c>
      <c r="M44" s="24">
        <v>3</v>
      </c>
      <c r="N44" s="8" t="s">
        <v>310</v>
      </c>
      <c r="O44" s="18">
        <v>44384</v>
      </c>
      <c r="P44" s="8" t="s">
        <v>119</v>
      </c>
      <c r="Q44" s="1">
        <f t="shared" si="0"/>
        <v>1</v>
      </c>
      <c r="R44" s="16" t="s">
        <v>701</v>
      </c>
    </row>
    <row r="45" spans="1:21" hidden="1" x14ac:dyDescent="0.25">
      <c r="A45" s="1">
        <v>38</v>
      </c>
      <c r="C45" s="7" t="s">
        <v>285</v>
      </c>
      <c r="D45" s="17">
        <v>27820</v>
      </c>
      <c r="E45" s="7" t="s">
        <v>14</v>
      </c>
      <c r="F45" s="7" t="s">
        <v>88</v>
      </c>
      <c r="G45" s="7" t="s">
        <v>89</v>
      </c>
      <c r="H45" s="7" t="s">
        <v>35</v>
      </c>
      <c r="I45" s="7">
        <v>318824</v>
      </c>
      <c r="J45" s="7" t="s">
        <v>287</v>
      </c>
      <c r="K45" s="24">
        <v>16</v>
      </c>
      <c r="L45" s="24">
        <v>2</v>
      </c>
      <c r="M45" s="24">
        <v>5</v>
      </c>
      <c r="N45" s="8" t="s">
        <v>120</v>
      </c>
      <c r="O45" s="18">
        <v>44386</v>
      </c>
      <c r="P45" s="8" t="s">
        <v>119</v>
      </c>
      <c r="Q45" s="1">
        <f t="shared" si="0"/>
        <v>1</v>
      </c>
      <c r="R45" s="16" t="s">
        <v>701</v>
      </c>
    </row>
    <row r="46" spans="1:21" hidden="1" x14ac:dyDescent="0.25">
      <c r="A46" s="1">
        <v>39</v>
      </c>
      <c r="C46" s="7" t="s">
        <v>276</v>
      </c>
      <c r="D46" s="17">
        <v>30818</v>
      </c>
      <c r="E46" s="7" t="s">
        <v>14</v>
      </c>
      <c r="F46" s="7" t="s">
        <v>269</v>
      </c>
      <c r="G46" s="7" t="s">
        <v>89</v>
      </c>
      <c r="H46" s="7" t="s">
        <v>35</v>
      </c>
      <c r="I46" s="7">
        <v>197260</v>
      </c>
      <c r="J46" s="7" t="s">
        <v>277</v>
      </c>
      <c r="K46" s="24">
        <v>16</v>
      </c>
      <c r="L46" s="24">
        <v>2</v>
      </c>
      <c r="M46" s="24">
        <v>10</v>
      </c>
      <c r="N46" s="8" t="s">
        <v>120</v>
      </c>
      <c r="O46" s="18">
        <v>44386</v>
      </c>
      <c r="P46" s="8" t="s">
        <v>119</v>
      </c>
      <c r="Q46" s="1">
        <f t="shared" si="0"/>
        <v>1</v>
      </c>
      <c r="R46" s="16" t="s">
        <v>701</v>
      </c>
    </row>
    <row r="47" spans="1:21" hidden="1" x14ac:dyDescent="0.25">
      <c r="A47" s="1">
        <v>40</v>
      </c>
      <c r="C47" s="7" t="s">
        <v>309</v>
      </c>
      <c r="D47" s="17">
        <v>27971</v>
      </c>
      <c r="E47" s="7" t="s">
        <v>14</v>
      </c>
      <c r="F47" s="7" t="s">
        <v>88</v>
      </c>
      <c r="G47" s="7" t="s">
        <v>127</v>
      </c>
      <c r="H47" s="7" t="s">
        <v>35</v>
      </c>
      <c r="I47" s="7">
        <v>318824</v>
      </c>
      <c r="J47" s="7" t="s">
        <v>287</v>
      </c>
      <c r="K47" s="24">
        <v>16</v>
      </c>
      <c r="L47" s="24">
        <v>2</v>
      </c>
      <c r="M47" s="24">
        <v>4</v>
      </c>
      <c r="N47" s="8" t="s">
        <v>126</v>
      </c>
      <c r="O47" s="18">
        <v>44390</v>
      </c>
      <c r="P47" s="8" t="s">
        <v>119</v>
      </c>
      <c r="Q47" s="1">
        <f t="shared" si="0"/>
        <v>1</v>
      </c>
      <c r="R47" s="16" t="s">
        <v>701</v>
      </c>
    </row>
    <row r="48" spans="1:21" hidden="1" x14ac:dyDescent="0.25">
      <c r="A48" s="1">
        <v>41</v>
      </c>
      <c r="C48" s="7" t="s">
        <v>312</v>
      </c>
      <c r="D48" s="17">
        <v>29721</v>
      </c>
      <c r="E48" s="7" t="s">
        <v>14</v>
      </c>
      <c r="F48" s="7" t="s">
        <v>313</v>
      </c>
      <c r="G48" s="7" t="s">
        <v>89</v>
      </c>
      <c r="H48" s="7" t="s">
        <v>35</v>
      </c>
      <c r="I48" s="7">
        <v>374049</v>
      </c>
      <c r="J48" s="7" t="s">
        <v>316</v>
      </c>
      <c r="K48" s="24">
        <v>16</v>
      </c>
      <c r="L48" s="24">
        <v>2</v>
      </c>
      <c r="M48" s="24">
        <v>2</v>
      </c>
      <c r="N48" s="8" t="s">
        <v>126</v>
      </c>
      <c r="O48" s="18">
        <v>44390</v>
      </c>
      <c r="P48" s="8" t="s">
        <v>119</v>
      </c>
      <c r="Q48" s="1">
        <f t="shared" si="0"/>
        <v>1</v>
      </c>
      <c r="R48" s="16" t="s">
        <v>701</v>
      </c>
    </row>
    <row r="49" spans="1:21" x14ac:dyDescent="0.25">
      <c r="A49" s="1">
        <v>42</v>
      </c>
      <c r="C49" s="7" t="s">
        <v>273</v>
      </c>
      <c r="D49" s="17">
        <v>24684</v>
      </c>
      <c r="E49" s="7" t="s">
        <v>14</v>
      </c>
      <c r="F49" s="7" t="s">
        <v>263</v>
      </c>
      <c r="G49" s="7" t="s">
        <v>317</v>
      </c>
      <c r="H49" s="7" t="s">
        <v>35</v>
      </c>
      <c r="I49" s="7">
        <v>203699</v>
      </c>
      <c r="J49" s="7" t="s">
        <v>283</v>
      </c>
      <c r="K49" s="24">
        <v>16</v>
      </c>
      <c r="L49" s="24">
        <v>2</v>
      </c>
      <c r="M49" s="24">
        <v>10</v>
      </c>
      <c r="N49" s="8" t="s">
        <v>318</v>
      </c>
      <c r="O49" s="18">
        <v>44393</v>
      </c>
      <c r="P49" s="8" t="s">
        <v>119</v>
      </c>
      <c r="Q49" s="1">
        <f t="shared" si="0"/>
        <v>1</v>
      </c>
      <c r="R49" t="s">
        <v>699</v>
      </c>
      <c r="S49">
        <v>9</v>
      </c>
      <c r="T49" s="7">
        <v>203699</v>
      </c>
      <c r="U49" s="7" t="s">
        <v>283</v>
      </c>
    </row>
    <row r="50" spans="1:21" hidden="1" x14ac:dyDescent="0.25">
      <c r="A50" s="1">
        <v>43</v>
      </c>
      <c r="C50" s="7" t="s">
        <v>319</v>
      </c>
      <c r="D50" s="17">
        <v>29720</v>
      </c>
      <c r="E50" s="7" t="s">
        <v>14</v>
      </c>
      <c r="F50" s="7" t="s">
        <v>313</v>
      </c>
      <c r="G50" s="7" t="s">
        <v>89</v>
      </c>
      <c r="H50" s="7" t="s">
        <v>35</v>
      </c>
      <c r="I50" s="7">
        <v>374049</v>
      </c>
      <c r="J50" s="7" t="s">
        <v>316</v>
      </c>
      <c r="K50" s="24">
        <v>16</v>
      </c>
      <c r="L50" s="24">
        <v>2</v>
      </c>
      <c r="M50" s="24">
        <v>4</v>
      </c>
      <c r="N50" s="8" t="s">
        <v>134</v>
      </c>
      <c r="O50" s="18">
        <v>44404</v>
      </c>
      <c r="P50" s="8" t="s">
        <v>119</v>
      </c>
      <c r="Q50" s="1">
        <f t="shared" si="0"/>
        <v>1</v>
      </c>
      <c r="R50" s="16" t="s">
        <v>701</v>
      </c>
    </row>
    <row r="51" spans="1:21" hidden="1" x14ac:dyDescent="0.25">
      <c r="A51" s="1">
        <v>44</v>
      </c>
      <c r="C51" s="7" t="s">
        <v>262</v>
      </c>
      <c r="D51" s="17">
        <v>29236</v>
      </c>
      <c r="E51" s="7" t="s">
        <v>14</v>
      </c>
      <c r="F51" s="7" t="s">
        <v>263</v>
      </c>
      <c r="G51" s="7" t="s">
        <v>159</v>
      </c>
      <c r="H51" s="7" t="s">
        <v>35</v>
      </c>
      <c r="I51" s="7">
        <v>686135</v>
      </c>
      <c r="J51" s="7" t="s">
        <v>265</v>
      </c>
      <c r="K51" s="24">
        <v>16</v>
      </c>
      <c r="L51" s="24">
        <v>2</v>
      </c>
      <c r="M51" s="24">
        <v>6</v>
      </c>
      <c r="N51" s="8" t="s">
        <v>134</v>
      </c>
      <c r="O51" s="18">
        <v>44404</v>
      </c>
      <c r="P51" s="8" t="s">
        <v>119</v>
      </c>
      <c r="Q51" s="1">
        <f t="shared" si="0"/>
        <v>1</v>
      </c>
      <c r="R51" s="16" t="s">
        <v>701</v>
      </c>
    </row>
    <row r="52" spans="1:21" hidden="1" x14ac:dyDescent="0.25">
      <c r="A52" s="1">
        <v>45</v>
      </c>
      <c r="C52" s="7" t="s">
        <v>273</v>
      </c>
      <c r="D52" s="17">
        <v>23201</v>
      </c>
      <c r="E52" s="7" t="s">
        <v>14</v>
      </c>
      <c r="F52" s="7" t="s">
        <v>263</v>
      </c>
      <c r="G52" s="7" t="s">
        <v>264</v>
      </c>
      <c r="H52" s="7" t="s">
        <v>35</v>
      </c>
      <c r="I52" s="7">
        <v>413600</v>
      </c>
      <c r="J52" s="7" t="s">
        <v>320</v>
      </c>
      <c r="K52" s="24">
        <v>8</v>
      </c>
      <c r="L52" s="24">
        <v>1</v>
      </c>
      <c r="M52" s="24">
        <v>10</v>
      </c>
      <c r="N52" s="8" t="s">
        <v>137</v>
      </c>
      <c r="O52" s="18">
        <v>44406</v>
      </c>
      <c r="P52" s="8" t="s">
        <v>119</v>
      </c>
      <c r="Q52" s="1">
        <f t="shared" si="0"/>
        <v>1</v>
      </c>
      <c r="R52" s="16" t="s">
        <v>701</v>
      </c>
    </row>
    <row r="53" spans="1:21" hidden="1" x14ac:dyDescent="0.25">
      <c r="A53" s="1">
        <v>46</v>
      </c>
      <c r="C53" s="7" t="s">
        <v>262</v>
      </c>
      <c r="D53" s="17">
        <v>23204</v>
      </c>
      <c r="E53" s="7" t="s">
        <v>14</v>
      </c>
      <c r="F53" s="7" t="s">
        <v>263</v>
      </c>
      <c r="G53" s="7" t="s">
        <v>264</v>
      </c>
      <c r="H53" s="7" t="s">
        <v>35</v>
      </c>
      <c r="I53" s="7">
        <v>686135</v>
      </c>
      <c r="J53" s="7" t="s">
        <v>265</v>
      </c>
      <c r="K53" s="24">
        <v>8</v>
      </c>
      <c r="L53" s="24">
        <v>1</v>
      </c>
      <c r="M53" s="24">
        <v>10</v>
      </c>
      <c r="N53" s="8" t="s">
        <v>139</v>
      </c>
      <c r="O53" s="18">
        <v>44410</v>
      </c>
      <c r="P53" s="8" t="s">
        <v>141</v>
      </c>
      <c r="Q53" s="1">
        <f t="shared" si="0"/>
        <v>1</v>
      </c>
      <c r="R53" s="16" t="s">
        <v>701</v>
      </c>
    </row>
    <row r="54" spans="1:21" hidden="1" x14ac:dyDescent="0.25">
      <c r="A54" s="1">
        <v>47</v>
      </c>
      <c r="C54" s="7" t="s">
        <v>278</v>
      </c>
      <c r="D54" s="17">
        <v>25701</v>
      </c>
      <c r="E54" s="7" t="s">
        <v>14</v>
      </c>
      <c r="F54" s="7" t="s">
        <v>269</v>
      </c>
      <c r="G54" s="7" t="s">
        <v>321</v>
      </c>
      <c r="H54" s="7" t="s">
        <v>35</v>
      </c>
      <c r="I54" s="7">
        <v>679358</v>
      </c>
      <c r="J54" s="7" t="s">
        <v>280</v>
      </c>
      <c r="K54" s="24">
        <v>16</v>
      </c>
      <c r="L54" s="24">
        <v>2</v>
      </c>
      <c r="M54" s="24">
        <v>3</v>
      </c>
      <c r="N54" s="8" t="s">
        <v>139</v>
      </c>
      <c r="O54" s="18">
        <v>44411</v>
      </c>
      <c r="P54" s="8" t="s">
        <v>141</v>
      </c>
      <c r="Q54" s="1">
        <f t="shared" ref="Q54:Q85" si="1">IF(O54&lt;=$D$3,1,0)</f>
        <v>1</v>
      </c>
      <c r="R54" s="16" t="s">
        <v>701</v>
      </c>
    </row>
    <row r="55" spans="1:21" hidden="1" x14ac:dyDescent="0.25">
      <c r="A55" s="1">
        <v>48</v>
      </c>
      <c r="C55" s="7" t="s">
        <v>276</v>
      </c>
      <c r="D55" s="17">
        <v>27975</v>
      </c>
      <c r="E55" s="7" t="s">
        <v>14</v>
      </c>
      <c r="F55" s="7" t="s">
        <v>88</v>
      </c>
      <c r="G55" s="7" t="s">
        <v>294</v>
      </c>
      <c r="H55" s="7" t="s">
        <v>35</v>
      </c>
      <c r="I55" s="7">
        <v>318824</v>
      </c>
      <c r="J55" s="7" t="s">
        <v>287</v>
      </c>
      <c r="K55" s="24">
        <v>8</v>
      </c>
      <c r="L55" s="24">
        <v>1</v>
      </c>
      <c r="M55" s="24">
        <v>10</v>
      </c>
      <c r="N55" s="8" t="s">
        <v>143</v>
      </c>
      <c r="O55" s="18">
        <v>44412</v>
      </c>
      <c r="P55" s="8" t="s">
        <v>141</v>
      </c>
      <c r="Q55" s="1">
        <f t="shared" si="1"/>
        <v>1</v>
      </c>
      <c r="R55" s="16" t="s">
        <v>701</v>
      </c>
    </row>
    <row r="56" spans="1:21" hidden="1" x14ac:dyDescent="0.25">
      <c r="A56" s="1">
        <v>49</v>
      </c>
      <c r="C56" s="7" t="s">
        <v>276</v>
      </c>
      <c r="D56" s="17">
        <v>27977</v>
      </c>
      <c r="E56" s="7" t="s">
        <v>14</v>
      </c>
      <c r="F56" s="7" t="s">
        <v>88</v>
      </c>
      <c r="G56" s="7" t="s">
        <v>294</v>
      </c>
      <c r="H56" s="7" t="s">
        <v>35</v>
      </c>
      <c r="I56" s="7">
        <v>318824</v>
      </c>
      <c r="J56" s="7" t="s">
        <v>287</v>
      </c>
      <c r="K56" s="24">
        <v>8</v>
      </c>
      <c r="L56" s="24">
        <v>1</v>
      </c>
      <c r="M56" s="24">
        <v>8</v>
      </c>
      <c r="N56" s="8" t="s">
        <v>145</v>
      </c>
      <c r="O56" s="18">
        <v>44413</v>
      </c>
      <c r="P56" s="8" t="s">
        <v>141</v>
      </c>
      <c r="Q56" s="1">
        <f t="shared" si="1"/>
        <v>1</v>
      </c>
      <c r="R56" s="16" t="s">
        <v>701</v>
      </c>
    </row>
    <row r="57" spans="1:21" hidden="1" x14ac:dyDescent="0.25">
      <c r="A57" s="1">
        <v>50</v>
      </c>
      <c r="C57" s="7" t="s">
        <v>276</v>
      </c>
      <c r="D57" s="17">
        <v>30817</v>
      </c>
      <c r="E57" s="7" t="s">
        <v>14</v>
      </c>
      <c r="F57" s="7" t="s">
        <v>269</v>
      </c>
      <c r="G57" s="7" t="s">
        <v>89</v>
      </c>
      <c r="H57" s="7" t="s">
        <v>35</v>
      </c>
      <c r="I57" s="7">
        <v>197260</v>
      </c>
      <c r="J57" s="7" t="s">
        <v>277</v>
      </c>
      <c r="K57" s="24">
        <v>16</v>
      </c>
      <c r="L57" s="24">
        <v>2</v>
      </c>
      <c r="M57" s="24">
        <v>10</v>
      </c>
      <c r="N57" s="8" t="s">
        <v>145</v>
      </c>
      <c r="O57" s="18">
        <v>44414</v>
      </c>
      <c r="P57" s="8" t="s">
        <v>141</v>
      </c>
      <c r="Q57" s="1">
        <f t="shared" si="1"/>
        <v>1</v>
      </c>
      <c r="R57" s="16" t="s">
        <v>701</v>
      </c>
    </row>
    <row r="58" spans="1:21" hidden="1" x14ac:dyDescent="0.25">
      <c r="A58" s="1">
        <v>51</v>
      </c>
      <c r="C58" s="7" t="s">
        <v>285</v>
      </c>
      <c r="D58" s="17">
        <v>24846</v>
      </c>
      <c r="E58" s="7" t="s">
        <v>14</v>
      </c>
      <c r="F58" s="7" t="s">
        <v>88</v>
      </c>
      <c r="G58" s="7" t="s">
        <v>68</v>
      </c>
      <c r="H58" s="7" t="s">
        <v>35</v>
      </c>
      <c r="I58" s="7">
        <v>365499</v>
      </c>
      <c r="J58" s="7" t="s">
        <v>291</v>
      </c>
      <c r="K58" s="24">
        <v>24</v>
      </c>
      <c r="L58" s="24">
        <v>3</v>
      </c>
      <c r="M58" s="24">
        <v>4</v>
      </c>
      <c r="N58" s="8" t="s">
        <v>153</v>
      </c>
      <c r="O58" s="18">
        <v>44422</v>
      </c>
      <c r="P58" s="8" t="s">
        <v>141</v>
      </c>
      <c r="Q58" s="1">
        <f t="shared" si="1"/>
        <v>1</v>
      </c>
      <c r="R58" s="16" t="s">
        <v>701</v>
      </c>
    </row>
    <row r="59" spans="1:21" hidden="1" x14ac:dyDescent="0.25">
      <c r="A59" s="1">
        <v>52</v>
      </c>
      <c r="C59" s="7" t="s">
        <v>285</v>
      </c>
      <c r="D59" s="17">
        <v>28056</v>
      </c>
      <c r="E59" s="7" t="s">
        <v>14</v>
      </c>
      <c r="F59" s="7" t="s">
        <v>88</v>
      </c>
      <c r="G59" s="7" t="s">
        <v>62</v>
      </c>
      <c r="H59" s="7" t="s">
        <v>35</v>
      </c>
      <c r="I59" s="7">
        <v>365499</v>
      </c>
      <c r="J59" s="7" t="s">
        <v>291</v>
      </c>
      <c r="K59" s="24">
        <v>24</v>
      </c>
      <c r="L59" s="24">
        <v>3</v>
      </c>
      <c r="M59" s="24">
        <v>5</v>
      </c>
      <c r="N59" s="8" t="s">
        <v>154</v>
      </c>
      <c r="O59" s="18">
        <v>44426</v>
      </c>
      <c r="P59" s="8" t="s">
        <v>141</v>
      </c>
      <c r="Q59" s="1">
        <f t="shared" si="1"/>
        <v>1</v>
      </c>
      <c r="R59" s="16" t="s">
        <v>701</v>
      </c>
    </row>
    <row r="60" spans="1:21" hidden="1" x14ac:dyDescent="0.25">
      <c r="A60" s="1">
        <v>53</v>
      </c>
      <c r="C60" s="7" t="s">
        <v>285</v>
      </c>
      <c r="D60" s="17">
        <v>28067</v>
      </c>
      <c r="E60" s="7" t="s">
        <v>14</v>
      </c>
      <c r="F60" s="7" t="s">
        <v>88</v>
      </c>
      <c r="G60" s="7" t="s">
        <v>159</v>
      </c>
      <c r="H60" s="7" t="s">
        <v>35</v>
      </c>
      <c r="I60" s="7">
        <v>365499</v>
      </c>
      <c r="J60" s="7" t="s">
        <v>291</v>
      </c>
      <c r="K60" s="24">
        <v>16</v>
      </c>
      <c r="L60" s="24">
        <v>2</v>
      </c>
      <c r="M60" s="24">
        <v>5</v>
      </c>
      <c r="N60" s="8" t="s">
        <v>167</v>
      </c>
      <c r="O60" s="18">
        <v>44436</v>
      </c>
      <c r="P60" s="8" t="s">
        <v>141</v>
      </c>
      <c r="Q60" s="1">
        <f t="shared" si="1"/>
        <v>1</v>
      </c>
      <c r="R60" s="16" t="s">
        <v>701</v>
      </c>
    </row>
    <row r="61" spans="1:21" hidden="1" x14ac:dyDescent="0.25">
      <c r="A61" s="1">
        <v>54</v>
      </c>
      <c r="C61" s="7" t="s">
        <v>276</v>
      </c>
      <c r="D61" s="17">
        <v>30819</v>
      </c>
      <c r="E61" s="7" t="s">
        <v>14</v>
      </c>
      <c r="F61" s="7" t="s">
        <v>269</v>
      </c>
      <c r="G61" s="7" t="s">
        <v>89</v>
      </c>
      <c r="H61" s="7" t="s">
        <v>35</v>
      </c>
      <c r="I61" s="7">
        <v>197260</v>
      </c>
      <c r="J61" s="7" t="s">
        <v>277</v>
      </c>
      <c r="K61" s="24">
        <v>16</v>
      </c>
      <c r="L61" s="24">
        <v>2</v>
      </c>
      <c r="M61" s="24">
        <v>10</v>
      </c>
      <c r="N61" s="8" t="s">
        <v>172</v>
      </c>
      <c r="O61" s="18">
        <v>44442</v>
      </c>
      <c r="P61" s="8" t="s">
        <v>173</v>
      </c>
      <c r="Q61" s="1">
        <f t="shared" si="1"/>
        <v>1</v>
      </c>
      <c r="R61" s="16" t="s">
        <v>701</v>
      </c>
    </row>
    <row r="62" spans="1:21" x14ac:dyDescent="0.25">
      <c r="A62" s="1">
        <v>55</v>
      </c>
      <c r="C62" s="7" t="s">
        <v>262</v>
      </c>
      <c r="D62" s="17">
        <v>23206</v>
      </c>
      <c r="E62" s="7" t="s">
        <v>14</v>
      </c>
      <c r="F62" s="7" t="s">
        <v>263</v>
      </c>
      <c r="G62" s="7" t="s">
        <v>264</v>
      </c>
      <c r="H62" s="7" t="s">
        <v>35</v>
      </c>
      <c r="I62" s="7">
        <v>686135</v>
      </c>
      <c r="J62" s="7" t="s">
        <v>265</v>
      </c>
      <c r="K62" s="24">
        <v>8</v>
      </c>
      <c r="L62" s="24">
        <v>1</v>
      </c>
      <c r="M62" s="24">
        <v>10</v>
      </c>
      <c r="N62" s="18">
        <v>44446</v>
      </c>
      <c r="O62" s="18">
        <v>44446</v>
      </c>
      <c r="P62" s="8" t="s">
        <v>173</v>
      </c>
      <c r="Q62" s="1">
        <f t="shared" si="1"/>
        <v>1</v>
      </c>
      <c r="R62" t="s">
        <v>699</v>
      </c>
      <c r="S62">
        <v>8</v>
      </c>
      <c r="U62" t="s">
        <v>803</v>
      </c>
    </row>
    <row r="63" spans="1:21" x14ac:dyDescent="0.25">
      <c r="A63" s="1">
        <v>56</v>
      </c>
      <c r="C63" s="7" t="s">
        <v>273</v>
      </c>
      <c r="D63" s="17">
        <v>24689</v>
      </c>
      <c r="E63" s="7" t="s">
        <v>14</v>
      </c>
      <c r="F63" s="7" t="s">
        <v>263</v>
      </c>
      <c r="G63" s="7" t="s">
        <v>40</v>
      </c>
      <c r="H63" s="7" t="s">
        <v>35</v>
      </c>
      <c r="I63" s="7">
        <v>413600</v>
      </c>
      <c r="J63" s="7" t="s">
        <v>320</v>
      </c>
      <c r="K63" s="24">
        <v>24</v>
      </c>
      <c r="L63" s="24">
        <v>3</v>
      </c>
      <c r="M63" s="24">
        <v>9</v>
      </c>
      <c r="N63" s="8" t="s">
        <v>180</v>
      </c>
      <c r="O63" s="18">
        <v>44450</v>
      </c>
      <c r="P63" s="8" t="s">
        <v>173</v>
      </c>
      <c r="Q63" s="1">
        <f t="shared" si="1"/>
        <v>1</v>
      </c>
      <c r="R63" t="s">
        <v>699</v>
      </c>
      <c r="S63">
        <v>7</v>
      </c>
      <c r="U63" t="s">
        <v>804</v>
      </c>
    </row>
    <row r="64" spans="1:21" x14ac:dyDescent="0.25">
      <c r="A64" s="1">
        <v>57</v>
      </c>
      <c r="C64" s="7" t="s">
        <v>273</v>
      </c>
      <c r="D64" s="17">
        <v>28016</v>
      </c>
      <c r="E64" s="7" t="s">
        <v>14</v>
      </c>
      <c r="F64" s="7" t="s">
        <v>88</v>
      </c>
      <c r="G64" s="7" t="s">
        <v>40</v>
      </c>
      <c r="H64" s="7" t="s">
        <v>35</v>
      </c>
      <c r="I64" s="7">
        <v>214350</v>
      </c>
      <c r="J64" s="7" t="s">
        <v>324</v>
      </c>
      <c r="K64" s="24">
        <v>24</v>
      </c>
      <c r="L64" s="24">
        <v>3</v>
      </c>
      <c r="M64" s="24">
        <v>7</v>
      </c>
      <c r="N64" s="18">
        <v>44448</v>
      </c>
      <c r="O64" s="18">
        <v>44450</v>
      </c>
      <c r="P64" s="8" t="s">
        <v>173</v>
      </c>
      <c r="Q64" s="1">
        <f t="shared" si="1"/>
        <v>1</v>
      </c>
      <c r="R64" t="s">
        <v>699</v>
      </c>
      <c r="S64">
        <v>9</v>
      </c>
      <c r="T64">
        <v>413600</v>
      </c>
      <c r="U64" t="s">
        <v>320</v>
      </c>
    </row>
    <row r="65" spans="1:21" x14ac:dyDescent="0.25">
      <c r="A65" s="1">
        <v>58</v>
      </c>
      <c r="C65" s="7" t="s">
        <v>273</v>
      </c>
      <c r="D65" s="17">
        <v>28017</v>
      </c>
      <c r="E65" s="7" t="s">
        <v>14</v>
      </c>
      <c r="F65" s="7" t="s">
        <v>88</v>
      </c>
      <c r="G65" s="7" t="s">
        <v>40</v>
      </c>
      <c r="H65" s="7" t="s">
        <v>35</v>
      </c>
      <c r="I65" s="7">
        <v>214350</v>
      </c>
      <c r="J65" s="7" t="s">
        <v>324</v>
      </c>
      <c r="K65" s="24">
        <v>24</v>
      </c>
      <c r="L65" s="24">
        <v>3</v>
      </c>
      <c r="M65" s="24">
        <v>7</v>
      </c>
      <c r="N65" s="8" t="s">
        <v>184</v>
      </c>
      <c r="O65" s="18">
        <v>44454</v>
      </c>
      <c r="P65" s="8" t="s">
        <v>173</v>
      </c>
      <c r="Q65" s="1">
        <f t="shared" si="1"/>
        <v>1</v>
      </c>
      <c r="R65" t="s">
        <v>699</v>
      </c>
      <c r="S65">
        <v>6</v>
      </c>
      <c r="U65" t="s">
        <v>804</v>
      </c>
    </row>
    <row r="66" spans="1:21" hidden="1" x14ac:dyDescent="0.25">
      <c r="A66" s="1">
        <v>59</v>
      </c>
      <c r="C66" s="7" t="s">
        <v>273</v>
      </c>
      <c r="D66" s="17">
        <v>24903</v>
      </c>
      <c r="E66" s="7" t="s">
        <v>14</v>
      </c>
      <c r="F66" s="7" t="s">
        <v>263</v>
      </c>
      <c r="G66" s="7" t="s">
        <v>84</v>
      </c>
      <c r="H66" s="7" t="s">
        <v>35</v>
      </c>
      <c r="I66" s="7">
        <v>413600</v>
      </c>
      <c r="J66" s="7" t="s">
        <v>320</v>
      </c>
      <c r="K66" s="24">
        <v>16</v>
      </c>
      <c r="L66" s="24">
        <v>2</v>
      </c>
      <c r="M66" s="24">
        <v>10</v>
      </c>
      <c r="N66" s="8" t="s">
        <v>188</v>
      </c>
      <c r="O66" s="18">
        <v>44456</v>
      </c>
      <c r="P66" s="8" t="s">
        <v>173</v>
      </c>
      <c r="Q66" s="1">
        <f>IF(O66&lt;=$D$3,1,0)</f>
        <v>1</v>
      </c>
      <c r="R66" s="16" t="s">
        <v>701</v>
      </c>
    </row>
    <row r="67" spans="1:21" x14ac:dyDescent="0.25">
      <c r="A67" s="1">
        <v>60</v>
      </c>
      <c r="C67" s="7" t="s">
        <v>273</v>
      </c>
      <c r="D67" s="17">
        <v>28018</v>
      </c>
      <c r="E67" s="7" t="s">
        <v>14</v>
      </c>
      <c r="F67" s="7" t="s">
        <v>88</v>
      </c>
      <c r="G67" s="7" t="s">
        <v>40</v>
      </c>
      <c r="H67" s="7" t="s">
        <v>35</v>
      </c>
      <c r="I67" s="7">
        <v>214350</v>
      </c>
      <c r="J67" s="7" t="s">
        <v>324</v>
      </c>
      <c r="K67" s="24">
        <v>24</v>
      </c>
      <c r="L67" s="24">
        <v>3</v>
      </c>
      <c r="M67" s="24">
        <v>7</v>
      </c>
      <c r="N67" s="8" t="s">
        <v>188</v>
      </c>
      <c r="O67" s="18">
        <v>44457</v>
      </c>
      <c r="P67" s="8" t="s">
        <v>173</v>
      </c>
      <c r="Q67" s="1">
        <f t="shared" si="1"/>
        <v>1</v>
      </c>
      <c r="R67" t="s">
        <v>699</v>
      </c>
      <c r="S67">
        <v>7</v>
      </c>
      <c r="U67" s="235" t="s">
        <v>324</v>
      </c>
    </row>
    <row r="68" spans="1:21" x14ac:dyDescent="0.25">
      <c r="A68" s="1">
        <v>61</v>
      </c>
      <c r="C68" s="7" t="s">
        <v>273</v>
      </c>
      <c r="D68" s="17">
        <v>28020</v>
      </c>
      <c r="E68" s="7" t="s">
        <v>14</v>
      </c>
      <c r="F68" s="7" t="s">
        <v>88</v>
      </c>
      <c r="G68" s="7" t="s">
        <v>40</v>
      </c>
      <c r="H68" s="7" t="s">
        <v>35</v>
      </c>
      <c r="I68" s="7">
        <v>214350</v>
      </c>
      <c r="J68" s="7" t="s">
        <v>324</v>
      </c>
      <c r="K68" s="24">
        <v>24</v>
      </c>
      <c r="L68" s="24">
        <v>3</v>
      </c>
      <c r="M68" s="24">
        <v>8</v>
      </c>
      <c r="N68" s="8" t="s">
        <v>192</v>
      </c>
      <c r="O68" s="18">
        <v>44464</v>
      </c>
      <c r="P68" s="8" t="s">
        <v>173</v>
      </c>
      <c r="Q68" s="1">
        <f t="shared" si="1"/>
        <v>1</v>
      </c>
      <c r="R68" t="s">
        <v>699</v>
      </c>
      <c r="S68">
        <v>8</v>
      </c>
      <c r="U68" s="235" t="s">
        <v>324</v>
      </c>
    </row>
    <row r="69" spans="1:21" x14ac:dyDescent="0.25">
      <c r="A69" s="1">
        <v>62</v>
      </c>
      <c r="C69" s="7" t="s">
        <v>273</v>
      </c>
      <c r="D69" s="17">
        <v>28021</v>
      </c>
      <c r="E69" s="7" t="s">
        <v>14</v>
      </c>
      <c r="F69" s="7" t="s">
        <v>88</v>
      </c>
      <c r="G69" s="7" t="s">
        <v>40</v>
      </c>
      <c r="H69" s="7" t="s">
        <v>35</v>
      </c>
      <c r="I69" s="7">
        <v>214350</v>
      </c>
      <c r="J69" s="7" t="s">
        <v>324</v>
      </c>
      <c r="K69" s="24">
        <v>24</v>
      </c>
      <c r="L69" s="24">
        <v>3</v>
      </c>
      <c r="M69" s="24">
        <v>5</v>
      </c>
      <c r="N69" s="8" t="s">
        <v>195</v>
      </c>
      <c r="O69" s="18">
        <v>44468</v>
      </c>
      <c r="P69" s="8" t="s">
        <v>173</v>
      </c>
      <c r="Q69" s="1">
        <f t="shared" si="1"/>
        <v>1</v>
      </c>
      <c r="R69" t="s">
        <v>699</v>
      </c>
      <c r="S69">
        <v>5</v>
      </c>
      <c r="U69" s="235" t="s">
        <v>324</v>
      </c>
    </row>
    <row r="70" spans="1:21" x14ac:dyDescent="0.25">
      <c r="A70" s="1">
        <v>63</v>
      </c>
      <c r="C70" s="7" t="s">
        <v>262</v>
      </c>
      <c r="D70" s="17">
        <v>29235</v>
      </c>
      <c r="E70" s="7" t="s">
        <v>14</v>
      </c>
      <c r="F70" s="7" t="s">
        <v>263</v>
      </c>
      <c r="G70" s="7" t="s">
        <v>159</v>
      </c>
      <c r="H70" s="7" t="s">
        <v>35</v>
      </c>
      <c r="I70" s="7">
        <v>686135</v>
      </c>
      <c r="J70" s="7" t="s">
        <v>265</v>
      </c>
      <c r="K70" s="24">
        <v>16</v>
      </c>
      <c r="L70" s="24">
        <v>2</v>
      </c>
      <c r="M70" s="24">
        <v>9</v>
      </c>
      <c r="N70" s="8" t="s">
        <v>196</v>
      </c>
      <c r="O70" s="18">
        <v>44468</v>
      </c>
      <c r="P70" s="8" t="s">
        <v>173</v>
      </c>
      <c r="Q70" s="1">
        <f t="shared" si="1"/>
        <v>1</v>
      </c>
      <c r="R70" t="s">
        <v>699</v>
      </c>
      <c r="S70">
        <v>6</v>
      </c>
      <c r="T70">
        <v>245434</v>
      </c>
      <c r="U70" t="s">
        <v>500</v>
      </c>
    </row>
    <row r="71" spans="1:21" hidden="1" x14ac:dyDescent="0.25">
      <c r="A71" s="1">
        <v>64</v>
      </c>
      <c r="C71" s="7" t="s">
        <v>319</v>
      </c>
      <c r="D71" s="17">
        <v>29403</v>
      </c>
      <c r="E71" s="7" t="s">
        <v>14</v>
      </c>
      <c r="F71" s="7" t="s">
        <v>313</v>
      </c>
      <c r="G71" s="7" t="s">
        <v>127</v>
      </c>
      <c r="H71" s="7" t="s">
        <v>35</v>
      </c>
      <c r="I71" s="7">
        <v>374049</v>
      </c>
      <c r="J71" s="7" t="s">
        <v>316</v>
      </c>
      <c r="K71" s="24">
        <v>16</v>
      </c>
      <c r="L71" s="24">
        <v>2</v>
      </c>
      <c r="M71" s="24">
        <v>1</v>
      </c>
      <c r="N71" s="8" t="s">
        <v>196</v>
      </c>
      <c r="O71" s="18">
        <v>44468</v>
      </c>
      <c r="P71" s="8" t="s">
        <v>173</v>
      </c>
      <c r="Q71" s="1">
        <f t="shared" si="1"/>
        <v>1</v>
      </c>
      <c r="R71" s="16" t="s">
        <v>701</v>
      </c>
    </row>
    <row r="72" spans="1:21" x14ac:dyDescent="0.25">
      <c r="A72" s="1">
        <v>65</v>
      </c>
      <c r="C72" s="7" t="s">
        <v>273</v>
      </c>
      <c r="D72" s="17">
        <v>28022</v>
      </c>
      <c r="E72" s="7" t="s">
        <v>14</v>
      </c>
      <c r="F72" s="7" t="s">
        <v>88</v>
      </c>
      <c r="G72" s="7" t="s">
        <v>40</v>
      </c>
      <c r="H72" s="7" t="s">
        <v>35</v>
      </c>
      <c r="I72" s="7">
        <v>214350</v>
      </c>
      <c r="J72" s="7" t="s">
        <v>324</v>
      </c>
      <c r="K72" s="24">
        <v>24</v>
      </c>
      <c r="L72" s="24">
        <v>3</v>
      </c>
      <c r="M72" s="24">
        <v>8</v>
      </c>
      <c r="N72" s="8" t="s">
        <v>198</v>
      </c>
      <c r="O72" s="18">
        <v>44471</v>
      </c>
      <c r="P72" s="8" t="s">
        <v>173</v>
      </c>
      <c r="Q72" s="1">
        <f t="shared" si="1"/>
        <v>1</v>
      </c>
      <c r="R72" t="s">
        <v>699</v>
      </c>
      <c r="S72">
        <v>12</v>
      </c>
      <c r="T72">
        <v>971841</v>
      </c>
      <c r="U72" t="s">
        <v>805</v>
      </c>
    </row>
    <row r="73" spans="1:21" hidden="1" x14ac:dyDescent="0.25">
      <c r="A73" s="1">
        <v>66</v>
      </c>
      <c r="C73" s="7" t="s">
        <v>319</v>
      </c>
      <c r="D73" s="17">
        <v>29853</v>
      </c>
      <c r="E73" s="7" t="s">
        <v>14</v>
      </c>
      <c r="F73" s="7" t="s">
        <v>313</v>
      </c>
      <c r="G73" s="7" t="s">
        <v>40</v>
      </c>
      <c r="H73" s="7" t="s">
        <v>35</v>
      </c>
      <c r="I73" s="7">
        <v>329947</v>
      </c>
      <c r="J73" s="7" t="s">
        <v>326</v>
      </c>
      <c r="K73" s="24">
        <v>24</v>
      </c>
      <c r="L73" s="24">
        <v>3</v>
      </c>
      <c r="M73" s="24">
        <v>8</v>
      </c>
      <c r="N73" s="8" t="s">
        <v>327</v>
      </c>
      <c r="O73" s="18">
        <v>44475</v>
      </c>
      <c r="P73" s="8" t="s">
        <v>202</v>
      </c>
      <c r="Q73" s="1">
        <f t="shared" si="1"/>
        <v>1</v>
      </c>
      <c r="R73" s="16" t="s">
        <v>701</v>
      </c>
    </row>
    <row r="74" spans="1:21" x14ac:dyDescent="0.25">
      <c r="A74" s="1">
        <v>67</v>
      </c>
      <c r="C74" s="7" t="s">
        <v>273</v>
      </c>
      <c r="D74" s="17">
        <v>28019</v>
      </c>
      <c r="E74" s="7" t="s">
        <v>14</v>
      </c>
      <c r="F74" s="7" t="s">
        <v>88</v>
      </c>
      <c r="G74" s="7" t="s">
        <v>40</v>
      </c>
      <c r="H74" s="7" t="s">
        <v>35</v>
      </c>
      <c r="I74" s="7">
        <v>214350</v>
      </c>
      <c r="J74" s="7" t="s">
        <v>324</v>
      </c>
      <c r="K74" s="24">
        <v>24</v>
      </c>
      <c r="L74" s="24">
        <v>3</v>
      </c>
      <c r="M74" s="24">
        <v>8</v>
      </c>
      <c r="N74" s="8" t="s">
        <v>327</v>
      </c>
      <c r="O74" s="18">
        <v>44475</v>
      </c>
      <c r="P74" s="8" t="s">
        <v>202</v>
      </c>
      <c r="Q74" s="1">
        <f t="shared" si="1"/>
        <v>1</v>
      </c>
      <c r="R74" t="s">
        <v>699</v>
      </c>
      <c r="S74">
        <v>9</v>
      </c>
      <c r="U74" t="s">
        <v>804</v>
      </c>
    </row>
    <row r="75" spans="1:21" hidden="1" x14ac:dyDescent="0.25">
      <c r="A75" s="1">
        <v>68</v>
      </c>
      <c r="C75" s="7" t="s">
        <v>297</v>
      </c>
      <c r="D75" s="17">
        <v>27822</v>
      </c>
      <c r="E75" s="7" t="s">
        <v>14</v>
      </c>
      <c r="F75" s="7" t="s">
        <v>88</v>
      </c>
      <c r="G75" s="7" t="s">
        <v>89</v>
      </c>
      <c r="H75" s="7" t="s">
        <v>35</v>
      </c>
      <c r="I75" s="7">
        <v>318824</v>
      </c>
      <c r="J75" s="7" t="s">
        <v>287</v>
      </c>
      <c r="K75" s="24">
        <v>16</v>
      </c>
      <c r="L75" s="24">
        <v>2</v>
      </c>
      <c r="M75" s="24">
        <v>6</v>
      </c>
      <c r="N75" s="8" t="s">
        <v>205</v>
      </c>
      <c r="O75" s="18">
        <v>44477</v>
      </c>
      <c r="P75" s="8" t="s">
        <v>202</v>
      </c>
      <c r="Q75" s="1">
        <f t="shared" si="1"/>
        <v>1</v>
      </c>
      <c r="R75" s="16" t="s">
        <v>701</v>
      </c>
    </row>
    <row r="76" spans="1:21" x14ac:dyDescent="0.25">
      <c r="A76" s="1">
        <v>69</v>
      </c>
      <c r="C76" s="7" t="s">
        <v>273</v>
      </c>
      <c r="D76" s="17">
        <v>28015</v>
      </c>
      <c r="E76" s="7" t="s">
        <v>14</v>
      </c>
      <c r="F76" s="7" t="s">
        <v>88</v>
      </c>
      <c r="G76" s="7" t="s">
        <v>40</v>
      </c>
      <c r="H76" s="7" t="s">
        <v>35</v>
      </c>
      <c r="I76" s="7">
        <v>214350</v>
      </c>
      <c r="J76" s="7" t="s">
        <v>324</v>
      </c>
      <c r="K76" s="24">
        <v>24</v>
      </c>
      <c r="L76" s="24">
        <v>3</v>
      </c>
      <c r="M76" s="24">
        <v>8</v>
      </c>
      <c r="N76" s="8" t="s">
        <v>205</v>
      </c>
      <c r="O76" s="18">
        <v>44478</v>
      </c>
      <c r="P76" s="8" t="s">
        <v>202</v>
      </c>
      <c r="Q76" s="1">
        <f t="shared" si="1"/>
        <v>1</v>
      </c>
      <c r="R76" t="s">
        <v>699</v>
      </c>
      <c r="S76">
        <v>5</v>
      </c>
      <c r="U76" s="235" t="s">
        <v>324</v>
      </c>
    </row>
    <row r="77" spans="1:21" hidden="1" x14ac:dyDescent="0.25">
      <c r="A77" s="1">
        <v>70</v>
      </c>
      <c r="C77" s="7" t="s">
        <v>268</v>
      </c>
      <c r="D77" s="17">
        <v>25648</v>
      </c>
      <c r="E77" s="7" t="s">
        <v>14</v>
      </c>
      <c r="F77" s="7" t="s">
        <v>269</v>
      </c>
      <c r="G77" s="7" t="s">
        <v>127</v>
      </c>
      <c r="H77" s="7" t="s">
        <v>35</v>
      </c>
      <c r="I77" s="7">
        <v>324620</v>
      </c>
      <c r="J77" s="7" t="s">
        <v>329</v>
      </c>
      <c r="K77" s="24">
        <v>16</v>
      </c>
      <c r="L77" s="24">
        <v>2</v>
      </c>
      <c r="M77" s="24">
        <v>7</v>
      </c>
      <c r="N77" s="8" t="s">
        <v>208</v>
      </c>
      <c r="O77" s="18">
        <v>44481</v>
      </c>
      <c r="P77" s="8" t="s">
        <v>202</v>
      </c>
      <c r="Q77" s="1">
        <f t="shared" si="1"/>
        <v>1</v>
      </c>
      <c r="R77" s="16" t="s">
        <v>701</v>
      </c>
    </row>
    <row r="78" spans="1:21" x14ac:dyDescent="0.25">
      <c r="A78" s="1">
        <v>71</v>
      </c>
      <c r="C78" s="7" t="s">
        <v>262</v>
      </c>
      <c r="D78" s="17">
        <v>29233</v>
      </c>
      <c r="E78" s="7" t="s">
        <v>14</v>
      </c>
      <c r="F78" s="7" t="s">
        <v>263</v>
      </c>
      <c r="G78" s="7" t="s">
        <v>159</v>
      </c>
      <c r="H78" s="7" t="s">
        <v>35</v>
      </c>
      <c r="I78" s="7">
        <v>686135</v>
      </c>
      <c r="J78" s="7" t="s">
        <v>265</v>
      </c>
      <c r="K78" s="24">
        <v>16</v>
      </c>
      <c r="L78" s="24">
        <v>2</v>
      </c>
      <c r="M78" s="24">
        <v>8</v>
      </c>
      <c r="N78" s="18">
        <v>44488</v>
      </c>
      <c r="O78" s="18">
        <v>44489</v>
      </c>
      <c r="P78" s="8" t="s">
        <v>202</v>
      </c>
      <c r="Q78" s="1">
        <f t="shared" si="1"/>
        <v>1</v>
      </c>
      <c r="R78" t="s">
        <v>699</v>
      </c>
      <c r="S78">
        <v>6</v>
      </c>
      <c r="U78" t="s">
        <v>803</v>
      </c>
    </row>
    <row r="79" spans="1:21" hidden="1" x14ac:dyDescent="0.25">
      <c r="A79" s="1">
        <v>72</v>
      </c>
      <c r="C79" s="7" t="s">
        <v>273</v>
      </c>
      <c r="D79" s="17">
        <v>24683</v>
      </c>
      <c r="E79" s="7" t="s">
        <v>14</v>
      </c>
      <c r="F79" s="7" t="s">
        <v>263</v>
      </c>
      <c r="G79" s="7" t="s">
        <v>317</v>
      </c>
      <c r="H79" s="7" t="s">
        <v>35</v>
      </c>
      <c r="I79" s="7">
        <v>203699</v>
      </c>
      <c r="J79" s="7" t="s">
        <v>283</v>
      </c>
      <c r="K79" s="24">
        <v>16</v>
      </c>
      <c r="L79" s="24">
        <v>2</v>
      </c>
      <c r="M79" s="24">
        <v>9</v>
      </c>
      <c r="N79" s="8" t="s">
        <v>210</v>
      </c>
      <c r="O79" s="18">
        <v>44484</v>
      </c>
      <c r="P79" s="8" t="s">
        <v>202</v>
      </c>
      <c r="Q79" s="1">
        <f t="shared" si="1"/>
        <v>1</v>
      </c>
      <c r="R79" s="16" t="s">
        <v>701</v>
      </c>
    </row>
    <row r="80" spans="1:21" hidden="1" x14ac:dyDescent="0.25">
      <c r="A80" s="1">
        <v>73</v>
      </c>
      <c r="C80" s="7" t="s">
        <v>268</v>
      </c>
      <c r="D80" s="17">
        <v>25198</v>
      </c>
      <c r="E80" s="7" t="s">
        <v>14</v>
      </c>
      <c r="F80" s="7" t="s">
        <v>269</v>
      </c>
      <c r="G80" s="7" t="s">
        <v>331</v>
      </c>
      <c r="H80" s="7" t="s">
        <v>35</v>
      </c>
      <c r="I80" s="7">
        <v>576778</v>
      </c>
      <c r="J80" s="7" t="s">
        <v>332</v>
      </c>
      <c r="K80" s="24">
        <v>32</v>
      </c>
      <c r="L80" s="24">
        <v>4</v>
      </c>
      <c r="M80" s="24">
        <v>3</v>
      </c>
      <c r="N80" s="8" t="s">
        <v>333</v>
      </c>
      <c r="O80" s="18">
        <v>44490</v>
      </c>
      <c r="P80" s="8" t="s">
        <v>202</v>
      </c>
      <c r="Q80" s="1">
        <f t="shared" si="1"/>
        <v>1</v>
      </c>
      <c r="R80" s="16" t="s">
        <v>701</v>
      </c>
    </row>
    <row r="81" spans="1:18" hidden="1" x14ac:dyDescent="0.25">
      <c r="A81" s="1">
        <v>74</v>
      </c>
      <c r="C81" s="7" t="s">
        <v>273</v>
      </c>
      <c r="D81" s="17">
        <v>23202</v>
      </c>
      <c r="E81" s="7" t="s">
        <v>14</v>
      </c>
      <c r="F81" s="7" t="s">
        <v>263</v>
      </c>
      <c r="G81" s="7" t="s">
        <v>264</v>
      </c>
      <c r="H81" s="7" t="s">
        <v>35</v>
      </c>
      <c r="I81" s="7">
        <v>413600</v>
      </c>
      <c r="J81" s="7" t="s">
        <v>320</v>
      </c>
      <c r="K81" s="24">
        <v>8</v>
      </c>
      <c r="L81" s="24">
        <v>1</v>
      </c>
      <c r="M81" s="24">
        <v>10</v>
      </c>
      <c r="N81" s="8" t="s">
        <v>224</v>
      </c>
      <c r="O81" s="18">
        <v>44497</v>
      </c>
      <c r="P81" s="8" t="s">
        <v>202</v>
      </c>
      <c r="Q81" s="1">
        <f t="shared" si="1"/>
        <v>1</v>
      </c>
      <c r="R81" s="16" t="s">
        <v>701</v>
      </c>
    </row>
    <row r="82" spans="1:18" hidden="1" x14ac:dyDescent="0.25">
      <c r="A82" s="1">
        <v>75</v>
      </c>
      <c r="C82" s="7" t="s">
        <v>312</v>
      </c>
      <c r="D82" s="17">
        <v>27976</v>
      </c>
      <c r="E82" s="7" t="s">
        <v>14</v>
      </c>
      <c r="F82" s="7" t="s">
        <v>88</v>
      </c>
      <c r="G82" s="7" t="s">
        <v>294</v>
      </c>
      <c r="H82" s="7" t="s">
        <v>35</v>
      </c>
      <c r="I82" s="7">
        <v>202584</v>
      </c>
      <c r="J82" s="7" t="s">
        <v>334</v>
      </c>
      <c r="K82" s="24">
        <v>8</v>
      </c>
      <c r="L82" s="24">
        <v>1</v>
      </c>
      <c r="M82" s="24">
        <v>6</v>
      </c>
      <c r="N82" s="8" t="s">
        <v>239</v>
      </c>
      <c r="O82" s="18">
        <v>44518</v>
      </c>
      <c r="P82" s="8" t="s">
        <v>227</v>
      </c>
      <c r="Q82" s="1">
        <f t="shared" si="1"/>
        <v>1</v>
      </c>
      <c r="R82" s="16" t="s">
        <v>701</v>
      </c>
    </row>
    <row r="83" spans="1:18" hidden="1" x14ac:dyDescent="0.25">
      <c r="A83" s="1">
        <v>76</v>
      </c>
      <c r="C83" s="7" t="s">
        <v>312</v>
      </c>
      <c r="D83" s="17">
        <v>27978</v>
      </c>
      <c r="E83" s="7" t="s">
        <v>14</v>
      </c>
      <c r="F83" s="7" t="s">
        <v>88</v>
      </c>
      <c r="G83" s="7" t="s">
        <v>294</v>
      </c>
      <c r="H83" s="7" t="s">
        <v>35</v>
      </c>
      <c r="I83" s="7">
        <v>202584</v>
      </c>
      <c r="J83" s="7" t="s">
        <v>334</v>
      </c>
      <c r="K83" s="24">
        <v>8</v>
      </c>
      <c r="L83" s="24">
        <v>1</v>
      </c>
      <c r="M83" s="24">
        <v>8</v>
      </c>
      <c r="N83" s="8" t="s">
        <v>240</v>
      </c>
      <c r="O83" s="18">
        <v>44519</v>
      </c>
      <c r="P83" s="8" t="s">
        <v>227</v>
      </c>
      <c r="Q83" s="1">
        <f t="shared" si="1"/>
        <v>1</v>
      </c>
      <c r="R83" s="16" t="s">
        <v>701</v>
      </c>
    </row>
    <row r="84" spans="1:18" hidden="1" x14ac:dyDescent="0.25">
      <c r="A84" s="1">
        <v>77</v>
      </c>
      <c r="C84" s="7" t="s">
        <v>273</v>
      </c>
      <c r="D84" s="17">
        <v>24902</v>
      </c>
      <c r="E84" s="7" t="s">
        <v>14</v>
      </c>
      <c r="F84" s="7" t="s">
        <v>263</v>
      </c>
      <c r="G84" s="7" t="s">
        <v>84</v>
      </c>
      <c r="H84" s="7" t="s">
        <v>35</v>
      </c>
      <c r="I84" s="7">
        <v>520356</v>
      </c>
      <c r="J84" s="7" t="s">
        <v>274</v>
      </c>
      <c r="K84" s="24">
        <v>16</v>
      </c>
      <c r="L84" s="24">
        <v>2</v>
      </c>
      <c r="M84" s="24">
        <v>9</v>
      </c>
      <c r="N84" s="8" t="s">
        <v>239</v>
      </c>
      <c r="O84" s="18">
        <v>44519</v>
      </c>
      <c r="P84" s="8" t="s">
        <v>227</v>
      </c>
      <c r="Q84" s="1">
        <f t="shared" si="1"/>
        <v>1</v>
      </c>
      <c r="R84" s="16" t="s">
        <v>701</v>
      </c>
    </row>
    <row r="85" spans="1:18" hidden="1" x14ac:dyDescent="0.25">
      <c r="A85" s="1">
        <v>78</v>
      </c>
      <c r="C85" s="7" t="s">
        <v>285</v>
      </c>
      <c r="D85" s="17">
        <v>28051</v>
      </c>
      <c r="E85" s="7" t="s">
        <v>14</v>
      </c>
      <c r="F85" s="7" t="s">
        <v>88</v>
      </c>
      <c r="G85" s="7" t="s">
        <v>199</v>
      </c>
      <c r="H85" s="7" t="s">
        <v>35</v>
      </c>
      <c r="I85" s="7">
        <v>433424</v>
      </c>
      <c r="J85" s="7" t="s">
        <v>286</v>
      </c>
      <c r="K85" s="24">
        <v>8</v>
      </c>
      <c r="L85" s="24">
        <v>1</v>
      </c>
      <c r="M85" s="24">
        <v>4</v>
      </c>
      <c r="N85" s="8" t="s">
        <v>241</v>
      </c>
      <c r="O85" s="18">
        <v>44520</v>
      </c>
      <c r="P85" s="8" t="s">
        <v>227</v>
      </c>
      <c r="Q85" s="1">
        <f t="shared" si="1"/>
        <v>1</v>
      </c>
      <c r="R85" s="16" t="s">
        <v>701</v>
      </c>
    </row>
    <row r="86" spans="1:18" hidden="1" x14ac:dyDescent="0.25">
      <c r="A86" s="1">
        <v>79</v>
      </c>
      <c r="C86" s="7" t="s">
        <v>285</v>
      </c>
      <c r="D86" s="17">
        <v>28014</v>
      </c>
      <c r="E86" s="7" t="s">
        <v>14</v>
      </c>
      <c r="F86" s="7" t="s">
        <v>88</v>
      </c>
      <c r="G86" s="7" t="s">
        <v>40</v>
      </c>
      <c r="H86" s="7" t="s">
        <v>35</v>
      </c>
      <c r="I86" s="7">
        <v>433424</v>
      </c>
      <c r="J86" s="7" t="s">
        <v>286</v>
      </c>
      <c r="K86" s="24">
        <v>24</v>
      </c>
      <c r="L86" s="24">
        <v>3</v>
      </c>
      <c r="M86" s="24">
        <v>5</v>
      </c>
      <c r="N86" s="8" t="s">
        <v>335</v>
      </c>
      <c r="O86" s="18">
        <v>44524</v>
      </c>
      <c r="P86" s="8" t="s">
        <v>227</v>
      </c>
      <c r="Q86" s="1">
        <f t="shared" ref="Q86:Q88" si="2">IF(O86&lt;=$D$3,1,0)</f>
        <v>1</v>
      </c>
      <c r="R86" s="16" t="s">
        <v>701</v>
      </c>
    </row>
    <row r="87" spans="1:18" hidden="1" x14ac:dyDescent="0.25">
      <c r="A87" s="1">
        <v>80</v>
      </c>
      <c r="C87" s="7" t="s">
        <v>312</v>
      </c>
      <c r="D87" s="17">
        <v>27821</v>
      </c>
      <c r="E87" s="7" t="s">
        <v>14</v>
      </c>
      <c r="F87" s="7" t="s">
        <v>88</v>
      </c>
      <c r="G87" s="7" t="s">
        <v>89</v>
      </c>
      <c r="H87" s="7" t="s">
        <v>35</v>
      </c>
      <c r="I87" s="7">
        <v>202584</v>
      </c>
      <c r="J87" s="7" t="s">
        <v>334</v>
      </c>
      <c r="K87" s="24">
        <v>16</v>
      </c>
      <c r="L87" s="24">
        <v>2</v>
      </c>
      <c r="M87" s="24">
        <v>10</v>
      </c>
      <c r="N87" s="8" t="s">
        <v>243</v>
      </c>
      <c r="O87" s="18">
        <v>44525</v>
      </c>
      <c r="P87" s="8" t="s">
        <v>227</v>
      </c>
      <c r="Q87" s="1">
        <f t="shared" si="2"/>
        <v>1</v>
      </c>
      <c r="R87" s="16" t="s">
        <v>701</v>
      </c>
    </row>
    <row r="88" spans="1:18" hidden="1" x14ac:dyDescent="0.25">
      <c r="A88" s="1">
        <v>81</v>
      </c>
      <c r="C88" s="7" t="s">
        <v>312</v>
      </c>
      <c r="D88" s="17">
        <v>27828</v>
      </c>
      <c r="E88" s="7" t="s">
        <v>14</v>
      </c>
      <c r="F88" s="7" t="s">
        <v>88</v>
      </c>
      <c r="G88" s="7" t="s">
        <v>89</v>
      </c>
      <c r="H88" s="7" t="s">
        <v>35</v>
      </c>
      <c r="I88" s="7">
        <v>202584</v>
      </c>
      <c r="J88" s="7" t="s">
        <v>334</v>
      </c>
      <c r="K88" s="24">
        <v>16</v>
      </c>
      <c r="L88" s="24">
        <v>2</v>
      </c>
      <c r="M88" s="24">
        <v>9</v>
      </c>
      <c r="N88" s="8" t="s">
        <v>252</v>
      </c>
      <c r="O88" s="18">
        <v>44539</v>
      </c>
      <c r="P88" s="8" t="s">
        <v>249</v>
      </c>
      <c r="Q88" s="1">
        <f t="shared" si="2"/>
        <v>1</v>
      </c>
      <c r="R88" s="16" t="s">
        <v>701</v>
      </c>
    </row>
    <row r="89" spans="1:18" x14ac:dyDescent="0.25">
      <c r="R89" s="16"/>
    </row>
  </sheetData>
  <autoFilter ref="A7:V88" xr:uid="{00000000-0001-0000-0900-000000000000}">
    <filterColumn colId="17">
      <filters>
        <filter val="Realizado"/>
      </filters>
    </filterColumn>
  </autoFilter>
  <sortState xmlns:xlrd2="http://schemas.microsoft.com/office/spreadsheetml/2017/richdata2" ref="A8:P88">
    <sortCondition ref="O8:O88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Catalogo!$B$5:$B$6</xm:f>
          </x14:formula1>
          <xm:sqref>R8:R89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theme="9" tint="0.79998168889431442"/>
  </sheetPr>
  <dimension ref="A1:X81"/>
  <sheetViews>
    <sheetView topLeftCell="E1" zoomScaleNormal="100" workbookViewId="0">
      <selection activeCell="G67" sqref="G67"/>
    </sheetView>
  </sheetViews>
  <sheetFormatPr baseColWidth="10" defaultColWidth="11.42578125" defaultRowHeight="15" x14ac:dyDescent="0.25"/>
  <cols>
    <col min="1" max="1" width="6.140625" customWidth="1"/>
    <col min="2" max="2" width="10.42578125" customWidth="1"/>
    <col min="5" max="5" width="35.5703125" customWidth="1"/>
    <col min="6" max="6" width="45.42578125" customWidth="1"/>
    <col min="7" max="7" width="43.140625" customWidth="1"/>
    <col min="8" max="8" width="14.5703125" customWidth="1"/>
    <col min="9" max="9" width="11.42578125" hidden="1" customWidth="1"/>
    <col min="10" max="10" width="23.7109375" hidden="1" customWidth="1"/>
    <col min="11" max="11" width="10.85546875" style="22" customWidth="1"/>
    <col min="12" max="12" width="8" style="22" customWidth="1"/>
    <col min="13" max="13" width="11.42578125" style="22"/>
    <col min="16" max="16" width="10.7109375" customWidth="1"/>
    <col min="17" max="17" width="9.7109375" customWidth="1"/>
    <col min="18" max="18" width="11.140625" customWidth="1"/>
    <col min="19" max="19" width="15" style="1" customWidth="1"/>
    <col min="20" max="20" width="9.42578125" style="1" customWidth="1"/>
    <col min="21" max="21" width="37" customWidth="1"/>
    <col min="22" max="22" width="53.140625" customWidth="1"/>
  </cols>
  <sheetData>
    <row r="1" spans="1:24" s="28" customFormat="1" ht="14.25" customHeight="1" x14ac:dyDescent="0.3">
      <c r="B1" s="29"/>
      <c r="D1" s="29"/>
      <c r="G1" s="34" t="s">
        <v>713</v>
      </c>
      <c r="H1" s="29"/>
      <c r="J1" s="29"/>
      <c r="K1" s="37"/>
      <c r="L1" s="37"/>
      <c r="M1" s="37"/>
      <c r="O1" s="31"/>
      <c r="P1" s="32"/>
      <c r="Q1" s="32"/>
      <c r="R1" s="32"/>
      <c r="S1" s="29"/>
      <c r="T1" s="29"/>
    </row>
    <row r="2" spans="1:24" s="28" customFormat="1" x14ac:dyDescent="0.3">
      <c r="B2" s="29"/>
      <c r="C2" s="34"/>
      <c r="D2" s="29"/>
      <c r="E2" s="34" t="s">
        <v>715</v>
      </c>
      <c r="F2" s="29">
        <f>COUNT(D8:D190)</f>
        <v>56</v>
      </c>
      <c r="G2" s="34" t="s">
        <v>716</v>
      </c>
      <c r="H2" s="48"/>
      <c r="I2" s="34"/>
      <c r="J2" s="29"/>
      <c r="K2" s="37"/>
      <c r="L2" s="37"/>
      <c r="M2" s="37"/>
      <c r="O2" s="35"/>
      <c r="P2" s="29"/>
      <c r="Q2" s="32"/>
      <c r="R2" s="32"/>
      <c r="S2" s="29"/>
      <c r="T2" s="29"/>
    </row>
    <row r="3" spans="1:24" s="28" customFormat="1" x14ac:dyDescent="0.3">
      <c r="B3" s="29"/>
      <c r="C3" s="34"/>
      <c r="D3" s="36">
        <f>Seguimiento!T3</f>
        <v>44561</v>
      </c>
      <c r="E3" s="34" t="s">
        <v>718</v>
      </c>
      <c r="F3" s="37">
        <f>SUM(M8:M190)</f>
        <v>586</v>
      </c>
      <c r="G3" s="34" t="s">
        <v>719</v>
      </c>
      <c r="H3" s="29">
        <f>COUNTIFS($Q$8:$Q$190,1,$R$8:$R$190,"Realizado")</f>
        <v>54</v>
      </c>
      <c r="I3" s="34"/>
      <c r="J3" s="29"/>
      <c r="K3" s="37"/>
      <c r="L3" s="37"/>
      <c r="M3" s="37"/>
      <c r="O3" s="35"/>
      <c r="P3" s="29"/>
      <c r="Q3" s="29"/>
      <c r="R3" s="29"/>
      <c r="S3" s="29"/>
      <c r="T3" s="29"/>
    </row>
    <row r="4" spans="1:24" s="28" customFormat="1" x14ac:dyDescent="0.3">
      <c r="B4" s="29"/>
      <c r="C4" s="34"/>
      <c r="D4" s="29"/>
      <c r="E4" s="34" t="s">
        <v>721</v>
      </c>
      <c r="F4" s="29">
        <f>COUNTIF($Q$8:$Q$190,1)</f>
        <v>56</v>
      </c>
      <c r="G4" s="34" t="s">
        <v>722</v>
      </c>
      <c r="H4" s="29">
        <f>SUMIF($R$8:$R$190,"Realizado",$S$8:$S$190)</f>
        <v>497</v>
      </c>
      <c r="I4" s="34"/>
      <c r="J4" s="29"/>
      <c r="K4" s="37"/>
      <c r="L4" s="37"/>
      <c r="M4" s="37"/>
      <c r="O4" s="35"/>
      <c r="P4" s="29"/>
      <c r="Q4" s="29"/>
      <c r="R4" s="29"/>
      <c r="S4" s="29"/>
      <c r="T4" s="29"/>
    </row>
    <row r="5" spans="1:24" s="28" customFormat="1" x14ac:dyDescent="0.3">
      <c r="B5" s="29"/>
      <c r="C5" s="34"/>
      <c r="D5" s="29"/>
      <c r="E5" s="34" t="s">
        <v>724</v>
      </c>
      <c r="F5" s="29">
        <f>SUMIF(Q8:Q190,1,M8:M190)</f>
        <v>586</v>
      </c>
      <c r="G5" s="34" t="s">
        <v>725</v>
      </c>
      <c r="H5" s="29">
        <f>COUNTIFS($Q$8:$Q$190,1,$R$8:$R$190,"Cancelado")</f>
        <v>2</v>
      </c>
      <c r="I5" s="34"/>
      <c r="J5" s="29"/>
      <c r="K5" s="37"/>
      <c r="L5" s="37"/>
      <c r="M5" s="37"/>
      <c r="O5" s="35"/>
      <c r="P5" s="29"/>
      <c r="Q5" s="29"/>
      <c r="R5" s="29"/>
      <c r="S5" s="29"/>
      <c r="T5" s="29"/>
    </row>
    <row r="6" spans="1:24" x14ac:dyDescent="0.25">
      <c r="B6" s="1"/>
      <c r="D6" s="1"/>
      <c r="J6" s="1"/>
      <c r="O6" s="19"/>
      <c r="P6" s="1"/>
      <c r="Q6" s="1"/>
      <c r="R6" s="1"/>
    </row>
    <row r="7" spans="1:24" s="3" customFormat="1" ht="31.5" x14ac:dyDescent="0.25">
      <c r="A7" s="4" t="s">
        <v>20</v>
      </c>
      <c r="B7" s="4" t="s">
        <v>21</v>
      </c>
      <c r="C7" s="4" t="s">
        <v>2</v>
      </c>
      <c r="D7" s="4" t="s">
        <v>22</v>
      </c>
      <c r="E7" s="4" t="s">
        <v>23</v>
      </c>
      <c r="F7" s="4" t="s">
        <v>24</v>
      </c>
      <c r="G7" s="4" t="s">
        <v>25</v>
      </c>
      <c r="H7" s="5" t="s">
        <v>26</v>
      </c>
      <c r="I7" s="4" t="s">
        <v>27</v>
      </c>
      <c r="J7" s="4" t="s">
        <v>28</v>
      </c>
      <c r="K7" s="26" t="s">
        <v>29</v>
      </c>
      <c r="L7" s="26" t="s">
        <v>30</v>
      </c>
      <c r="M7" s="26" t="s">
        <v>31</v>
      </c>
      <c r="N7" s="5" t="s">
        <v>0</v>
      </c>
      <c r="O7" s="5" t="s">
        <v>19</v>
      </c>
      <c r="P7" s="4" t="s">
        <v>17</v>
      </c>
      <c r="Q7" s="4" t="s">
        <v>516</v>
      </c>
      <c r="R7" s="5" t="s">
        <v>727</v>
      </c>
      <c r="S7" s="4" t="s">
        <v>523</v>
      </c>
      <c r="T7" s="4" t="s">
        <v>728</v>
      </c>
      <c r="U7" s="4" t="s">
        <v>28</v>
      </c>
      <c r="V7" s="4" t="s">
        <v>599</v>
      </c>
      <c r="W7" s="5"/>
      <c r="X7" s="5"/>
    </row>
    <row r="8" spans="1:24" x14ac:dyDescent="0.25">
      <c r="A8" s="1">
        <v>1</v>
      </c>
      <c r="C8" s="7" t="s">
        <v>336</v>
      </c>
      <c r="D8" s="178">
        <v>20810</v>
      </c>
      <c r="E8" s="7" t="s">
        <v>15</v>
      </c>
      <c r="F8" s="7" t="s">
        <v>337</v>
      </c>
      <c r="G8" s="7" t="s">
        <v>105</v>
      </c>
      <c r="H8" s="7" t="s">
        <v>35</v>
      </c>
      <c r="I8" s="7">
        <v>196157</v>
      </c>
      <c r="J8" s="7" t="s">
        <v>338</v>
      </c>
      <c r="K8" s="20">
        <v>16</v>
      </c>
      <c r="L8" s="20">
        <v>2</v>
      </c>
      <c r="M8" s="20">
        <v>12</v>
      </c>
      <c r="N8" s="8" t="s">
        <v>49</v>
      </c>
      <c r="O8" s="18">
        <v>44257</v>
      </c>
      <c r="P8" s="8" t="s">
        <v>50</v>
      </c>
      <c r="Q8" s="1">
        <f>IF(O8&lt;=$D$3,1,0)</f>
        <v>1</v>
      </c>
      <c r="R8" t="s">
        <v>699</v>
      </c>
      <c r="S8" s="1">
        <v>10</v>
      </c>
      <c r="T8" s="1">
        <v>196157</v>
      </c>
      <c r="U8" t="s">
        <v>670</v>
      </c>
      <c r="V8" s="218" t="s">
        <v>806</v>
      </c>
    </row>
    <row r="9" spans="1:24" x14ac:dyDescent="0.25">
      <c r="A9" s="1">
        <v>2</v>
      </c>
      <c r="C9" s="7" t="s">
        <v>336</v>
      </c>
      <c r="D9" s="178">
        <v>20811</v>
      </c>
      <c r="E9" s="7" t="s">
        <v>15</v>
      </c>
      <c r="F9" s="7" t="s">
        <v>337</v>
      </c>
      <c r="G9" s="7" t="s">
        <v>105</v>
      </c>
      <c r="H9" s="7" t="s">
        <v>35</v>
      </c>
      <c r="I9" s="7">
        <v>196157</v>
      </c>
      <c r="J9" s="7" t="s">
        <v>338</v>
      </c>
      <c r="K9" s="20">
        <v>16</v>
      </c>
      <c r="L9" s="20">
        <v>2</v>
      </c>
      <c r="M9" s="20">
        <v>12</v>
      </c>
      <c r="N9" s="8" t="s">
        <v>339</v>
      </c>
      <c r="O9" s="18">
        <v>44264</v>
      </c>
      <c r="P9" s="8" t="s">
        <v>50</v>
      </c>
      <c r="Q9" s="1">
        <f t="shared" ref="Q9:Q60" si="0">IF(O9&lt;=$D$3,1,0)</f>
        <v>1</v>
      </c>
      <c r="R9" t="s">
        <v>699</v>
      </c>
      <c r="S9" s="1">
        <v>10</v>
      </c>
      <c r="T9" s="1">
        <v>196157</v>
      </c>
      <c r="U9" t="s">
        <v>670</v>
      </c>
      <c r="V9" s="218"/>
    </row>
    <row r="10" spans="1:24" x14ac:dyDescent="0.25">
      <c r="A10" s="1">
        <v>3</v>
      </c>
      <c r="C10" s="7" t="s">
        <v>336</v>
      </c>
      <c r="D10" s="178">
        <v>20812</v>
      </c>
      <c r="E10" s="7" t="s">
        <v>15</v>
      </c>
      <c r="F10" s="7" t="s">
        <v>337</v>
      </c>
      <c r="G10" s="7" t="s">
        <v>105</v>
      </c>
      <c r="H10" s="7" t="s">
        <v>35</v>
      </c>
      <c r="I10" s="7">
        <v>196157</v>
      </c>
      <c r="J10" s="7" t="s">
        <v>338</v>
      </c>
      <c r="K10" s="20">
        <v>16</v>
      </c>
      <c r="L10" s="20">
        <v>2</v>
      </c>
      <c r="M10" s="20">
        <v>11</v>
      </c>
      <c r="N10" s="8" t="s">
        <v>340</v>
      </c>
      <c r="O10" s="18">
        <v>44267</v>
      </c>
      <c r="P10" s="8" t="s">
        <v>50</v>
      </c>
      <c r="Q10" s="1">
        <f t="shared" si="0"/>
        <v>1</v>
      </c>
      <c r="R10" t="s">
        <v>699</v>
      </c>
      <c r="S10" s="1">
        <v>7</v>
      </c>
      <c r="T10" s="1">
        <v>196157</v>
      </c>
      <c r="U10" t="s">
        <v>670</v>
      </c>
      <c r="V10" s="218"/>
    </row>
    <row r="11" spans="1:24" x14ac:dyDescent="0.25">
      <c r="A11" s="1">
        <v>4</v>
      </c>
      <c r="C11" s="7" t="s">
        <v>336</v>
      </c>
      <c r="D11" s="178">
        <v>20813</v>
      </c>
      <c r="E11" s="7" t="s">
        <v>15</v>
      </c>
      <c r="F11" s="7" t="s">
        <v>337</v>
      </c>
      <c r="G11" s="7" t="s">
        <v>105</v>
      </c>
      <c r="H11" s="7" t="s">
        <v>35</v>
      </c>
      <c r="I11" s="7">
        <v>196157</v>
      </c>
      <c r="J11" s="7" t="s">
        <v>338</v>
      </c>
      <c r="K11" s="20">
        <v>16</v>
      </c>
      <c r="L11" s="20">
        <v>2</v>
      </c>
      <c r="M11" s="20">
        <v>11</v>
      </c>
      <c r="N11" s="8" t="s">
        <v>58</v>
      </c>
      <c r="O11" s="18">
        <v>44279</v>
      </c>
      <c r="P11" s="8" t="s">
        <v>50</v>
      </c>
      <c r="Q11" s="1">
        <f t="shared" si="0"/>
        <v>1</v>
      </c>
      <c r="R11" t="s">
        <v>699</v>
      </c>
      <c r="S11" s="1">
        <v>7</v>
      </c>
      <c r="T11" s="1">
        <v>196157</v>
      </c>
      <c r="U11" t="s">
        <v>670</v>
      </c>
      <c r="V11" s="218"/>
    </row>
    <row r="12" spans="1:24" x14ac:dyDescent="0.25">
      <c r="A12" s="1">
        <v>5</v>
      </c>
      <c r="C12" s="7" t="s">
        <v>336</v>
      </c>
      <c r="D12" s="178">
        <v>20804</v>
      </c>
      <c r="E12" s="7" t="s">
        <v>15</v>
      </c>
      <c r="F12" s="7" t="s">
        <v>337</v>
      </c>
      <c r="G12" s="7" t="s">
        <v>264</v>
      </c>
      <c r="H12" s="7" t="s">
        <v>35</v>
      </c>
      <c r="I12" s="7">
        <v>226488</v>
      </c>
      <c r="J12" s="7" t="s">
        <v>341</v>
      </c>
      <c r="K12" s="20">
        <v>8</v>
      </c>
      <c r="L12" s="20">
        <v>1</v>
      </c>
      <c r="M12" s="20">
        <v>12</v>
      </c>
      <c r="N12" s="8" t="s">
        <v>342</v>
      </c>
      <c r="O12" s="18">
        <v>44284</v>
      </c>
      <c r="P12" s="8" t="s">
        <v>50</v>
      </c>
      <c r="Q12" s="1">
        <f t="shared" si="0"/>
        <v>1</v>
      </c>
      <c r="R12" t="s">
        <v>699</v>
      </c>
      <c r="S12" s="1">
        <v>10</v>
      </c>
      <c r="T12" s="1">
        <v>226488</v>
      </c>
      <c r="U12" t="s">
        <v>807</v>
      </c>
      <c r="V12" s="218"/>
    </row>
    <row r="13" spans="1:24" x14ac:dyDescent="0.25">
      <c r="A13" s="1">
        <v>6</v>
      </c>
      <c r="C13" s="7" t="s">
        <v>336</v>
      </c>
      <c r="D13" s="178">
        <v>20814</v>
      </c>
      <c r="E13" s="7" t="s">
        <v>15</v>
      </c>
      <c r="F13" s="7" t="s">
        <v>337</v>
      </c>
      <c r="G13" s="7" t="s">
        <v>105</v>
      </c>
      <c r="H13" s="7" t="s">
        <v>35</v>
      </c>
      <c r="I13" s="7">
        <v>196157</v>
      </c>
      <c r="J13" s="7" t="s">
        <v>338</v>
      </c>
      <c r="K13" s="20">
        <v>16</v>
      </c>
      <c r="L13" s="20">
        <v>2</v>
      </c>
      <c r="M13" s="20">
        <v>12</v>
      </c>
      <c r="N13" s="8" t="s">
        <v>342</v>
      </c>
      <c r="O13" s="18">
        <v>44285</v>
      </c>
      <c r="P13" s="8" t="s">
        <v>50</v>
      </c>
      <c r="Q13" s="1">
        <f t="shared" si="0"/>
        <v>1</v>
      </c>
      <c r="R13" t="s">
        <v>699</v>
      </c>
      <c r="S13" s="1">
        <v>12</v>
      </c>
      <c r="T13" s="1">
        <v>196157</v>
      </c>
      <c r="U13" t="s">
        <v>670</v>
      </c>
      <c r="V13" s="218"/>
    </row>
    <row r="14" spans="1:24" x14ac:dyDescent="0.25">
      <c r="A14" s="1">
        <v>7</v>
      </c>
      <c r="C14" s="7" t="s">
        <v>336</v>
      </c>
      <c r="D14" s="178">
        <v>20815</v>
      </c>
      <c r="E14" s="7" t="s">
        <v>15</v>
      </c>
      <c r="F14" s="7" t="s">
        <v>337</v>
      </c>
      <c r="G14" s="7" t="s">
        <v>105</v>
      </c>
      <c r="H14" s="7" t="s">
        <v>35</v>
      </c>
      <c r="I14" s="7">
        <v>196157</v>
      </c>
      <c r="J14" s="7" t="s">
        <v>338</v>
      </c>
      <c r="K14" s="20">
        <v>16</v>
      </c>
      <c r="L14" s="20">
        <v>2</v>
      </c>
      <c r="M14" s="20">
        <v>12</v>
      </c>
      <c r="N14" s="8" t="s">
        <v>266</v>
      </c>
      <c r="O14" s="18">
        <v>44292</v>
      </c>
      <c r="P14" s="8" t="s">
        <v>60</v>
      </c>
      <c r="Q14" s="1">
        <f t="shared" si="0"/>
        <v>1</v>
      </c>
      <c r="R14" t="s">
        <v>699</v>
      </c>
      <c r="S14" s="1">
        <v>12</v>
      </c>
      <c r="T14" s="1">
        <v>196157</v>
      </c>
      <c r="U14" t="s">
        <v>670</v>
      </c>
      <c r="V14" s="218"/>
    </row>
    <row r="15" spans="1:24" x14ac:dyDescent="0.25">
      <c r="A15" s="1">
        <v>8</v>
      </c>
      <c r="C15" s="7" t="s">
        <v>336</v>
      </c>
      <c r="D15" s="178">
        <v>20921</v>
      </c>
      <c r="E15" s="7" t="s">
        <v>15</v>
      </c>
      <c r="F15" s="7" t="s">
        <v>337</v>
      </c>
      <c r="G15" s="7" t="s">
        <v>84</v>
      </c>
      <c r="H15" s="7" t="s">
        <v>35</v>
      </c>
      <c r="I15" s="7">
        <v>196157</v>
      </c>
      <c r="J15" s="7" t="s">
        <v>338</v>
      </c>
      <c r="K15" s="20">
        <v>16</v>
      </c>
      <c r="L15" s="20">
        <v>2</v>
      </c>
      <c r="M15" s="20">
        <v>9</v>
      </c>
      <c r="N15" s="8" t="s">
        <v>343</v>
      </c>
      <c r="O15" s="18">
        <v>44295</v>
      </c>
      <c r="P15" s="8" t="s">
        <v>60</v>
      </c>
      <c r="Q15" s="1">
        <f t="shared" si="0"/>
        <v>1</v>
      </c>
      <c r="R15" t="s">
        <v>699</v>
      </c>
      <c r="S15" s="1">
        <v>9</v>
      </c>
      <c r="T15" s="1">
        <v>196157</v>
      </c>
      <c r="U15" t="s">
        <v>670</v>
      </c>
      <c r="V15" s="218"/>
    </row>
    <row r="16" spans="1:24" x14ac:dyDescent="0.25">
      <c r="A16" s="1">
        <v>9</v>
      </c>
      <c r="C16" s="7" t="s">
        <v>336</v>
      </c>
      <c r="D16" s="178">
        <v>20920</v>
      </c>
      <c r="E16" s="7" t="s">
        <v>15</v>
      </c>
      <c r="F16" s="7" t="s">
        <v>337</v>
      </c>
      <c r="G16" s="7" t="s">
        <v>84</v>
      </c>
      <c r="H16" s="7" t="s">
        <v>35</v>
      </c>
      <c r="I16" s="7">
        <v>196157</v>
      </c>
      <c r="J16" s="7" t="s">
        <v>338</v>
      </c>
      <c r="K16" s="20">
        <v>16</v>
      </c>
      <c r="L16" s="20">
        <v>2</v>
      </c>
      <c r="M16" s="20">
        <v>8</v>
      </c>
      <c r="N16" s="8" t="s">
        <v>344</v>
      </c>
      <c r="O16" s="18">
        <v>44299</v>
      </c>
      <c r="P16" s="8" t="s">
        <v>60</v>
      </c>
      <c r="Q16" s="1">
        <f t="shared" si="0"/>
        <v>1</v>
      </c>
      <c r="R16" t="s">
        <v>699</v>
      </c>
      <c r="S16" s="1">
        <v>6</v>
      </c>
      <c r="T16" s="1">
        <v>196157</v>
      </c>
      <c r="U16" t="s">
        <v>670</v>
      </c>
      <c r="V16" s="218"/>
    </row>
    <row r="17" spans="1:24" x14ac:dyDescent="0.25">
      <c r="A17" s="1">
        <v>10</v>
      </c>
      <c r="C17" s="7" t="s">
        <v>336</v>
      </c>
      <c r="D17" s="178">
        <v>20824</v>
      </c>
      <c r="E17" s="7" t="s">
        <v>15</v>
      </c>
      <c r="F17" s="7" t="s">
        <v>337</v>
      </c>
      <c r="G17" s="7" t="s">
        <v>294</v>
      </c>
      <c r="H17" s="7" t="s">
        <v>35</v>
      </c>
      <c r="I17" s="7">
        <v>317251</v>
      </c>
      <c r="J17" s="7" t="s">
        <v>345</v>
      </c>
      <c r="K17" s="20">
        <v>8</v>
      </c>
      <c r="L17" s="20">
        <v>1</v>
      </c>
      <c r="M17" s="20">
        <v>5</v>
      </c>
      <c r="N17" s="8" t="s">
        <v>67</v>
      </c>
      <c r="O17" s="18">
        <v>44305</v>
      </c>
      <c r="P17" s="8" t="s">
        <v>60</v>
      </c>
      <c r="Q17" s="1">
        <f t="shared" si="0"/>
        <v>1</v>
      </c>
      <c r="R17" t="s">
        <v>699</v>
      </c>
      <c r="S17" s="1">
        <v>4</v>
      </c>
      <c r="T17" s="1">
        <v>317251</v>
      </c>
      <c r="U17" t="s">
        <v>808</v>
      </c>
      <c r="V17" s="218"/>
    </row>
    <row r="18" spans="1:24" x14ac:dyDescent="0.25">
      <c r="A18" s="1">
        <v>11</v>
      </c>
      <c r="C18" s="7" t="s">
        <v>336</v>
      </c>
      <c r="D18" s="178">
        <v>20809</v>
      </c>
      <c r="E18" s="7" t="s">
        <v>15</v>
      </c>
      <c r="F18" s="7" t="s">
        <v>337</v>
      </c>
      <c r="G18" s="7" t="s">
        <v>105</v>
      </c>
      <c r="H18" s="7" t="s">
        <v>35</v>
      </c>
      <c r="I18" s="7">
        <v>196157</v>
      </c>
      <c r="J18" s="7" t="s">
        <v>338</v>
      </c>
      <c r="K18" s="20">
        <v>16</v>
      </c>
      <c r="L18" s="20">
        <v>2</v>
      </c>
      <c r="M18" s="20">
        <v>11</v>
      </c>
      <c r="N18" s="8" t="s">
        <v>67</v>
      </c>
      <c r="O18" s="18">
        <v>44306</v>
      </c>
      <c r="P18" s="8" t="s">
        <v>60</v>
      </c>
      <c r="Q18" s="1">
        <f t="shared" si="0"/>
        <v>1</v>
      </c>
      <c r="R18" t="s">
        <v>699</v>
      </c>
      <c r="S18" s="1">
        <v>10</v>
      </c>
      <c r="T18" s="1">
        <v>196157</v>
      </c>
      <c r="U18" t="s">
        <v>670</v>
      </c>
      <c r="V18" s="218"/>
    </row>
    <row r="19" spans="1:24" x14ac:dyDescent="0.25">
      <c r="A19" s="1">
        <v>12</v>
      </c>
      <c r="C19" s="7" t="s">
        <v>336</v>
      </c>
      <c r="D19" s="178">
        <v>20816</v>
      </c>
      <c r="E19" s="7" t="s">
        <v>15</v>
      </c>
      <c r="F19" s="7" t="s">
        <v>337</v>
      </c>
      <c r="G19" s="7" t="s">
        <v>105</v>
      </c>
      <c r="H19" s="7" t="s">
        <v>35</v>
      </c>
      <c r="I19" s="7">
        <v>196157</v>
      </c>
      <c r="J19" s="7" t="s">
        <v>338</v>
      </c>
      <c r="K19" s="20">
        <v>16</v>
      </c>
      <c r="L19" s="20">
        <v>2</v>
      </c>
      <c r="M19" s="20">
        <v>9</v>
      </c>
      <c r="N19" s="18">
        <v>44312</v>
      </c>
      <c r="O19" s="18">
        <v>44313</v>
      </c>
      <c r="P19" s="8" t="s">
        <v>60</v>
      </c>
      <c r="Q19" s="1">
        <f t="shared" si="0"/>
        <v>1</v>
      </c>
      <c r="R19" t="s">
        <v>699</v>
      </c>
      <c r="S19" s="1">
        <v>7</v>
      </c>
      <c r="T19" s="1">
        <v>196157</v>
      </c>
      <c r="U19" t="s">
        <v>670</v>
      </c>
      <c r="V19" s="218"/>
    </row>
    <row r="20" spans="1:24" x14ac:dyDescent="0.25">
      <c r="A20" s="1">
        <v>13</v>
      </c>
      <c r="C20" s="7" t="s">
        <v>336</v>
      </c>
      <c r="D20" s="178">
        <v>20926</v>
      </c>
      <c r="E20" s="7" t="s">
        <v>15</v>
      </c>
      <c r="F20" s="7" t="s">
        <v>337</v>
      </c>
      <c r="G20" s="7" t="s">
        <v>346</v>
      </c>
      <c r="H20" s="7" t="s">
        <v>35</v>
      </c>
      <c r="I20" s="7">
        <v>408659</v>
      </c>
      <c r="J20" s="7" t="s">
        <v>347</v>
      </c>
      <c r="K20" s="20">
        <v>16</v>
      </c>
      <c r="L20" s="20">
        <v>2</v>
      </c>
      <c r="M20" s="20">
        <v>13</v>
      </c>
      <c r="N20" s="8" t="s">
        <v>70</v>
      </c>
      <c r="O20" s="18">
        <v>44316</v>
      </c>
      <c r="P20" s="8" t="s">
        <v>60</v>
      </c>
      <c r="Q20" s="1">
        <f t="shared" si="0"/>
        <v>1</v>
      </c>
      <c r="R20" t="s">
        <v>699</v>
      </c>
      <c r="S20" s="1">
        <v>10</v>
      </c>
      <c r="T20" s="1">
        <v>343092</v>
      </c>
      <c r="U20" t="s">
        <v>809</v>
      </c>
      <c r="V20" s="218"/>
    </row>
    <row r="21" spans="1:24" x14ac:dyDescent="0.25">
      <c r="A21" s="1">
        <v>14</v>
      </c>
      <c r="C21" s="7" t="s">
        <v>336</v>
      </c>
      <c r="D21" s="17">
        <v>23609</v>
      </c>
      <c r="E21" s="7" t="s">
        <v>15</v>
      </c>
      <c r="F21" s="7" t="s">
        <v>74</v>
      </c>
      <c r="G21" s="7" t="s">
        <v>302</v>
      </c>
      <c r="H21" s="7" t="s">
        <v>35</v>
      </c>
      <c r="I21" s="7">
        <v>410457</v>
      </c>
      <c r="J21" s="7" t="s">
        <v>348</v>
      </c>
      <c r="K21" s="20">
        <v>8</v>
      </c>
      <c r="L21" s="20">
        <v>1</v>
      </c>
      <c r="M21" s="20">
        <v>2</v>
      </c>
      <c r="N21" s="18">
        <v>44485</v>
      </c>
      <c r="O21" s="18">
        <v>44485</v>
      </c>
      <c r="P21" s="8" t="s">
        <v>77</v>
      </c>
      <c r="Q21" s="1">
        <f t="shared" si="0"/>
        <v>1</v>
      </c>
      <c r="R21" t="s">
        <v>699</v>
      </c>
      <c r="S21" s="1">
        <v>2</v>
      </c>
      <c r="T21" s="1">
        <v>196157</v>
      </c>
      <c r="U21" t="s">
        <v>670</v>
      </c>
      <c r="V21" s="218" t="s">
        <v>810</v>
      </c>
    </row>
    <row r="22" spans="1:24" x14ac:dyDescent="0.25">
      <c r="A22" s="1">
        <v>15</v>
      </c>
      <c r="C22" s="7" t="s">
        <v>336</v>
      </c>
      <c r="D22" s="17">
        <v>24454</v>
      </c>
      <c r="E22" s="7" t="s">
        <v>12</v>
      </c>
      <c r="F22" s="7" t="s">
        <v>349</v>
      </c>
      <c r="G22" s="7" t="s">
        <v>317</v>
      </c>
      <c r="H22" s="7" t="s">
        <v>35</v>
      </c>
      <c r="I22" s="7">
        <v>226488</v>
      </c>
      <c r="J22" s="7" t="s">
        <v>341</v>
      </c>
      <c r="K22" s="20">
        <v>16</v>
      </c>
      <c r="L22" s="20">
        <v>2</v>
      </c>
      <c r="M22" s="20">
        <v>6</v>
      </c>
      <c r="N22" s="8" t="s">
        <v>284</v>
      </c>
      <c r="O22" s="18">
        <v>44337</v>
      </c>
      <c r="P22" s="8" t="s">
        <v>77</v>
      </c>
      <c r="Q22" s="1">
        <f t="shared" si="0"/>
        <v>1</v>
      </c>
      <c r="R22" t="s">
        <v>699</v>
      </c>
      <c r="S22" s="1">
        <v>5</v>
      </c>
      <c r="T22" s="1">
        <v>226488</v>
      </c>
      <c r="U22" t="s">
        <v>807</v>
      </c>
      <c r="V22" s="218"/>
    </row>
    <row r="23" spans="1:24" x14ac:dyDescent="0.25">
      <c r="A23" s="1">
        <v>16</v>
      </c>
      <c r="C23" s="7" t="s">
        <v>336</v>
      </c>
      <c r="D23" s="178">
        <v>20925</v>
      </c>
      <c r="E23" s="7" t="s">
        <v>15</v>
      </c>
      <c r="F23" s="7" t="s">
        <v>337</v>
      </c>
      <c r="G23" s="7" t="s">
        <v>346</v>
      </c>
      <c r="H23" s="7" t="s">
        <v>35</v>
      </c>
      <c r="I23" s="7">
        <v>408659</v>
      </c>
      <c r="J23" s="7" t="s">
        <v>347</v>
      </c>
      <c r="K23" s="20">
        <v>16</v>
      </c>
      <c r="L23" s="20">
        <v>2</v>
      </c>
      <c r="M23" s="20">
        <v>13</v>
      </c>
      <c r="N23" s="8" t="s">
        <v>97</v>
      </c>
      <c r="O23" s="18">
        <v>44344</v>
      </c>
      <c r="P23" s="8" t="s">
        <v>77</v>
      </c>
      <c r="Q23" s="1">
        <f t="shared" si="0"/>
        <v>1</v>
      </c>
      <c r="R23" t="s">
        <v>699</v>
      </c>
      <c r="S23" s="1">
        <v>10</v>
      </c>
      <c r="T23" s="1">
        <v>343092</v>
      </c>
      <c r="U23" t="s">
        <v>809</v>
      </c>
      <c r="V23" s="218"/>
    </row>
    <row r="24" spans="1:24" x14ac:dyDescent="0.25">
      <c r="A24" s="1">
        <v>17</v>
      </c>
      <c r="C24" s="7" t="s">
        <v>336</v>
      </c>
      <c r="D24" s="17">
        <v>24401</v>
      </c>
      <c r="E24" s="7" t="s">
        <v>12</v>
      </c>
      <c r="F24" s="7" t="s">
        <v>349</v>
      </c>
      <c r="G24" s="7" t="s">
        <v>159</v>
      </c>
      <c r="H24" s="7" t="s">
        <v>35</v>
      </c>
      <c r="I24" s="7" t="s">
        <v>95</v>
      </c>
      <c r="J24" s="7" t="s">
        <v>96</v>
      </c>
      <c r="K24" s="20">
        <v>16</v>
      </c>
      <c r="L24" s="20">
        <v>2</v>
      </c>
      <c r="M24" s="20">
        <v>6</v>
      </c>
      <c r="N24" s="8" t="s">
        <v>350</v>
      </c>
      <c r="O24" s="18">
        <v>44348</v>
      </c>
      <c r="P24" s="8" t="s">
        <v>77</v>
      </c>
      <c r="Q24" s="1">
        <f t="shared" si="0"/>
        <v>1</v>
      </c>
      <c r="R24" t="s">
        <v>699</v>
      </c>
      <c r="S24" s="1">
        <v>9</v>
      </c>
      <c r="T24" s="1">
        <v>225108</v>
      </c>
      <c r="U24" t="s">
        <v>811</v>
      </c>
      <c r="V24" s="218" t="s">
        <v>812</v>
      </c>
    </row>
    <row r="25" spans="1:24" x14ac:dyDescent="0.25">
      <c r="A25" s="1">
        <v>18</v>
      </c>
      <c r="C25" s="7" t="s">
        <v>336</v>
      </c>
      <c r="D25" s="178">
        <v>21280</v>
      </c>
      <c r="E25" s="7" t="s">
        <v>15</v>
      </c>
      <c r="F25" s="7" t="s">
        <v>337</v>
      </c>
      <c r="G25" s="7" t="s">
        <v>34</v>
      </c>
      <c r="H25" s="7" t="s">
        <v>35</v>
      </c>
      <c r="I25" s="7">
        <v>196157</v>
      </c>
      <c r="J25" s="7" t="s">
        <v>338</v>
      </c>
      <c r="K25" s="20">
        <v>8</v>
      </c>
      <c r="L25" s="20">
        <v>1</v>
      </c>
      <c r="M25" s="20">
        <v>5</v>
      </c>
      <c r="N25" s="8" t="s">
        <v>101</v>
      </c>
      <c r="O25" s="18">
        <v>44349</v>
      </c>
      <c r="P25" s="8" t="s">
        <v>100</v>
      </c>
      <c r="Q25" s="1">
        <f t="shared" si="0"/>
        <v>1</v>
      </c>
      <c r="R25" t="s">
        <v>699</v>
      </c>
      <c r="S25" s="1">
        <v>4</v>
      </c>
      <c r="T25" s="1">
        <v>196157</v>
      </c>
      <c r="U25" t="s">
        <v>670</v>
      </c>
      <c r="V25" s="218"/>
    </row>
    <row r="26" spans="1:24" x14ac:dyDescent="0.25">
      <c r="A26" s="1">
        <v>19</v>
      </c>
      <c r="C26" s="7" t="s">
        <v>336</v>
      </c>
      <c r="D26" s="17">
        <v>24428</v>
      </c>
      <c r="E26" s="7" t="s">
        <v>12</v>
      </c>
      <c r="F26" s="7" t="s">
        <v>349</v>
      </c>
      <c r="G26" s="7" t="s">
        <v>127</v>
      </c>
      <c r="H26" s="7" t="s">
        <v>72</v>
      </c>
      <c r="I26" s="7">
        <v>375324</v>
      </c>
      <c r="J26" s="7" t="s">
        <v>351</v>
      </c>
      <c r="K26" s="20">
        <v>16</v>
      </c>
      <c r="L26" s="20">
        <v>2</v>
      </c>
      <c r="M26" s="20">
        <v>9</v>
      </c>
      <c r="N26" s="8" t="s">
        <v>99</v>
      </c>
      <c r="O26" s="18">
        <v>44349</v>
      </c>
      <c r="P26" s="8" t="s">
        <v>100</v>
      </c>
      <c r="Q26" s="1">
        <v>1</v>
      </c>
      <c r="R26" t="s">
        <v>699</v>
      </c>
      <c r="S26" s="1">
        <v>5</v>
      </c>
      <c r="T26" s="1">
        <v>375324</v>
      </c>
      <c r="U26" t="s">
        <v>813</v>
      </c>
      <c r="V26" s="16" t="s">
        <v>814</v>
      </c>
    </row>
    <row r="27" spans="1:24" x14ac:dyDescent="0.25">
      <c r="A27" s="1">
        <v>20</v>
      </c>
      <c r="C27" s="7" t="s">
        <v>336</v>
      </c>
      <c r="D27" s="17">
        <v>26478</v>
      </c>
      <c r="E27" s="7" t="s">
        <v>6</v>
      </c>
      <c r="F27" s="7" t="s">
        <v>352</v>
      </c>
      <c r="G27" s="7" t="s">
        <v>294</v>
      </c>
      <c r="H27" s="7" t="s">
        <v>35</v>
      </c>
      <c r="I27" s="7">
        <v>196853</v>
      </c>
      <c r="J27" s="7" t="s">
        <v>353</v>
      </c>
      <c r="K27" s="20">
        <v>8</v>
      </c>
      <c r="L27" s="20">
        <v>1</v>
      </c>
      <c r="M27" s="20">
        <v>12</v>
      </c>
      <c r="N27" s="8" t="s">
        <v>290</v>
      </c>
      <c r="O27" s="18">
        <v>44351</v>
      </c>
      <c r="P27" s="8" t="s">
        <v>100</v>
      </c>
      <c r="Q27" s="1">
        <f t="shared" si="0"/>
        <v>1</v>
      </c>
      <c r="R27" t="s">
        <v>699</v>
      </c>
      <c r="S27" s="1">
        <v>9</v>
      </c>
      <c r="T27" s="1">
        <v>196157</v>
      </c>
      <c r="U27" t="s">
        <v>670</v>
      </c>
      <c r="V27" s="218" t="s">
        <v>815</v>
      </c>
    </row>
    <row r="28" spans="1:24" x14ac:dyDescent="0.25">
      <c r="A28" s="1">
        <v>21</v>
      </c>
      <c r="C28" s="7" t="s">
        <v>336</v>
      </c>
      <c r="D28" s="17">
        <v>23243</v>
      </c>
      <c r="E28" s="7" t="s">
        <v>15</v>
      </c>
      <c r="F28" s="7" t="s">
        <v>74</v>
      </c>
      <c r="G28" s="7" t="s">
        <v>34</v>
      </c>
      <c r="H28" s="7" t="s">
        <v>35</v>
      </c>
      <c r="I28" s="7">
        <v>196157</v>
      </c>
      <c r="J28" s="7" t="s">
        <v>338</v>
      </c>
      <c r="K28" s="20">
        <v>8</v>
      </c>
      <c r="L28" s="20">
        <v>1</v>
      </c>
      <c r="M28" s="20">
        <v>5</v>
      </c>
      <c r="N28" s="8" t="s">
        <v>103</v>
      </c>
      <c r="O28" s="18">
        <v>44356</v>
      </c>
      <c r="P28" s="8" t="s">
        <v>100</v>
      </c>
      <c r="Q28" s="1">
        <f t="shared" si="0"/>
        <v>1</v>
      </c>
      <c r="R28" t="s">
        <v>699</v>
      </c>
      <c r="S28" s="1">
        <v>5</v>
      </c>
      <c r="T28" s="1">
        <v>196157</v>
      </c>
      <c r="U28" t="s">
        <v>670</v>
      </c>
      <c r="V28" s="218" t="s">
        <v>816</v>
      </c>
    </row>
    <row r="29" spans="1:24" x14ac:dyDescent="0.25">
      <c r="A29" s="1">
        <v>22</v>
      </c>
      <c r="C29" s="7" t="s">
        <v>336</v>
      </c>
      <c r="D29" s="17">
        <v>29126</v>
      </c>
      <c r="E29" s="7" t="s">
        <v>12</v>
      </c>
      <c r="F29" s="7" t="s">
        <v>349</v>
      </c>
      <c r="G29" s="7" t="s">
        <v>288</v>
      </c>
      <c r="H29" s="7" t="s">
        <v>35</v>
      </c>
      <c r="I29" s="7">
        <v>336120</v>
      </c>
      <c r="J29" s="7" t="s">
        <v>354</v>
      </c>
      <c r="K29" s="20">
        <v>16</v>
      </c>
      <c r="L29" s="20">
        <v>2</v>
      </c>
      <c r="M29" s="20">
        <v>1</v>
      </c>
      <c r="N29" s="18">
        <v>44378</v>
      </c>
      <c r="O29" s="18">
        <v>44379</v>
      </c>
      <c r="P29" s="8" t="s">
        <v>119</v>
      </c>
      <c r="Q29" s="1">
        <f>IF(O29&lt;=$D$3,1,0)</f>
        <v>1</v>
      </c>
      <c r="R29" t="s">
        <v>699</v>
      </c>
      <c r="S29" s="1">
        <v>5</v>
      </c>
      <c r="T29" s="1">
        <v>375424</v>
      </c>
      <c r="U29" t="s">
        <v>813</v>
      </c>
      <c r="V29" s="218" t="s">
        <v>817</v>
      </c>
    </row>
    <row r="30" spans="1:24" x14ac:dyDescent="0.25">
      <c r="A30" s="1">
        <v>23</v>
      </c>
      <c r="C30" s="7" t="s">
        <v>336</v>
      </c>
      <c r="D30" s="178">
        <v>20884</v>
      </c>
      <c r="E30" s="7" t="s">
        <v>15</v>
      </c>
      <c r="F30" s="7" t="s">
        <v>337</v>
      </c>
      <c r="G30" s="7" t="s">
        <v>148</v>
      </c>
      <c r="H30" s="7" t="s">
        <v>35</v>
      </c>
      <c r="I30" s="7">
        <v>408659</v>
      </c>
      <c r="J30" s="7" t="s">
        <v>347</v>
      </c>
      <c r="K30" s="20">
        <v>8</v>
      </c>
      <c r="L30" s="20">
        <v>1</v>
      </c>
      <c r="M30" s="20">
        <v>9</v>
      </c>
      <c r="N30" s="18">
        <v>44378</v>
      </c>
      <c r="O30" s="18">
        <v>44378</v>
      </c>
      <c r="P30" s="8" t="s">
        <v>119</v>
      </c>
      <c r="Q30" s="1">
        <f t="shared" si="0"/>
        <v>1</v>
      </c>
      <c r="R30" t="s">
        <v>699</v>
      </c>
      <c r="S30" s="1">
        <v>7</v>
      </c>
      <c r="T30" s="1">
        <v>196157</v>
      </c>
      <c r="U30" t="s">
        <v>670</v>
      </c>
      <c r="V30" s="218" t="s">
        <v>818</v>
      </c>
      <c r="W30" s="185"/>
      <c r="X30" s="185"/>
    </row>
    <row r="31" spans="1:24" x14ac:dyDescent="0.25">
      <c r="A31" s="1">
        <v>24</v>
      </c>
      <c r="C31" s="7" t="s">
        <v>336</v>
      </c>
      <c r="D31" s="178">
        <v>20881</v>
      </c>
      <c r="E31" s="7" t="s">
        <v>15</v>
      </c>
      <c r="F31" s="7" t="s">
        <v>337</v>
      </c>
      <c r="G31" s="7" t="s">
        <v>148</v>
      </c>
      <c r="H31" s="7" t="s">
        <v>35</v>
      </c>
      <c r="I31" s="7">
        <v>408659</v>
      </c>
      <c r="J31" s="7" t="s">
        <v>347</v>
      </c>
      <c r="K31" s="20">
        <v>8</v>
      </c>
      <c r="L31" s="20">
        <v>1</v>
      </c>
      <c r="M31" s="20">
        <v>12</v>
      </c>
      <c r="N31" s="8" t="s">
        <v>117</v>
      </c>
      <c r="O31" s="18">
        <v>44379</v>
      </c>
      <c r="P31" s="8" t="s">
        <v>119</v>
      </c>
      <c r="Q31" s="1">
        <f t="shared" si="0"/>
        <v>1</v>
      </c>
      <c r="R31" t="s">
        <v>699</v>
      </c>
      <c r="S31" s="1">
        <v>12</v>
      </c>
      <c r="T31" s="1">
        <v>196157</v>
      </c>
      <c r="U31" t="s">
        <v>670</v>
      </c>
      <c r="V31" s="218" t="s">
        <v>819</v>
      </c>
    </row>
    <row r="32" spans="1:24" x14ac:dyDescent="0.25">
      <c r="A32" s="1">
        <v>25</v>
      </c>
      <c r="C32" s="7" t="s">
        <v>336</v>
      </c>
      <c r="D32" s="178">
        <v>20877</v>
      </c>
      <c r="E32" s="7" t="s">
        <v>15</v>
      </c>
      <c r="F32" s="7" t="s">
        <v>337</v>
      </c>
      <c r="G32" s="7" t="s">
        <v>148</v>
      </c>
      <c r="H32" s="7" t="s">
        <v>35</v>
      </c>
      <c r="I32" s="7">
        <v>408659</v>
      </c>
      <c r="J32" s="7" t="s">
        <v>347</v>
      </c>
      <c r="K32" s="20">
        <v>8</v>
      </c>
      <c r="L32" s="20">
        <v>1</v>
      </c>
      <c r="M32" s="20">
        <v>12</v>
      </c>
      <c r="N32" s="8" t="s">
        <v>310</v>
      </c>
      <c r="O32" s="18">
        <v>44382</v>
      </c>
      <c r="P32" s="8" t="s">
        <v>119</v>
      </c>
      <c r="Q32" s="1">
        <f t="shared" si="0"/>
        <v>1</v>
      </c>
      <c r="R32" t="s">
        <v>699</v>
      </c>
      <c r="S32" s="1">
        <v>11</v>
      </c>
      <c r="T32" s="1">
        <v>196157</v>
      </c>
      <c r="U32" t="s">
        <v>670</v>
      </c>
      <c r="V32" s="218"/>
    </row>
    <row r="33" spans="1:22" x14ac:dyDescent="0.25">
      <c r="A33" s="1">
        <v>26</v>
      </c>
      <c r="C33" s="7" t="s">
        <v>336</v>
      </c>
      <c r="D33" s="178">
        <v>20878</v>
      </c>
      <c r="E33" s="7" t="s">
        <v>15</v>
      </c>
      <c r="F33" s="7" t="s">
        <v>337</v>
      </c>
      <c r="G33" s="7" t="s">
        <v>148</v>
      </c>
      <c r="H33" s="7" t="s">
        <v>35</v>
      </c>
      <c r="I33" s="7">
        <v>408659</v>
      </c>
      <c r="J33" s="7" t="s">
        <v>347</v>
      </c>
      <c r="K33" s="20">
        <v>8</v>
      </c>
      <c r="L33" s="20">
        <v>1</v>
      </c>
      <c r="M33" s="20">
        <v>12</v>
      </c>
      <c r="N33" s="8" t="s">
        <v>311</v>
      </c>
      <c r="O33" s="18">
        <v>44383</v>
      </c>
      <c r="P33" s="8" t="s">
        <v>119</v>
      </c>
      <c r="Q33" s="1">
        <f t="shared" si="0"/>
        <v>1</v>
      </c>
      <c r="R33" t="s">
        <v>699</v>
      </c>
      <c r="S33" s="1">
        <v>8</v>
      </c>
      <c r="T33" s="1">
        <v>196157</v>
      </c>
      <c r="U33" t="s">
        <v>670</v>
      </c>
      <c r="V33" s="218"/>
    </row>
    <row r="34" spans="1:22" x14ac:dyDescent="0.25">
      <c r="A34" s="1">
        <v>27</v>
      </c>
      <c r="C34" s="7" t="s">
        <v>336</v>
      </c>
      <c r="D34" s="17">
        <v>26749</v>
      </c>
      <c r="E34" s="7" t="s">
        <v>6</v>
      </c>
      <c r="F34" s="7" t="s">
        <v>352</v>
      </c>
      <c r="G34" s="7" t="s">
        <v>89</v>
      </c>
      <c r="H34" s="7" t="s">
        <v>35</v>
      </c>
      <c r="I34" s="7">
        <v>107392</v>
      </c>
      <c r="J34" s="7" t="s">
        <v>355</v>
      </c>
      <c r="K34" s="20">
        <v>16</v>
      </c>
      <c r="L34" s="20">
        <v>2</v>
      </c>
      <c r="M34" s="20">
        <v>10</v>
      </c>
      <c r="N34" s="8" t="s">
        <v>310</v>
      </c>
      <c r="O34" s="18">
        <v>44383</v>
      </c>
      <c r="P34" s="8" t="s">
        <v>119</v>
      </c>
      <c r="Q34" s="1">
        <f t="shared" si="0"/>
        <v>1</v>
      </c>
      <c r="R34" t="s">
        <v>699</v>
      </c>
      <c r="S34" s="1">
        <v>8</v>
      </c>
      <c r="T34" s="1">
        <v>196157</v>
      </c>
      <c r="U34" t="s">
        <v>670</v>
      </c>
      <c r="V34" s="218" t="s">
        <v>820</v>
      </c>
    </row>
    <row r="35" spans="1:22" x14ac:dyDescent="0.25">
      <c r="A35" s="1">
        <v>28</v>
      </c>
      <c r="C35" s="7" t="s">
        <v>336</v>
      </c>
      <c r="D35" s="178">
        <v>20879</v>
      </c>
      <c r="E35" s="7" t="s">
        <v>15</v>
      </c>
      <c r="F35" s="7" t="s">
        <v>337</v>
      </c>
      <c r="G35" s="7" t="s">
        <v>148</v>
      </c>
      <c r="H35" s="7" t="s">
        <v>35</v>
      </c>
      <c r="I35" s="7">
        <v>408659</v>
      </c>
      <c r="J35" s="7" t="s">
        <v>347</v>
      </c>
      <c r="K35" s="20">
        <v>8</v>
      </c>
      <c r="L35" s="20">
        <v>1</v>
      </c>
      <c r="M35" s="20">
        <v>12</v>
      </c>
      <c r="N35" s="8" t="s">
        <v>123</v>
      </c>
      <c r="O35" s="18">
        <v>44384</v>
      </c>
      <c r="P35" s="8" t="s">
        <v>119</v>
      </c>
      <c r="Q35" s="1">
        <f t="shared" si="0"/>
        <v>1</v>
      </c>
      <c r="R35" t="s">
        <v>699</v>
      </c>
      <c r="S35" s="1">
        <v>11</v>
      </c>
      <c r="T35" s="1">
        <v>196157</v>
      </c>
      <c r="U35" t="s">
        <v>670</v>
      </c>
      <c r="V35" s="218"/>
    </row>
    <row r="36" spans="1:22" x14ac:dyDescent="0.25">
      <c r="A36" s="1">
        <v>29</v>
      </c>
      <c r="C36" s="7" t="s">
        <v>336</v>
      </c>
      <c r="D36" s="178">
        <v>20883</v>
      </c>
      <c r="E36" s="7" t="s">
        <v>15</v>
      </c>
      <c r="F36" s="7" t="s">
        <v>337</v>
      </c>
      <c r="G36" s="7" t="s">
        <v>148</v>
      </c>
      <c r="H36" s="7" t="s">
        <v>35</v>
      </c>
      <c r="I36" s="7">
        <v>408659</v>
      </c>
      <c r="J36" s="7" t="s">
        <v>347</v>
      </c>
      <c r="K36" s="20">
        <v>8</v>
      </c>
      <c r="L36" s="20">
        <v>1</v>
      </c>
      <c r="M36" s="20">
        <v>12</v>
      </c>
      <c r="N36" s="8" t="s">
        <v>121</v>
      </c>
      <c r="O36" s="18">
        <v>44386</v>
      </c>
      <c r="P36" s="8" t="s">
        <v>119</v>
      </c>
      <c r="Q36" s="1">
        <f t="shared" si="0"/>
        <v>1</v>
      </c>
      <c r="R36" t="s">
        <v>699</v>
      </c>
      <c r="S36" s="1">
        <v>11</v>
      </c>
      <c r="T36" s="1">
        <v>196157</v>
      </c>
      <c r="U36" t="s">
        <v>670</v>
      </c>
      <c r="V36" s="218"/>
    </row>
    <row r="37" spans="1:22" x14ac:dyDescent="0.25">
      <c r="A37" s="1">
        <v>30</v>
      </c>
      <c r="C37" s="7" t="s">
        <v>336</v>
      </c>
      <c r="D37" s="17">
        <v>24384</v>
      </c>
      <c r="E37" s="7" t="s">
        <v>12</v>
      </c>
      <c r="F37" s="7" t="s">
        <v>349</v>
      </c>
      <c r="G37" s="7" t="s">
        <v>68</v>
      </c>
      <c r="H37" s="7" t="s">
        <v>35</v>
      </c>
      <c r="I37" s="7">
        <v>486686</v>
      </c>
      <c r="J37" s="7" t="s">
        <v>356</v>
      </c>
      <c r="K37" s="20">
        <v>24</v>
      </c>
      <c r="L37" s="20">
        <v>3</v>
      </c>
      <c r="M37" s="20">
        <v>7</v>
      </c>
      <c r="N37" s="8" t="s">
        <v>318</v>
      </c>
      <c r="O37" s="18">
        <v>44394</v>
      </c>
      <c r="P37" s="8" t="s">
        <v>119</v>
      </c>
      <c r="Q37" s="1">
        <f t="shared" si="0"/>
        <v>1</v>
      </c>
      <c r="R37" t="s">
        <v>699</v>
      </c>
      <c r="S37" s="1">
        <v>5</v>
      </c>
      <c r="T37" s="1">
        <v>486686</v>
      </c>
      <c r="U37" t="s">
        <v>821</v>
      </c>
      <c r="V37" s="218"/>
    </row>
    <row r="38" spans="1:22" x14ac:dyDescent="0.25">
      <c r="A38" s="1">
        <v>31</v>
      </c>
      <c r="C38" s="7" t="s">
        <v>336</v>
      </c>
      <c r="D38" s="178">
        <v>20882</v>
      </c>
      <c r="E38" s="7" t="s">
        <v>15</v>
      </c>
      <c r="F38" s="7" t="s">
        <v>337</v>
      </c>
      <c r="G38" s="7" t="s">
        <v>148</v>
      </c>
      <c r="H38" s="7" t="s">
        <v>35</v>
      </c>
      <c r="I38" s="7">
        <v>408659</v>
      </c>
      <c r="J38" s="7" t="s">
        <v>347</v>
      </c>
      <c r="K38" s="20">
        <v>8</v>
      </c>
      <c r="L38" s="20">
        <v>1</v>
      </c>
      <c r="M38" s="20">
        <v>12</v>
      </c>
      <c r="N38" s="8" t="s">
        <v>357</v>
      </c>
      <c r="O38" s="18">
        <v>44396</v>
      </c>
      <c r="P38" s="8" t="s">
        <v>119</v>
      </c>
      <c r="Q38" s="1">
        <f t="shared" si="0"/>
        <v>1</v>
      </c>
      <c r="R38" t="s">
        <v>699</v>
      </c>
      <c r="S38" s="1">
        <v>9</v>
      </c>
      <c r="T38" s="1">
        <v>196157</v>
      </c>
      <c r="U38" t="s">
        <v>670</v>
      </c>
      <c r="V38" s="218"/>
    </row>
    <row r="39" spans="1:22" x14ac:dyDescent="0.25">
      <c r="A39" s="1">
        <v>32</v>
      </c>
      <c r="C39" s="7" t="s">
        <v>336</v>
      </c>
      <c r="D39" s="17">
        <v>24402</v>
      </c>
      <c r="E39" s="7" t="s">
        <v>12</v>
      </c>
      <c r="F39" s="7" t="s">
        <v>349</v>
      </c>
      <c r="G39" s="7" t="s">
        <v>159</v>
      </c>
      <c r="H39" s="7" t="s">
        <v>35</v>
      </c>
      <c r="I39" s="7" t="s">
        <v>95</v>
      </c>
      <c r="J39" s="7" t="s">
        <v>96</v>
      </c>
      <c r="K39" s="20">
        <v>16</v>
      </c>
      <c r="L39" s="20">
        <v>2</v>
      </c>
      <c r="M39" s="20">
        <v>4</v>
      </c>
      <c r="N39" s="8" t="s">
        <v>137</v>
      </c>
      <c r="O39" s="18">
        <v>44407</v>
      </c>
      <c r="P39" s="8" t="s">
        <v>119</v>
      </c>
      <c r="Q39" s="1">
        <f t="shared" si="0"/>
        <v>1</v>
      </c>
      <c r="R39" t="s">
        <v>699</v>
      </c>
      <c r="S39" s="1">
        <v>7</v>
      </c>
      <c r="T39" s="1">
        <v>225108</v>
      </c>
      <c r="U39" t="s">
        <v>811</v>
      </c>
      <c r="V39" s="218" t="s">
        <v>822</v>
      </c>
    </row>
    <row r="40" spans="1:22" x14ac:dyDescent="0.25">
      <c r="A40" s="1">
        <v>33</v>
      </c>
      <c r="C40" s="7" t="s">
        <v>336</v>
      </c>
      <c r="D40" s="178">
        <v>21242</v>
      </c>
      <c r="E40" s="7" t="s">
        <v>15</v>
      </c>
      <c r="F40" s="7" t="s">
        <v>337</v>
      </c>
      <c r="G40" s="7" t="s">
        <v>235</v>
      </c>
      <c r="H40" s="7" t="s">
        <v>35</v>
      </c>
      <c r="I40" s="7">
        <v>147188</v>
      </c>
      <c r="J40" s="7" t="s">
        <v>359</v>
      </c>
      <c r="K40" s="20">
        <v>8</v>
      </c>
      <c r="L40" s="20">
        <v>1</v>
      </c>
      <c r="M40" s="20">
        <v>19</v>
      </c>
      <c r="N40" s="8" t="s">
        <v>143</v>
      </c>
      <c r="O40" s="18">
        <v>44412</v>
      </c>
      <c r="P40" s="8" t="s">
        <v>141</v>
      </c>
      <c r="Q40" s="1">
        <f t="shared" si="0"/>
        <v>1</v>
      </c>
      <c r="R40" t="s">
        <v>699</v>
      </c>
      <c r="S40" s="1">
        <v>14</v>
      </c>
      <c r="T40" s="1">
        <v>147188</v>
      </c>
      <c r="U40" t="s">
        <v>823</v>
      </c>
      <c r="V40" s="218"/>
    </row>
    <row r="41" spans="1:22" x14ac:dyDescent="0.25">
      <c r="A41" s="1">
        <v>34</v>
      </c>
      <c r="C41" s="7" t="s">
        <v>336</v>
      </c>
      <c r="D41" s="17">
        <v>24455</v>
      </c>
      <c r="E41" s="7" t="s">
        <v>12</v>
      </c>
      <c r="F41" s="7" t="s">
        <v>349</v>
      </c>
      <c r="G41" s="7" t="s">
        <v>317</v>
      </c>
      <c r="H41" s="7" t="s">
        <v>35</v>
      </c>
      <c r="I41" s="7">
        <v>226488</v>
      </c>
      <c r="J41" s="7" t="s">
        <v>341</v>
      </c>
      <c r="K41" s="20">
        <v>16</v>
      </c>
      <c r="L41" s="20">
        <v>2</v>
      </c>
      <c r="M41" s="20">
        <v>4</v>
      </c>
      <c r="N41" s="8" t="s">
        <v>145</v>
      </c>
      <c r="O41" s="18">
        <v>44414</v>
      </c>
      <c r="P41" s="8" t="s">
        <v>141</v>
      </c>
      <c r="Q41" s="1">
        <f t="shared" si="0"/>
        <v>1</v>
      </c>
      <c r="R41" t="s">
        <v>699</v>
      </c>
      <c r="S41" s="1">
        <v>6</v>
      </c>
      <c r="T41" s="1">
        <v>375424</v>
      </c>
      <c r="U41" t="s">
        <v>813</v>
      </c>
      <c r="V41" s="218" t="s">
        <v>824</v>
      </c>
    </row>
    <row r="42" spans="1:22" hidden="1" x14ac:dyDescent="0.25">
      <c r="A42" s="1">
        <v>35</v>
      </c>
      <c r="C42" s="7" t="s">
        <v>336</v>
      </c>
      <c r="D42" s="17">
        <v>24983</v>
      </c>
      <c r="E42" s="7" t="s">
        <v>8</v>
      </c>
      <c r="F42" s="7" t="s">
        <v>142</v>
      </c>
      <c r="G42" s="7" t="s">
        <v>171</v>
      </c>
      <c r="H42" s="7" t="s">
        <v>35</v>
      </c>
      <c r="I42" s="7">
        <v>361756</v>
      </c>
      <c r="J42" s="7" t="s">
        <v>360</v>
      </c>
      <c r="K42" s="20">
        <v>8</v>
      </c>
      <c r="L42" s="20">
        <v>1</v>
      </c>
      <c r="M42" s="20">
        <v>3</v>
      </c>
      <c r="N42" s="8" t="s">
        <v>151</v>
      </c>
      <c r="O42" s="18">
        <v>44418</v>
      </c>
      <c r="P42" s="8" t="s">
        <v>141</v>
      </c>
      <c r="Q42" s="1">
        <f t="shared" si="0"/>
        <v>1</v>
      </c>
      <c r="R42" s="16" t="s">
        <v>701</v>
      </c>
      <c r="V42" s="16" t="s">
        <v>825</v>
      </c>
    </row>
    <row r="43" spans="1:22" x14ac:dyDescent="0.25">
      <c r="A43" s="1">
        <v>35</v>
      </c>
      <c r="C43" s="7" t="s">
        <v>336</v>
      </c>
      <c r="D43" s="178">
        <v>20820</v>
      </c>
      <c r="E43" s="7" t="s">
        <v>15</v>
      </c>
      <c r="F43" s="7" t="s">
        <v>337</v>
      </c>
      <c r="G43" s="7" t="s">
        <v>302</v>
      </c>
      <c r="H43" s="7" t="s">
        <v>35</v>
      </c>
      <c r="I43" s="7">
        <v>196157</v>
      </c>
      <c r="J43" s="7" t="s">
        <v>338</v>
      </c>
      <c r="K43" s="20">
        <v>8</v>
      </c>
      <c r="L43" s="20">
        <v>1</v>
      </c>
      <c r="M43" s="20">
        <v>11</v>
      </c>
      <c r="N43" s="8" t="s">
        <v>154</v>
      </c>
      <c r="O43" s="18">
        <v>44424</v>
      </c>
      <c r="P43" s="8" t="s">
        <v>141</v>
      </c>
      <c r="Q43" s="1">
        <f t="shared" si="0"/>
        <v>1</v>
      </c>
      <c r="R43" t="s">
        <v>699</v>
      </c>
      <c r="S43" s="1">
        <v>9</v>
      </c>
      <c r="T43" s="1">
        <v>196157</v>
      </c>
      <c r="U43" t="s">
        <v>670</v>
      </c>
      <c r="V43" s="218"/>
    </row>
    <row r="44" spans="1:22" x14ac:dyDescent="0.25">
      <c r="A44" s="1">
        <v>36</v>
      </c>
      <c r="C44" s="7" t="s">
        <v>336</v>
      </c>
      <c r="D44" s="178">
        <v>21243</v>
      </c>
      <c r="E44" s="7" t="s">
        <v>15</v>
      </c>
      <c r="F44" s="7" t="s">
        <v>337</v>
      </c>
      <c r="G44" s="7" t="s">
        <v>235</v>
      </c>
      <c r="H44" s="7" t="s">
        <v>35</v>
      </c>
      <c r="I44" s="7">
        <v>147188</v>
      </c>
      <c r="J44" s="7" t="s">
        <v>359</v>
      </c>
      <c r="K44" s="20">
        <v>8</v>
      </c>
      <c r="L44" s="20">
        <v>1</v>
      </c>
      <c r="M44" s="20">
        <v>20</v>
      </c>
      <c r="N44" s="8" t="s">
        <v>156</v>
      </c>
      <c r="O44" s="18">
        <v>44426</v>
      </c>
      <c r="P44" s="8" t="s">
        <v>141</v>
      </c>
      <c r="Q44" s="1">
        <f t="shared" si="0"/>
        <v>1</v>
      </c>
      <c r="R44" t="s">
        <v>699</v>
      </c>
      <c r="S44" s="1">
        <v>14</v>
      </c>
      <c r="T44" s="1">
        <v>147188</v>
      </c>
      <c r="U44" t="s">
        <v>823</v>
      </c>
      <c r="V44" s="218"/>
    </row>
    <row r="45" spans="1:22" hidden="1" x14ac:dyDescent="0.25">
      <c r="A45" s="1">
        <v>38</v>
      </c>
      <c r="C45" s="7" t="s">
        <v>336</v>
      </c>
      <c r="D45" s="17">
        <v>26146</v>
      </c>
      <c r="E45" s="7" t="s">
        <v>8</v>
      </c>
      <c r="F45" s="7" t="s">
        <v>142</v>
      </c>
      <c r="G45" s="7" t="s">
        <v>331</v>
      </c>
      <c r="H45" s="7" t="s">
        <v>35</v>
      </c>
      <c r="I45" s="7">
        <v>361756</v>
      </c>
      <c r="J45" s="7" t="s">
        <v>360</v>
      </c>
      <c r="K45" s="20">
        <v>32</v>
      </c>
      <c r="L45" s="20">
        <v>4</v>
      </c>
      <c r="M45" s="20">
        <v>1</v>
      </c>
      <c r="N45" s="8" t="s">
        <v>154</v>
      </c>
      <c r="O45" s="18">
        <v>44427</v>
      </c>
      <c r="P45" s="8" t="s">
        <v>141</v>
      </c>
      <c r="Q45" s="1">
        <f t="shared" si="0"/>
        <v>1</v>
      </c>
      <c r="R45" s="16" t="s">
        <v>701</v>
      </c>
      <c r="V45" s="16" t="s">
        <v>825</v>
      </c>
    </row>
    <row r="46" spans="1:22" x14ac:dyDescent="0.25">
      <c r="A46" s="1">
        <v>37</v>
      </c>
      <c r="C46" s="7" t="s">
        <v>336</v>
      </c>
      <c r="D46" s="17">
        <v>24385</v>
      </c>
      <c r="E46" s="7" t="s">
        <v>12</v>
      </c>
      <c r="F46" s="7" t="s">
        <v>349</v>
      </c>
      <c r="G46" s="7" t="s">
        <v>68</v>
      </c>
      <c r="H46" s="7" t="s">
        <v>35</v>
      </c>
      <c r="I46" s="7">
        <v>486686</v>
      </c>
      <c r="J46" s="7" t="s">
        <v>356</v>
      </c>
      <c r="K46" s="20">
        <v>24</v>
      </c>
      <c r="L46" s="20">
        <v>3</v>
      </c>
      <c r="M46" s="20">
        <v>5</v>
      </c>
      <c r="N46" s="8" t="s">
        <v>164</v>
      </c>
      <c r="O46" s="18">
        <v>44434</v>
      </c>
      <c r="P46" s="8" t="s">
        <v>141</v>
      </c>
      <c r="Q46" s="1">
        <f t="shared" si="0"/>
        <v>1</v>
      </c>
      <c r="R46" t="s">
        <v>699</v>
      </c>
      <c r="S46" s="1">
        <v>4</v>
      </c>
      <c r="T46" s="1">
        <v>486686</v>
      </c>
      <c r="U46" t="s">
        <v>821</v>
      </c>
      <c r="V46" s="218"/>
    </row>
    <row r="47" spans="1:22" x14ac:dyDescent="0.25">
      <c r="A47" s="1">
        <v>38</v>
      </c>
      <c r="C47" s="7" t="s">
        <v>336</v>
      </c>
      <c r="D47" s="178">
        <v>21244</v>
      </c>
      <c r="E47" s="7" t="s">
        <v>15</v>
      </c>
      <c r="F47" s="7" t="s">
        <v>337</v>
      </c>
      <c r="G47" s="7" t="s">
        <v>235</v>
      </c>
      <c r="H47" s="7" t="s">
        <v>35</v>
      </c>
      <c r="I47" s="7">
        <v>147188</v>
      </c>
      <c r="J47" s="7" t="s">
        <v>359</v>
      </c>
      <c r="K47" s="20">
        <v>8</v>
      </c>
      <c r="L47" s="20">
        <v>1</v>
      </c>
      <c r="M47" s="20">
        <v>20</v>
      </c>
      <c r="N47" s="8" t="s">
        <v>170</v>
      </c>
      <c r="O47" s="18">
        <v>44440</v>
      </c>
      <c r="P47" s="8" t="s">
        <v>173</v>
      </c>
      <c r="Q47" s="1">
        <f t="shared" si="0"/>
        <v>1</v>
      </c>
      <c r="R47" t="s">
        <v>699</v>
      </c>
      <c r="S47" s="1">
        <v>16</v>
      </c>
      <c r="T47" s="1">
        <v>147188</v>
      </c>
      <c r="U47" t="s">
        <v>823</v>
      </c>
      <c r="V47" s="218"/>
    </row>
    <row r="48" spans="1:22" x14ac:dyDescent="0.25">
      <c r="A48" s="1">
        <v>39</v>
      </c>
      <c r="C48" s="7" t="s">
        <v>336</v>
      </c>
      <c r="D48" s="17">
        <v>24386</v>
      </c>
      <c r="E48" s="7" t="s">
        <v>12</v>
      </c>
      <c r="F48" s="7" t="s">
        <v>349</v>
      </c>
      <c r="G48" s="7" t="s">
        <v>68</v>
      </c>
      <c r="H48" s="7" t="s">
        <v>35</v>
      </c>
      <c r="I48" s="7">
        <v>486686</v>
      </c>
      <c r="J48" s="7" t="s">
        <v>356</v>
      </c>
      <c r="K48" s="20">
        <v>24</v>
      </c>
      <c r="L48" s="20">
        <v>3</v>
      </c>
      <c r="M48" s="20">
        <v>11</v>
      </c>
      <c r="N48" s="8" t="s">
        <v>177</v>
      </c>
      <c r="O48" s="18">
        <v>44447</v>
      </c>
      <c r="P48" s="8" t="s">
        <v>173</v>
      </c>
      <c r="Q48" s="1">
        <f t="shared" si="0"/>
        <v>1</v>
      </c>
      <c r="R48" t="s">
        <v>699</v>
      </c>
      <c r="S48" s="1">
        <v>10</v>
      </c>
      <c r="T48" s="1">
        <v>486686</v>
      </c>
      <c r="U48" t="s">
        <v>821</v>
      </c>
      <c r="V48" s="218"/>
    </row>
    <row r="49" spans="1:22" x14ac:dyDescent="0.25">
      <c r="A49" s="1">
        <v>40</v>
      </c>
      <c r="C49" s="7" t="s">
        <v>336</v>
      </c>
      <c r="D49" s="17">
        <v>26536</v>
      </c>
      <c r="E49" s="7" t="s">
        <v>6</v>
      </c>
      <c r="F49" s="7" t="s">
        <v>352</v>
      </c>
      <c r="G49" s="7" t="s">
        <v>84</v>
      </c>
      <c r="H49" s="7" t="s">
        <v>35</v>
      </c>
      <c r="I49" s="7">
        <v>196157</v>
      </c>
      <c r="J49" s="7" t="s">
        <v>338</v>
      </c>
      <c r="K49" s="20">
        <v>16</v>
      </c>
      <c r="L49" s="20">
        <v>2</v>
      </c>
      <c r="M49" s="20">
        <v>16</v>
      </c>
      <c r="N49" s="8" t="s">
        <v>181</v>
      </c>
      <c r="O49" s="18">
        <v>44447</v>
      </c>
      <c r="P49" s="8" t="s">
        <v>173</v>
      </c>
      <c r="Q49" s="1">
        <f t="shared" si="0"/>
        <v>1</v>
      </c>
      <c r="R49" t="s">
        <v>699</v>
      </c>
      <c r="S49" s="1">
        <v>8</v>
      </c>
      <c r="T49" s="1">
        <v>196157</v>
      </c>
      <c r="U49" t="s">
        <v>670</v>
      </c>
      <c r="V49" s="218"/>
    </row>
    <row r="50" spans="1:22" x14ac:dyDescent="0.25">
      <c r="A50" s="1">
        <v>41</v>
      </c>
      <c r="C50" s="7" t="s">
        <v>336</v>
      </c>
      <c r="D50" s="178">
        <v>20808</v>
      </c>
      <c r="E50" s="7" t="s">
        <v>15</v>
      </c>
      <c r="F50" s="7" t="s">
        <v>337</v>
      </c>
      <c r="G50" s="7" t="s">
        <v>105</v>
      </c>
      <c r="H50" s="7" t="s">
        <v>35</v>
      </c>
      <c r="I50" s="7">
        <v>196157</v>
      </c>
      <c r="J50" s="7" t="s">
        <v>338</v>
      </c>
      <c r="K50" s="20">
        <v>16</v>
      </c>
      <c r="L50" s="20">
        <v>2</v>
      </c>
      <c r="M50" s="20">
        <v>12</v>
      </c>
      <c r="N50" s="8" t="s">
        <v>184</v>
      </c>
      <c r="O50" s="18">
        <v>44453</v>
      </c>
      <c r="P50" s="8" t="s">
        <v>173</v>
      </c>
      <c r="Q50" s="1">
        <f t="shared" si="0"/>
        <v>1</v>
      </c>
      <c r="R50" t="s">
        <v>699</v>
      </c>
      <c r="S50" s="1">
        <v>9</v>
      </c>
      <c r="T50" s="1">
        <v>196157</v>
      </c>
      <c r="U50" t="s">
        <v>670</v>
      </c>
      <c r="V50" s="218" t="s">
        <v>826</v>
      </c>
    </row>
    <row r="51" spans="1:22" x14ac:dyDescent="0.25">
      <c r="A51" s="1">
        <v>42</v>
      </c>
      <c r="C51" s="7" t="s">
        <v>336</v>
      </c>
      <c r="D51" s="178">
        <v>21245</v>
      </c>
      <c r="E51" s="7" t="s">
        <v>15</v>
      </c>
      <c r="F51" s="7" t="s">
        <v>337</v>
      </c>
      <c r="G51" s="7" t="s">
        <v>235</v>
      </c>
      <c r="H51" s="7" t="s">
        <v>35</v>
      </c>
      <c r="I51" s="7">
        <v>147188</v>
      </c>
      <c r="J51" s="7" t="s">
        <v>359</v>
      </c>
      <c r="K51" s="20">
        <v>8</v>
      </c>
      <c r="L51" s="20">
        <v>1</v>
      </c>
      <c r="M51" s="20">
        <v>19</v>
      </c>
      <c r="N51" s="8" t="s">
        <v>185</v>
      </c>
      <c r="O51" s="18">
        <v>44453</v>
      </c>
      <c r="P51" s="8" t="s">
        <v>173</v>
      </c>
      <c r="Q51" s="1">
        <f t="shared" si="0"/>
        <v>1</v>
      </c>
      <c r="R51" t="s">
        <v>699</v>
      </c>
      <c r="S51" s="1">
        <v>15</v>
      </c>
      <c r="T51" s="1">
        <v>147188</v>
      </c>
      <c r="U51" t="s">
        <v>823</v>
      </c>
      <c r="V51" s="218"/>
    </row>
    <row r="52" spans="1:22" x14ac:dyDescent="0.25">
      <c r="A52" s="1">
        <v>43</v>
      </c>
      <c r="C52" s="7" t="s">
        <v>336</v>
      </c>
      <c r="D52" s="178">
        <v>20880</v>
      </c>
      <c r="E52" s="7" t="s">
        <v>15</v>
      </c>
      <c r="F52" s="7" t="s">
        <v>337</v>
      </c>
      <c r="G52" s="7" t="s">
        <v>148</v>
      </c>
      <c r="H52" s="7" t="s">
        <v>35</v>
      </c>
      <c r="I52" s="7">
        <v>408659</v>
      </c>
      <c r="J52" s="7" t="s">
        <v>347</v>
      </c>
      <c r="K52" s="20">
        <v>8</v>
      </c>
      <c r="L52" s="20">
        <v>1</v>
      </c>
      <c r="M52" s="20">
        <v>12</v>
      </c>
      <c r="N52" s="8" t="s">
        <v>361</v>
      </c>
      <c r="O52" s="18">
        <v>44459</v>
      </c>
      <c r="P52" s="8" t="s">
        <v>173</v>
      </c>
      <c r="Q52" s="1">
        <f t="shared" si="0"/>
        <v>1</v>
      </c>
      <c r="R52" t="s">
        <v>699</v>
      </c>
      <c r="S52" s="1">
        <v>14</v>
      </c>
      <c r="T52" s="1">
        <v>196157</v>
      </c>
      <c r="U52" t="s">
        <v>670</v>
      </c>
      <c r="V52" s="218"/>
    </row>
    <row r="53" spans="1:22" x14ac:dyDescent="0.25">
      <c r="A53" s="1">
        <v>44</v>
      </c>
      <c r="C53" s="7" t="s">
        <v>336</v>
      </c>
      <c r="D53" s="17">
        <v>24456</v>
      </c>
      <c r="E53" s="7" t="s">
        <v>12</v>
      </c>
      <c r="F53" s="7" t="s">
        <v>349</v>
      </c>
      <c r="G53" s="7" t="s">
        <v>317</v>
      </c>
      <c r="H53" s="7" t="s">
        <v>35</v>
      </c>
      <c r="I53" s="7">
        <v>226488</v>
      </c>
      <c r="J53" s="7" t="s">
        <v>341</v>
      </c>
      <c r="K53" s="20">
        <v>16</v>
      </c>
      <c r="L53" s="20">
        <v>2</v>
      </c>
      <c r="M53" s="20">
        <v>8</v>
      </c>
      <c r="N53" s="8" t="s">
        <v>192</v>
      </c>
      <c r="O53" s="18">
        <v>44463</v>
      </c>
      <c r="P53" s="8" t="s">
        <v>173</v>
      </c>
      <c r="Q53" s="1">
        <f t="shared" si="0"/>
        <v>1</v>
      </c>
      <c r="R53" t="s">
        <v>699</v>
      </c>
      <c r="S53" s="1">
        <v>8</v>
      </c>
      <c r="T53" s="1">
        <v>375424</v>
      </c>
      <c r="U53" t="s">
        <v>813</v>
      </c>
      <c r="V53" s="218" t="s">
        <v>827</v>
      </c>
    </row>
    <row r="54" spans="1:22" x14ac:dyDescent="0.25">
      <c r="A54" s="1">
        <v>45</v>
      </c>
      <c r="C54" s="7" t="s">
        <v>336</v>
      </c>
      <c r="D54" s="17">
        <v>24877</v>
      </c>
      <c r="E54" s="7" t="s">
        <v>12</v>
      </c>
      <c r="F54" s="7" t="s">
        <v>349</v>
      </c>
      <c r="G54" s="7" t="s">
        <v>362</v>
      </c>
      <c r="H54" s="7" t="s">
        <v>72</v>
      </c>
      <c r="I54" s="7">
        <v>348492</v>
      </c>
      <c r="J54" s="7" t="s">
        <v>363</v>
      </c>
      <c r="K54" s="20">
        <v>24</v>
      </c>
      <c r="L54" s="20">
        <v>3</v>
      </c>
      <c r="M54" s="20">
        <v>5</v>
      </c>
      <c r="N54" s="8" t="s">
        <v>191</v>
      </c>
      <c r="O54" s="18">
        <v>44468</v>
      </c>
      <c r="P54" s="8" t="s">
        <v>173</v>
      </c>
      <c r="Q54" s="1">
        <f>IF(O54&lt;=$D$3,1,0)</f>
        <v>1</v>
      </c>
      <c r="R54" t="s">
        <v>699</v>
      </c>
      <c r="S54" s="1">
        <v>12</v>
      </c>
      <c r="T54" s="1">
        <v>375424</v>
      </c>
      <c r="U54" t="s">
        <v>813</v>
      </c>
      <c r="V54" s="218"/>
    </row>
    <row r="55" spans="1:22" x14ac:dyDescent="0.25">
      <c r="A55" s="1">
        <v>46</v>
      </c>
      <c r="C55" s="7" t="s">
        <v>336</v>
      </c>
      <c r="D55" s="17">
        <v>24403</v>
      </c>
      <c r="E55" s="7" t="s">
        <v>12</v>
      </c>
      <c r="F55" s="7" t="s">
        <v>349</v>
      </c>
      <c r="G55" s="7" t="s">
        <v>159</v>
      </c>
      <c r="H55" s="7" t="s">
        <v>35</v>
      </c>
      <c r="I55" s="7" t="s">
        <v>95</v>
      </c>
      <c r="J55" s="7" t="s">
        <v>96</v>
      </c>
      <c r="K55" s="20">
        <v>16</v>
      </c>
      <c r="L55" s="20">
        <v>2</v>
      </c>
      <c r="M55" s="20">
        <v>7</v>
      </c>
      <c r="N55" s="8" t="s">
        <v>198</v>
      </c>
      <c r="O55" s="18">
        <v>44470</v>
      </c>
      <c r="P55" s="8" t="s">
        <v>173</v>
      </c>
      <c r="Q55" s="1">
        <f t="shared" si="0"/>
        <v>1</v>
      </c>
      <c r="R55" t="s">
        <v>699</v>
      </c>
      <c r="S55" s="1">
        <v>7</v>
      </c>
      <c r="T55" s="1">
        <v>225108</v>
      </c>
      <c r="U55" t="s">
        <v>811</v>
      </c>
      <c r="V55" s="218" t="s">
        <v>828</v>
      </c>
    </row>
    <row r="56" spans="1:22" x14ac:dyDescent="0.25">
      <c r="A56" s="1">
        <v>47</v>
      </c>
      <c r="C56" s="7" t="s">
        <v>336</v>
      </c>
      <c r="D56" s="178">
        <v>21246</v>
      </c>
      <c r="E56" s="7" t="s">
        <v>15</v>
      </c>
      <c r="F56" s="7" t="s">
        <v>337</v>
      </c>
      <c r="G56" s="7" t="s">
        <v>235</v>
      </c>
      <c r="H56" s="7" t="s">
        <v>35</v>
      </c>
      <c r="I56" s="7">
        <v>147188</v>
      </c>
      <c r="J56" s="7" t="s">
        <v>359</v>
      </c>
      <c r="K56" s="20">
        <v>8</v>
      </c>
      <c r="L56" s="20">
        <v>1</v>
      </c>
      <c r="M56" s="20">
        <v>20</v>
      </c>
      <c r="N56" s="8" t="s">
        <v>204</v>
      </c>
      <c r="O56" s="18">
        <v>44475</v>
      </c>
      <c r="P56" s="8" t="s">
        <v>202</v>
      </c>
      <c r="Q56" s="1">
        <f>IF(O56&lt;=$D$3,1,0)</f>
        <v>1</v>
      </c>
      <c r="R56" t="s">
        <v>699</v>
      </c>
      <c r="S56" s="1">
        <v>9</v>
      </c>
      <c r="T56" s="1">
        <v>147188</v>
      </c>
      <c r="U56" t="s">
        <v>823</v>
      </c>
      <c r="V56" s="218"/>
    </row>
    <row r="57" spans="1:22" x14ac:dyDescent="0.25">
      <c r="A57" s="1">
        <v>48</v>
      </c>
      <c r="C57" s="7" t="s">
        <v>336</v>
      </c>
      <c r="D57" s="17">
        <v>24387</v>
      </c>
      <c r="E57" s="7" t="s">
        <v>12</v>
      </c>
      <c r="F57" s="7" t="s">
        <v>349</v>
      </c>
      <c r="G57" s="7" t="s">
        <v>68</v>
      </c>
      <c r="H57" s="7" t="s">
        <v>35</v>
      </c>
      <c r="I57" s="7">
        <v>486686</v>
      </c>
      <c r="J57" s="7" t="s">
        <v>356</v>
      </c>
      <c r="K57" s="20">
        <v>24</v>
      </c>
      <c r="L57" s="20">
        <v>3</v>
      </c>
      <c r="M57" s="20">
        <v>4</v>
      </c>
      <c r="N57" s="8" t="s">
        <v>327</v>
      </c>
      <c r="O57" s="18">
        <v>44475</v>
      </c>
      <c r="P57" s="8" t="s">
        <v>202</v>
      </c>
      <c r="Q57" s="1">
        <f t="shared" si="0"/>
        <v>1</v>
      </c>
      <c r="R57" t="s">
        <v>699</v>
      </c>
      <c r="S57" s="1">
        <v>7</v>
      </c>
      <c r="T57" s="1">
        <v>486686</v>
      </c>
      <c r="U57" t="s">
        <v>821</v>
      </c>
      <c r="V57" s="218"/>
    </row>
    <row r="58" spans="1:22" x14ac:dyDescent="0.25">
      <c r="A58" s="1">
        <v>49</v>
      </c>
      <c r="C58" s="7" t="s">
        <v>336</v>
      </c>
      <c r="D58" s="17">
        <v>24356</v>
      </c>
      <c r="E58" s="7" t="s">
        <v>12</v>
      </c>
      <c r="F58" s="7" t="s">
        <v>349</v>
      </c>
      <c r="G58" s="7" t="s">
        <v>171</v>
      </c>
      <c r="H58" s="7" t="s">
        <v>72</v>
      </c>
      <c r="I58" s="7">
        <v>332078</v>
      </c>
      <c r="J58" s="7" t="s">
        <v>364</v>
      </c>
      <c r="K58" s="20">
        <v>8</v>
      </c>
      <c r="L58" s="20">
        <v>1</v>
      </c>
      <c r="M58" s="20">
        <v>14</v>
      </c>
      <c r="N58" s="8" t="s">
        <v>209</v>
      </c>
      <c r="O58" s="18">
        <v>44483</v>
      </c>
      <c r="P58" s="8" t="s">
        <v>202</v>
      </c>
      <c r="Q58" s="1">
        <f t="shared" si="0"/>
        <v>1</v>
      </c>
      <c r="R58" t="s">
        <v>699</v>
      </c>
      <c r="S58" s="1">
        <v>15</v>
      </c>
      <c r="T58" s="1">
        <v>375424</v>
      </c>
      <c r="U58" t="s">
        <v>813</v>
      </c>
      <c r="V58" s="218"/>
    </row>
    <row r="59" spans="1:22" x14ac:dyDescent="0.25">
      <c r="A59" s="1">
        <v>50</v>
      </c>
      <c r="C59" s="7" t="s">
        <v>336</v>
      </c>
      <c r="D59" s="178">
        <v>20819</v>
      </c>
      <c r="E59" s="7" t="s">
        <v>15</v>
      </c>
      <c r="F59" s="7" t="s">
        <v>337</v>
      </c>
      <c r="G59" s="7" t="s">
        <v>302</v>
      </c>
      <c r="H59" s="7" t="s">
        <v>35</v>
      </c>
      <c r="I59" s="7">
        <v>196157</v>
      </c>
      <c r="J59" s="7" t="s">
        <v>338</v>
      </c>
      <c r="K59" s="20">
        <v>8</v>
      </c>
      <c r="L59" s="20">
        <v>1</v>
      </c>
      <c r="M59" s="20">
        <v>10</v>
      </c>
      <c r="N59" s="8" t="s">
        <v>211</v>
      </c>
      <c r="O59" s="18">
        <v>44484</v>
      </c>
      <c r="P59" s="8" t="s">
        <v>202</v>
      </c>
      <c r="Q59" s="1">
        <f t="shared" si="0"/>
        <v>1</v>
      </c>
      <c r="R59" t="s">
        <v>699</v>
      </c>
      <c r="S59" s="1">
        <v>10</v>
      </c>
      <c r="T59" s="1">
        <v>196157</v>
      </c>
      <c r="U59" t="s">
        <v>670</v>
      </c>
      <c r="V59" s="218" t="s">
        <v>829</v>
      </c>
    </row>
    <row r="60" spans="1:22" x14ac:dyDescent="0.25">
      <c r="A60" s="1">
        <v>51</v>
      </c>
      <c r="C60" s="7" t="s">
        <v>336</v>
      </c>
      <c r="D60" s="178">
        <v>21247</v>
      </c>
      <c r="E60" s="7" t="s">
        <v>15</v>
      </c>
      <c r="F60" s="7" t="s">
        <v>337</v>
      </c>
      <c r="G60" s="7" t="s">
        <v>235</v>
      </c>
      <c r="H60" s="7" t="s">
        <v>35</v>
      </c>
      <c r="I60" s="7">
        <v>147188</v>
      </c>
      <c r="J60" s="7" t="s">
        <v>359</v>
      </c>
      <c r="K60" s="20">
        <v>8</v>
      </c>
      <c r="L60" s="20">
        <v>1</v>
      </c>
      <c r="M60" s="20">
        <v>20</v>
      </c>
      <c r="N60" s="8" t="s">
        <v>215</v>
      </c>
      <c r="O60" s="18">
        <v>44489</v>
      </c>
      <c r="P60" s="8" t="s">
        <v>202</v>
      </c>
      <c r="Q60" s="1">
        <f t="shared" si="0"/>
        <v>1</v>
      </c>
      <c r="R60" t="s">
        <v>699</v>
      </c>
      <c r="S60" s="1">
        <v>7</v>
      </c>
      <c r="T60" s="1">
        <v>147188</v>
      </c>
      <c r="U60" t="s">
        <v>823</v>
      </c>
      <c r="V60" s="218"/>
    </row>
    <row r="61" spans="1:22" x14ac:dyDescent="0.25">
      <c r="A61" s="1">
        <v>52</v>
      </c>
      <c r="C61" s="7" t="s">
        <v>336</v>
      </c>
      <c r="D61" s="178">
        <v>21248</v>
      </c>
      <c r="E61" s="7" t="s">
        <v>15</v>
      </c>
      <c r="F61" s="7" t="s">
        <v>337</v>
      </c>
      <c r="G61" s="7" t="s">
        <v>235</v>
      </c>
      <c r="H61" s="7" t="s">
        <v>35</v>
      </c>
      <c r="I61" s="7">
        <v>147188</v>
      </c>
      <c r="J61" s="7" t="s">
        <v>359</v>
      </c>
      <c r="K61" s="20">
        <v>8</v>
      </c>
      <c r="L61" s="20">
        <v>1</v>
      </c>
      <c r="M61" s="20">
        <v>20</v>
      </c>
      <c r="N61" s="8" t="s">
        <v>365</v>
      </c>
      <c r="O61" s="18">
        <v>44504</v>
      </c>
      <c r="P61" s="8" t="s">
        <v>227</v>
      </c>
      <c r="Q61" s="1">
        <v>1</v>
      </c>
      <c r="R61" t="s">
        <v>699</v>
      </c>
      <c r="S61" s="1">
        <v>16</v>
      </c>
      <c r="T61" s="1">
        <v>147188</v>
      </c>
      <c r="U61" t="s">
        <v>823</v>
      </c>
      <c r="V61" s="218"/>
    </row>
    <row r="62" spans="1:22" x14ac:dyDescent="0.25">
      <c r="A62" s="1">
        <v>53</v>
      </c>
      <c r="C62" s="7" t="s">
        <v>336</v>
      </c>
      <c r="D62" s="17">
        <v>24388</v>
      </c>
      <c r="E62" s="7" t="s">
        <v>12</v>
      </c>
      <c r="F62" s="7" t="s">
        <v>349</v>
      </c>
      <c r="G62" s="7" t="s">
        <v>68</v>
      </c>
      <c r="H62" s="7" t="s">
        <v>35</v>
      </c>
      <c r="I62" s="7">
        <v>486686</v>
      </c>
      <c r="J62" s="7" t="s">
        <v>356</v>
      </c>
      <c r="K62" s="20">
        <v>24</v>
      </c>
      <c r="L62" s="20">
        <v>3</v>
      </c>
      <c r="M62" s="20">
        <v>8</v>
      </c>
      <c r="N62" s="8" t="s">
        <v>230</v>
      </c>
      <c r="O62" s="18">
        <v>44510</v>
      </c>
      <c r="P62" s="8" t="s">
        <v>227</v>
      </c>
      <c r="Q62" s="1">
        <v>1</v>
      </c>
      <c r="R62" t="s">
        <v>699</v>
      </c>
      <c r="S62" s="1">
        <v>9</v>
      </c>
      <c r="T62" s="1">
        <v>486686</v>
      </c>
      <c r="U62" t="s">
        <v>821</v>
      </c>
      <c r="V62" s="218"/>
    </row>
    <row r="63" spans="1:22" x14ac:dyDescent="0.25">
      <c r="A63" s="1">
        <v>54</v>
      </c>
      <c r="C63" s="7" t="s">
        <v>336</v>
      </c>
      <c r="D63" s="178">
        <v>21249</v>
      </c>
      <c r="E63" s="7" t="s">
        <v>15</v>
      </c>
      <c r="F63" s="7" t="s">
        <v>337</v>
      </c>
      <c r="G63" s="7" t="s">
        <v>235</v>
      </c>
      <c r="H63" s="7" t="s">
        <v>35</v>
      </c>
      <c r="I63" s="7">
        <v>147188</v>
      </c>
      <c r="J63" s="7" t="s">
        <v>359</v>
      </c>
      <c r="K63" s="20">
        <v>8</v>
      </c>
      <c r="L63" s="20">
        <v>1</v>
      </c>
      <c r="M63" s="20">
        <v>19</v>
      </c>
      <c r="N63" s="8" t="s">
        <v>238</v>
      </c>
      <c r="O63" s="8" t="s">
        <v>238</v>
      </c>
      <c r="P63" s="8" t="s">
        <v>227</v>
      </c>
      <c r="Q63" s="1">
        <v>1</v>
      </c>
      <c r="R63" t="s">
        <v>699</v>
      </c>
      <c r="S63" s="1">
        <v>21</v>
      </c>
      <c r="T63" s="1">
        <v>147188</v>
      </c>
      <c r="U63" t="s">
        <v>823</v>
      </c>
    </row>
    <row r="81" spans="7:7" x14ac:dyDescent="0.25">
      <c r="G81" s="1"/>
    </row>
  </sheetData>
  <autoFilter ref="A7:V63" xr:uid="{00000000-0009-0000-0000-00000A000000}">
    <filterColumn colId="17">
      <filters>
        <filter val="Realizado"/>
      </filters>
    </filterColumn>
  </autoFilter>
  <sortState xmlns:xlrd2="http://schemas.microsoft.com/office/spreadsheetml/2017/richdata2" ref="A8:P63">
    <sortCondition ref="O8:O63"/>
  </sortState>
  <phoneticPr fontId="23" type="noConversion"/>
  <pageMargins left="0.7" right="0.7" top="0.75" bottom="0.75" header="0.3" footer="0.3"/>
  <pageSetup paperSize="9" orientation="portrait" horizontalDpi="4294967294" verticalDpi="4294967294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Catalogo!$B$5:$B$6</xm:f>
          </x14:formula1>
          <xm:sqref>R8:R63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theme="9" tint="0.79998168889431442"/>
  </sheetPr>
  <dimension ref="A1:V47"/>
  <sheetViews>
    <sheetView zoomScaleNormal="100" workbookViewId="0">
      <pane xSplit="4" ySplit="7" topLeftCell="E13" activePane="bottomRight" state="frozenSplit"/>
      <selection pane="topRight" activeCell="G1" sqref="G1"/>
      <selection pane="bottomLeft" activeCell="D19" sqref="D19"/>
      <selection pane="bottomRight" activeCell="H53" sqref="H53"/>
    </sheetView>
  </sheetViews>
  <sheetFormatPr baseColWidth="10" defaultColWidth="11.42578125" defaultRowHeight="15" x14ac:dyDescent="0.25"/>
  <cols>
    <col min="1" max="1" width="6.85546875" customWidth="1"/>
    <col min="2" max="2" width="0" hidden="1" customWidth="1"/>
    <col min="3" max="3" width="9.85546875" style="1" customWidth="1"/>
    <col min="5" max="5" width="38.7109375" customWidth="1"/>
    <col min="6" max="6" width="48.85546875" customWidth="1"/>
    <col min="7" max="7" width="45.5703125" customWidth="1"/>
    <col min="8" max="8" width="14.5703125" customWidth="1"/>
    <col min="9" max="9" width="13.140625" style="1" hidden="1" customWidth="1"/>
    <col min="10" max="10" width="29.7109375" hidden="1" customWidth="1"/>
    <col min="11" max="11" width="10.5703125" style="1" hidden="1" customWidth="1"/>
    <col min="12" max="12" width="7.42578125" style="1" hidden="1" customWidth="1"/>
    <col min="13" max="13" width="11.42578125" style="1" hidden="1" customWidth="1"/>
    <col min="16" max="16" width="10" customWidth="1"/>
    <col min="17" max="17" width="8.7109375" customWidth="1"/>
    <col min="18" max="18" width="13.42578125" style="1" customWidth="1"/>
    <col min="19" max="19" width="14.140625" style="1" customWidth="1"/>
    <col min="20" max="20" width="10.140625" customWidth="1"/>
    <col min="21" max="21" width="38.7109375" customWidth="1"/>
    <col min="22" max="22" width="17.7109375" customWidth="1"/>
  </cols>
  <sheetData>
    <row r="1" spans="1:22" s="28" customFormat="1" ht="14.25" customHeight="1" x14ac:dyDescent="0.3">
      <c r="B1" s="29"/>
      <c r="C1" s="29"/>
      <c r="D1" s="29"/>
      <c r="G1" s="34" t="s">
        <v>713</v>
      </c>
      <c r="H1" s="29">
        <v>5</v>
      </c>
      <c r="I1" s="29"/>
      <c r="J1" s="29"/>
      <c r="K1" s="29"/>
      <c r="L1" s="29"/>
      <c r="M1" s="29"/>
      <c r="O1" s="31"/>
      <c r="P1" s="32"/>
      <c r="Q1" s="32"/>
      <c r="R1" s="32"/>
      <c r="S1" s="29"/>
      <c r="T1" s="29"/>
    </row>
    <row r="2" spans="1:22" s="28" customFormat="1" x14ac:dyDescent="0.3">
      <c r="B2" s="29"/>
      <c r="C2" s="32"/>
      <c r="D2" s="29"/>
      <c r="E2" s="34" t="s">
        <v>715</v>
      </c>
      <c r="F2" s="29">
        <f>COUNT(D8:D195)</f>
        <v>40</v>
      </c>
      <c r="G2" s="34" t="s">
        <v>716</v>
      </c>
      <c r="H2" s="29">
        <f>SUM(M8:M12)</f>
        <v>46</v>
      </c>
      <c r="I2" s="32"/>
      <c r="J2" s="29"/>
      <c r="K2" s="29"/>
      <c r="L2" s="29"/>
      <c r="M2" s="29"/>
      <c r="O2" s="35"/>
      <c r="P2" s="29"/>
      <c r="Q2" s="32"/>
      <c r="R2" s="32"/>
      <c r="S2" s="29"/>
      <c r="T2" s="29"/>
    </row>
    <row r="3" spans="1:22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SUM(M8:M195)</f>
        <v>358</v>
      </c>
      <c r="G3" s="34" t="s">
        <v>719</v>
      </c>
      <c r="H3" s="29">
        <f>COUNTIFS($Q$13:$Q$195,1,$R$13:$R$195,"Realizado")</f>
        <v>30</v>
      </c>
      <c r="I3" s="32"/>
      <c r="J3" s="29"/>
      <c r="K3" s="29"/>
      <c r="L3" s="29"/>
      <c r="M3" s="29"/>
      <c r="O3" s="35"/>
      <c r="P3" s="29"/>
      <c r="Q3" s="29"/>
      <c r="R3" s="29"/>
      <c r="S3" s="29"/>
      <c r="T3" s="29"/>
    </row>
    <row r="4" spans="1:22" s="28" customFormat="1" x14ac:dyDescent="0.3">
      <c r="B4" s="29"/>
      <c r="C4" s="32"/>
      <c r="D4" s="29"/>
      <c r="E4" s="34" t="s">
        <v>721</v>
      </c>
      <c r="F4" s="29">
        <f>COUNTIF($Q$13:$Q$195,1)</f>
        <v>35</v>
      </c>
      <c r="G4" s="34" t="s">
        <v>722</v>
      </c>
      <c r="H4" s="29">
        <f>SUMIF($R$13:$R$195,"Realizado",$S$13:$S$195)</f>
        <v>203</v>
      </c>
      <c r="I4" s="32"/>
      <c r="J4" s="29"/>
      <c r="K4" s="29"/>
      <c r="L4" s="29"/>
      <c r="M4" s="29"/>
      <c r="O4" s="35"/>
      <c r="P4" s="29"/>
      <c r="Q4" s="29"/>
      <c r="R4" s="29"/>
      <c r="S4" s="29"/>
      <c r="T4" s="29"/>
    </row>
    <row r="5" spans="1:22" s="28" customFormat="1" x14ac:dyDescent="0.3">
      <c r="B5" s="29"/>
      <c r="C5" s="32"/>
      <c r="D5" s="29"/>
      <c r="E5" s="34" t="s">
        <v>724</v>
      </c>
      <c r="F5" s="29">
        <f>SUMIF(Q13:Q195,1,M13:M195)</f>
        <v>312</v>
      </c>
      <c r="G5" s="34" t="s">
        <v>725</v>
      </c>
      <c r="H5" s="29">
        <f>COUNTIFS($Q$13:$Q$195,1,$R$13:$R$195,"Cancelado")</f>
        <v>5</v>
      </c>
      <c r="I5" s="32"/>
      <c r="J5" s="29"/>
      <c r="K5" s="29"/>
      <c r="L5" s="29"/>
      <c r="M5" s="29"/>
      <c r="O5" s="35"/>
      <c r="P5" s="29"/>
      <c r="Q5" s="29"/>
      <c r="R5" s="29"/>
      <c r="S5" s="29"/>
      <c r="T5" s="29"/>
    </row>
    <row r="6" spans="1:22" x14ac:dyDescent="0.25">
      <c r="B6" s="1"/>
      <c r="D6" s="1"/>
      <c r="J6" s="1"/>
      <c r="O6" s="19"/>
      <c r="P6" s="1"/>
      <c r="Q6" s="1"/>
      <c r="T6" s="1"/>
    </row>
    <row r="7" spans="1:22" s="3" customFormat="1" ht="31.5" x14ac:dyDescent="0.25">
      <c r="A7" s="4" t="s">
        <v>20</v>
      </c>
      <c r="B7" s="4" t="s">
        <v>21</v>
      </c>
      <c r="C7" s="4" t="s">
        <v>2</v>
      </c>
      <c r="D7" s="4" t="s">
        <v>22</v>
      </c>
      <c r="E7" s="4" t="s">
        <v>23</v>
      </c>
      <c r="F7" s="4" t="s">
        <v>24</v>
      </c>
      <c r="G7" s="4" t="s">
        <v>25</v>
      </c>
      <c r="H7" s="5" t="s">
        <v>26</v>
      </c>
      <c r="I7" s="5" t="s">
        <v>27</v>
      </c>
      <c r="J7" s="5" t="s">
        <v>28</v>
      </c>
      <c r="K7" s="39" t="s">
        <v>29</v>
      </c>
      <c r="L7" s="39" t="s">
        <v>30</v>
      </c>
      <c r="M7" s="39" t="s">
        <v>31</v>
      </c>
      <c r="N7" s="5" t="s">
        <v>0</v>
      </c>
      <c r="O7" s="5" t="s">
        <v>19</v>
      </c>
      <c r="P7" s="5" t="s">
        <v>17</v>
      </c>
      <c r="Q7" s="4" t="s">
        <v>516</v>
      </c>
      <c r="R7" s="5" t="s">
        <v>727</v>
      </c>
      <c r="S7" s="4" t="s">
        <v>523</v>
      </c>
      <c r="T7" s="4" t="s">
        <v>728</v>
      </c>
      <c r="U7" s="4" t="s">
        <v>28</v>
      </c>
      <c r="V7" s="4" t="s">
        <v>599</v>
      </c>
    </row>
    <row r="8" spans="1:22" hidden="1" x14ac:dyDescent="0.25">
      <c r="A8" s="192">
        <v>1</v>
      </c>
      <c r="B8" s="193"/>
      <c r="C8" s="189" t="s">
        <v>367</v>
      </c>
      <c r="D8" s="188">
        <v>21602</v>
      </c>
      <c r="E8" s="194" t="s">
        <v>15</v>
      </c>
      <c r="F8" s="194" t="s">
        <v>74</v>
      </c>
      <c r="G8" s="194" t="s">
        <v>199</v>
      </c>
      <c r="H8" s="194" t="s">
        <v>35</v>
      </c>
      <c r="I8" s="189">
        <v>203860</v>
      </c>
      <c r="J8" s="194" t="s">
        <v>368</v>
      </c>
      <c r="K8" s="189">
        <v>8</v>
      </c>
      <c r="L8" s="189">
        <v>1</v>
      </c>
      <c r="M8" s="189">
        <v>6</v>
      </c>
      <c r="N8" s="189" t="s">
        <v>340</v>
      </c>
      <c r="O8" s="195">
        <v>44266</v>
      </c>
      <c r="P8" s="189" t="s">
        <v>50</v>
      </c>
      <c r="Q8" s="192">
        <f>IF(O8&lt;=$D$3,1,0)</f>
        <v>1</v>
      </c>
      <c r="R8" s="192" t="s">
        <v>701</v>
      </c>
      <c r="S8" s="192"/>
      <c r="T8" s="193"/>
      <c r="U8" s="193"/>
    </row>
    <row r="9" spans="1:22" hidden="1" x14ac:dyDescent="0.25">
      <c r="A9" s="192">
        <v>2</v>
      </c>
      <c r="B9" s="193"/>
      <c r="C9" s="189" t="s">
        <v>367</v>
      </c>
      <c r="D9" s="188">
        <v>23655</v>
      </c>
      <c r="E9" s="194" t="s">
        <v>15</v>
      </c>
      <c r="F9" s="194" t="s">
        <v>369</v>
      </c>
      <c r="G9" s="194" t="s">
        <v>105</v>
      </c>
      <c r="H9" s="194" t="s">
        <v>35</v>
      </c>
      <c r="I9" s="189">
        <v>457409</v>
      </c>
      <c r="J9" s="194" t="s">
        <v>370</v>
      </c>
      <c r="K9" s="189">
        <v>16</v>
      </c>
      <c r="L9" s="189">
        <v>2</v>
      </c>
      <c r="M9" s="189">
        <v>6</v>
      </c>
      <c r="N9" s="189" t="s">
        <v>266</v>
      </c>
      <c r="O9" s="195">
        <v>44292</v>
      </c>
      <c r="P9" s="189" t="s">
        <v>60</v>
      </c>
      <c r="Q9" s="192">
        <f t="shared" ref="Q9:Q47" si="0">IF(O9&lt;=$D$3,1,0)</f>
        <v>1</v>
      </c>
      <c r="R9" s="192" t="s">
        <v>701</v>
      </c>
      <c r="S9" s="192"/>
      <c r="T9" s="193"/>
      <c r="U9" s="193"/>
    </row>
    <row r="10" spans="1:22" hidden="1" x14ac:dyDescent="0.25">
      <c r="A10" s="192">
        <v>3</v>
      </c>
      <c r="B10" s="193"/>
      <c r="C10" s="189" t="s">
        <v>367</v>
      </c>
      <c r="D10" s="188">
        <v>23656</v>
      </c>
      <c r="E10" s="194" t="s">
        <v>15</v>
      </c>
      <c r="F10" s="194" t="s">
        <v>369</v>
      </c>
      <c r="G10" s="194" t="s">
        <v>105</v>
      </c>
      <c r="H10" s="194" t="s">
        <v>35</v>
      </c>
      <c r="I10" s="189">
        <v>457409</v>
      </c>
      <c r="J10" s="194" t="s">
        <v>370</v>
      </c>
      <c r="K10" s="189">
        <v>16</v>
      </c>
      <c r="L10" s="189">
        <v>2</v>
      </c>
      <c r="M10" s="189">
        <v>8</v>
      </c>
      <c r="N10" s="189" t="s">
        <v>371</v>
      </c>
      <c r="O10" s="195">
        <v>44294</v>
      </c>
      <c r="P10" s="189" t="s">
        <v>60</v>
      </c>
      <c r="Q10" s="192">
        <f t="shared" si="0"/>
        <v>1</v>
      </c>
      <c r="R10" s="192" t="s">
        <v>701</v>
      </c>
      <c r="S10" s="192"/>
      <c r="T10" s="193"/>
      <c r="U10" s="193"/>
    </row>
    <row r="11" spans="1:22" hidden="1" x14ac:dyDescent="0.25">
      <c r="A11" s="192">
        <v>4</v>
      </c>
      <c r="B11" s="193"/>
      <c r="C11" s="189" t="s">
        <v>367</v>
      </c>
      <c r="D11" s="188">
        <v>23717</v>
      </c>
      <c r="E11" s="194" t="s">
        <v>15</v>
      </c>
      <c r="F11" s="194" t="s">
        <v>369</v>
      </c>
      <c r="G11" s="194" t="s">
        <v>148</v>
      </c>
      <c r="H11" s="194" t="s">
        <v>35</v>
      </c>
      <c r="I11" s="189">
        <v>457409</v>
      </c>
      <c r="J11" s="194" t="s">
        <v>370</v>
      </c>
      <c r="K11" s="189">
        <v>8</v>
      </c>
      <c r="L11" s="189">
        <v>1</v>
      </c>
      <c r="M11" s="189">
        <v>12</v>
      </c>
      <c r="N11" s="189" t="s">
        <v>372</v>
      </c>
      <c r="O11" s="195">
        <v>44295</v>
      </c>
      <c r="P11" s="189" t="s">
        <v>60</v>
      </c>
      <c r="Q11" s="192">
        <f t="shared" si="0"/>
        <v>1</v>
      </c>
      <c r="R11" s="192" t="s">
        <v>701</v>
      </c>
      <c r="S11" s="192"/>
      <c r="T11" s="193"/>
      <c r="U11" s="193"/>
    </row>
    <row r="12" spans="1:22" hidden="1" x14ac:dyDescent="0.25">
      <c r="A12" s="192">
        <v>5</v>
      </c>
      <c r="B12" s="193"/>
      <c r="C12" s="189" t="s">
        <v>367</v>
      </c>
      <c r="D12" s="188">
        <v>24553</v>
      </c>
      <c r="E12" s="194" t="s">
        <v>15</v>
      </c>
      <c r="F12" s="194" t="s">
        <v>369</v>
      </c>
      <c r="G12" s="194" t="s">
        <v>264</v>
      </c>
      <c r="H12" s="194" t="s">
        <v>35</v>
      </c>
      <c r="I12" s="189">
        <v>457409</v>
      </c>
      <c r="J12" s="194" t="s">
        <v>370</v>
      </c>
      <c r="K12" s="189">
        <v>8</v>
      </c>
      <c r="L12" s="189">
        <v>1</v>
      </c>
      <c r="M12" s="189">
        <v>14</v>
      </c>
      <c r="N12" s="189" t="s">
        <v>344</v>
      </c>
      <c r="O12" s="195">
        <v>44298</v>
      </c>
      <c r="P12" s="189" t="s">
        <v>60</v>
      </c>
      <c r="Q12" s="192">
        <f t="shared" si="0"/>
        <v>1</v>
      </c>
      <c r="R12" s="192" t="s">
        <v>701</v>
      </c>
      <c r="S12" s="192"/>
      <c r="T12" s="193"/>
      <c r="U12" s="193"/>
    </row>
    <row r="13" spans="1:22" s="110" customFormat="1" x14ac:dyDescent="0.25">
      <c r="A13" s="196">
        <v>6</v>
      </c>
      <c r="B13" s="197"/>
      <c r="C13" s="191" t="s">
        <v>367</v>
      </c>
      <c r="D13" s="190">
        <v>23244</v>
      </c>
      <c r="E13" s="198" t="s">
        <v>15</v>
      </c>
      <c r="F13" s="198" t="s">
        <v>74</v>
      </c>
      <c r="G13" s="198" t="s">
        <v>34</v>
      </c>
      <c r="H13" s="198" t="s">
        <v>35</v>
      </c>
      <c r="I13" s="191">
        <v>352720</v>
      </c>
      <c r="J13" s="198" t="s">
        <v>373</v>
      </c>
      <c r="K13" s="191">
        <v>8</v>
      </c>
      <c r="L13" s="191">
        <v>1</v>
      </c>
      <c r="M13" s="191">
        <v>4</v>
      </c>
      <c r="N13" s="199">
        <v>44278</v>
      </c>
      <c r="O13" s="199">
        <v>44278</v>
      </c>
      <c r="P13" s="191" t="s">
        <v>50</v>
      </c>
      <c r="Q13" s="196">
        <f>IF(O13&lt;=$D$3,1,0)</f>
        <v>1</v>
      </c>
      <c r="R13" s="196" t="s">
        <v>699</v>
      </c>
      <c r="S13" s="196">
        <v>3</v>
      </c>
      <c r="T13" s="197">
        <v>352720</v>
      </c>
      <c r="U13" s="197" t="s">
        <v>830</v>
      </c>
    </row>
    <row r="14" spans="1:22" x14ac:dyDescent="0.25">
      <c r="A14" s="210">
        <v>7</v>
      </c>
      <c r="B14" s="211"/>
      <c r="C14" s="212" t="s">
        <v>367</v>
      </c>
      <c r="D14" s="213">
        <v>24460</v>
      </c>
      <c r="E14" s="176" t="s">
        <v>12</v>
      </c>
      <c r="F14" s="176" t="s">
        <v>349</v>
      </c>
      <c r="G14" s="176" t="s">
        <v>148</v>
      </c>
      <c r="H14" s="176" t="s">
        <v>35</v>
      </c>
      <c r="I14" s="212">
        <v>317687</v>
      </c>
      <c r="J14" s="176" t="s">
        <v>374</v>
      </c>
      <c r="K14" s="212">
        <v>8</v>
      </c>
      <c r="L14" s="212">
        <v>1</v>
      </c>
      <c r="M14" s="212">
        <v>12</v>
      </c>
      <c r="N14" s="212" t="s">
        <v>67</v>
      </c>
      <c r="O14" s="214">
        <v>44305</v>
      </c>
      <c r="P14" s="212" t="s">
        <v>60</v>
      </c>
      <c r="Q14" s="210">
        <f t="shared" si="0"/>
        <v>1</v>
      </c>
      <c r="R14" s="210" t="s">
        <v>699</v>
      </c>
      <c r="S14" s="210">
        <v>7</v>
      </c>
      <c r="T14" s="211">
        <v>317687</v>
      </c>
      <c r="U14" s="211" t="s">
        <v>831</v>
      </c>
    </row>
    <row r="15" spans="1:22" x14ac:dyDescent="0.25">
      <c r="A15" s="210">
        <v>8</v>
      </c>
      <c r="B15" s="211"/>
      <c r="C15" s="212" t="s">
        <v>367</v>
      </c>
      <c r="D15" s="213">
        <v>24432</v>
      </c>
      <c r="E15" s="176" t="s">
        <v>12</v>
      </c>
      <c r="F15" s="176" t="s">
        <v>349</v>
      </c>
      <c r="G15" s="176" t="s">
        <v>294</v>
      </c>
      <c r="H15" s="176" t="s">
        <v>35</v>
      </c>
      <c r="I15" s="212">
        <v>203860</v>
      </c>
      <c r="J15" s="176" t="s">
        <v>368</v>
      </c>
      <c r="K15" s="212">
        <v>8</v>
      </c>
      <c r="L15" s="212">
        <v>1</v>
      </c>
      <c r="M15" s="212">
        <v>9</v>
      </c>
      <c r="N15" s="212" t="s">
        <v>375</v>
      </c>
      <c r="O15" s="214">
        <v>44306</v>
      </c>
      <c r="P15" s="212" t="s">
        <v>60</v>
      </c>
      <c r="Q15" s="210">
        <f t="shared" si="0"/>
        <v>1</v>
      </c>
      <c r="R15" s="210" t="s">
        <v>699</v>
      </c>
      <c r="S15" s="210">
        <v>6</v>
      </c>
      <c r="T15" s="211">
        <v>203860</v>
      </c>
      <c r="U15" s="211" t="s">
        <v>832</v>
      </c>
    </row>
    <row r="16" spans="1:22" x14ac:dyDescent="0.25">
      <c r="A16" s="210">
        <v>9</v>
      </c>
      <c r="B16" s="211"/>
      <c r="C16" s="212" t="s">
        <v>367</v>
      </c>
      <c r="D16" s="213">
        <v>26479</v>
      </c>
      <c r="E16" s="176" t="s">
        <v>6</v>
      </c>
      <c r="F16" s="176" t="s">
        <v>352</v>
      </c>
      <c r="G16" s="176" t="s">
        <v>294</v>
      </c>
      <c r="H16" s="176" t="s">
        <v>35</v>
      </c>
      <c r="I16" s="212">
        <v>312224</v>
      </c>
      <c r="J16" s="176" t="s">
        <v>376</v>
      </c>
      <c r="K16" s="212">
        <v>8</v>
      </c>
      <c r="L16" s="212">
        <v>1</v>
      </c>
      <c r="M16" s="212">
        <v>11</v>
      </c>
      <c r="N16" s="212" t="s">
        <v>377</v>
      </c>
      <c r="O16" s="214">
        <v>44312</v>
      </c>
      <c r="P16" s="212" t="s">
        <v>60</v>
      </c>
      <c r="Q16" s="210">
        <f t="shared" si="0"/>
        <v>1</v>
      </c>
      <c r="R16" s="210" t="s">
        <v>699</v>
      </c>
      <c r="S16" s="210">
        <v>8</v>
      </c>
      <c r="T16" s="211">
        <v>312224</v>
      </c>
      <c r="U16" s="211" t="s">
        <v>833</v>
      </c>
    </row>
    <row r="17" spans="1:22" x14ac:dyDescent="0.25">
      <c r="A17" s="210">
        <v>10</v>
      </c>
      <c r="B17" s="211"/>
      <c r="C17" s="212" t="s">
        <v>367</v>
      </c>
      <c r="D17" s="213">
        <v>26774</v>
      </c>
      <c r="E17" s="176" t="s">
        <v>6</v>
      </c>
      <c r="F17" s="176" t="s">
        <v>352</v>
      </c>
      <c r="G17" s="176" t="s">
        <v>148</v>
      </c>
      <c r="H17" s="176" t="s">
        <v>35</v>
      </c>
      <c r="I17" s="212">
        <v>457409</v>
      </c>
      <c r="J17" s="176" t="s">
        <v>370</v>
      </c>
      <c r="K17" s="212">
        <v>8</v>
      </c>
      <c r="L17" s="212">
        <v>1</v>
      </c>
      <c r="M17" s="212">
        <v>8</v>
      </c>
      <c r="N17" s="212" t="s">
        <v>70</v>
      </c>
      <c r="O17" s="214">
        <v>44315</v>
      </c>
      <c r="P17" s="212" t="s">
        <v>60</v>
      </c>
      <c r="Q17" s="210">
        <f t="shared" si="0"/>
        <v>1</v>
      </c>
      <c r="R17" s="210" t="s">
        <v>699</v>
      </c>
      <c r="S17" s="210">
        <v>5</v>
      </c>
      <c r="T17" s="211">
        <v>457409</v>
      </c>
      <c r="U17" s="211" t="s">
        <v>834</v>
      </c>
    </row>
    <row r="18" spans="1:22" x14ac:dyDescent="0.25">
      <c r="A18" s="210">
        <v>11</v>
      </c>
      <c r="B18" s="211"/>
      <c r="C18" s="212" t="s">
        <v>367</v>
      </c>
      <c r="D18" s="213">
        <v>26775</v>
      </c>
      <c r="E18" s="176" t="s">
        <v>6</v>
      </c>
      <c r="F18" s="176" t="s">
        <v>352</v>
      </c>
      <c r="G18" s="176" t="s">
        <v>148</v>
      </c>
      <c r="H18" s="176" t="s">
        <v>35</v>
      </c>
      <c r="I18" s="212">
        <v>457409</v>
      </c>
      <c r="J18" s="176" t="s">
        <v>370</v>
      </c>
      <c r="K18" s="212">
        <v>8</v>
      </c>
      <c r="L18" s="212">
        <v>1</v>
      </c>
      <c r="M18" s="212">
        <v>8</v>
      </c>
      <c r="N18" s="212" t="s">
        <v>267</v>
      </c>
      <c r="O18" s="214">
        <v>44316</v>
      </c>
      <c r="P18" s="212" t="s">
        <v>60</v>
      </c>
      <c r="Q18" s="210">
        <f t="shared" si="0"/>
        <v>1</v>
      </c>
      <c r="R18" s="210" t="s">
        <v>699</v>
      </c>
      <c r="S18" s="210">
        <v>5</v>
      </c>
      <c r="T18" s="211">
        <v>457409</v>
      </c>
      <c r="U18" s="211" t="s">
        <v>834</v>
      </c>
    </row>
    <row r="19" spans="1:22" x14ac:dyDescent="0.25">
      <c r="A19" s="210">
        <v>12</v>
      </c>
      <c r="B19" s="211"/>
      <c r="C19" s="212" t="s">
        <v>367</v>
      </c>
      <c r="D19" s="213">
        <v>26743</v>
      </c>
      <c r="E19" s="176" t="s">
        <v>6</v>
      </c>
      <c r="F19" s="176" t="s">
        <v>352</v>
      </c>
      <c r="G19" s="176" t="s">
        <v>264</v>
      </c>
      <c r="H19" s="176" t="s">
        <v>35</v>
      </c>
      <c r="I19" s="212">
        <v>203860</v>
      </c>
      <c r="J19" s="176" t="s">
        <v>368</v>
      </c>
      <c r="K19" s="212">
        <v>8</v>
      </c>
      <c r="L19" s="212">
        <v>1</v>
      </c>
      <c r="M19" s="212">
        <v>7</v>
      </c>
      <c r="N19" s="212" t="s">
        <v>378</v>
      </c>
      <c r="O19" s="214">
        <v>44323</v>
      </c>
      <c r="P19" s="212" t="s">
        <v>77</v>
      </c>
      <c r="Q19" s="210">
        <f t="shared" si="0"/>
        <v>1</v>
      </c>
      <c r="R19" s="210" t="s">
        <v>699</v>
      </c>
      <c r="S19" s="210">
        <v>5</v>
      </c>
      <c r="T19" s="211">
        <v>203860</v>
      </c>
      <c r="U19" s="211" t="s">
        <v>832</v>
      </c>
    </row>
    <row r="20" spans="1:22" hidden="1" x14ac:dyDescent="0.25">
      <c r="A20" s="210">
        <v>13</v>
      </c>
      <c r="B20" s="211"/>
      <c r="C20" s="212" t="s">
        <v>367</v>
      </c>
      <c r="D20" s="213">
        <v>26540</v>
      </c>
      <c r="E20" s="176" t="s">
        <v>6</v>
      </c>
      <c r="F20" s="176" t="s">
        <v>352</v>
      </c>
      <c r="G20" s="176" t="s">
        <v>346</v>
      </c>
      <c r="H20" s="176" t="s">
        <v>35</v>
      </c>
      <c r="I20" s="212">
        <v>124389</v>
      </c>
      <c r="J20" s="176" t="s">
        <v>379</v>
      </c>
      <c r="K20" s="212">
        <v>16</v>
      </c>
      <c r="L20" s="212">
        <v>2</v>
      </c>
      <c r="M20" s="212">
        <v>11</v>
      </c>
      <c r="N20" s="212" t="s">
        <v>80</v>
      </c>
      <c r="O20" s="214">
        <v>44328</v>
      </c>
      <c r="P20" s="212" t="s">
        <v>77</v>
      </c>
      <c r="Q20" s="210">
        <f t="shared" si="0"/>
        <v>1</v>
      </c>
      <c r="R20" s="15" t="s">
        <v>701</v>
      </c>
      <c r="S20" s="210"/>
      <c r="T20" s="211"/>
      <c r="U20" s="211"/>
      <c r="V20" s="16" t="s">
        <v>835</v>
      </c>
    </row>
    <row r="21" spans="1:22" x14ac:dyDescent="0.25">
      <c r="A21" s="210">
        <v>14</v>
      </c>
      <c r="B21" s="211"/>
      <c r="C21" s="212" t="s">
        <v>367</v>
      </c>
      <c r="D21" s="213">
        <v>24473</v>
      </c>
      <c r="E21" s="176" t="s">
        <v>12</v>
      </c>
      <c r="F21" s="176" t="s">
        <v>349</v>
      </c>
      <c r="G21" s="176" t="s">
        <v>40</v>
      </c>
      <c r="H21" s="176" t="s">
        <v>35</v>
      </c>
      <c r="I21" s="212">
        <v>352720</v>
      </c>
      <c r="J21" s="176" t="s">
        <v>373</v>
      </c>
      <c r="K21" s="212">
        <v>24</v>
      </c>
      <c r="L21" s="212">
        <v>3</v>
      </c>
      <c r="M21" s="212">
        <v>8</v>
      </c>
      <c r="N21" s="212" t="s">
        <v>80</v>
      </c>
      <c r="O21" s="214">
        <v>44329</v>
      </c>
      <c r="P21" s="212" t="s">
        <v>77</v>
      </c>
      <c r="Q21" s="210">
        <f t="shared" si="0"/>
        <v>1</v>
      </c>
      <c r="R21" s="210" t="s">
        <v>699</v>
      </c>
      <c r="S21" s="210">
        <v>4</v>
      </c>
      <c r="T21" s="211">
        <v>352720</v>
      </c>
      <c r="U21" s="211" t="s">
        <v>830</v>
      </c>
    </row>
    <row r="22" spans="1:22" x14ac:dyDescent="0.25">
      <c r="A22" s="210">
        <v>15</v>
      </c>
      <c r="B22" s="211"/>
      <c r="C22" s="212" t="s">
        <v>367</v>
      </c>
      <c r="D22" s="213">
        <v>28078</v>
      </c>
      <c r="E22" s="176" t="s">
        <v>12</v>
      </c>
      <c r="F22" s="176" t="s">
        <v>349</v>
      </c>
      <c r="G22" s="176" t="s">
        <v>199</v>
      </c>
      <c r="H22" s="176" t="s">
        <v>35</v>
      </c>
      <c r="I22" s="212">
        <v>352720</v>
      </c>
      <c r="J22" s="176" t="s">
        <v>373</v>
      </c>
      <c r="K22" s="212">
        <v>8</v>
      </c>
      <c r="L22" s="212">
        <v>1</v>
      </c>
      <c r="M22" s="212">
        <v>13</v>
      </c>
      <c r="N22" s="212" t="s">
        <v>380</v>
      </c>
      <c r="O22" s="214">
        <v>44330</v>
      </c>
      <c r="P22" s="212" t="s">
        <v>77</v>
      </c>
      <c r="Q22" s="210">
        <f t="shared" si="0"/>
        <v>1</v>
      </c>
      <c r="R22" s="210" t="s">
        <v>699</v>
      </c>
      <c r="S22" s="210">
        <v>8</v>
      </c>
      <c r="T22" s="211">
        <v>352720</v>
      </c>
      <c r="U22" s="211" t="s">
        <v>830</v>
      </c>
    </row>
    <row r="23" spans="1:22" hidden="1" x14ac:dyDescent="0.25">
      <c r="A23" s="210">
        <v>16</v>
      </c>
      <c r="B23" s="211"/>
      <c r="C23" s="212" t="s">
        <v>367</v>
      </c>
      <c r="D23" s="213">
        <v>26541</v>
      </c>
      <c r="E23" s="176" t="s">
        <v>6</v>
      </c>
      <c r="F23" s="176" t="s">
        <v>352</v>
      </c>
      <c r="G23" s="176" t="s">
        <v>346</v>
      </c>
      <c r="H23" s="176" t="s">
        <v>35</v>
      </c>
      <c r="I23" s="212">
        <v>124389</v>
      </c>
      <c r="J23" s="176" t="s">
        <v>379</v>
      </c>
      <c r="K23" s="212">
        <v>16</v>
      </c>
      <c r="L23" s="212">
        <v>2</v>
      </c>
      <c r="M23" s="212">
        <v>11</v>
      </c>
      <c r="N23" s="212" t="s">
        <v>83</v>
      </c>
      <c r="O23" s="214">
        <v>44330</v>
      </c>
      <c r="P23" s="212" t="s">
        <v>77</v>
      </c>
      <c r="Q23" s="210">
        <f t="shared" si="0"/>
        <v>1</v>
      </c>
      <c r="R23" s="15" t="s">
        <v>701</v>
      </c>
      <c r="S23" s="210"/>
      <c r="T23" s="211"/>
      <c r="U23" s="211"/>
      <c r="V23" s="16" t="s">
        <v>835</v>
      </c>
    </row>
    <row r="24" spans="1:22" x14ac:dyDescent="0.25">
      <c r="A24" s="210">
        <v>17</v>
      </c>
      <c r="B24" s="211"/>
      <c r="C24" s="212" t="s">
        <v>367</v>
      </c>
      <c r="D24" s="213">
        <v>21403</v>
      </c>
      <c r="E24" s="176" t="s">
        <v>15</v>
      </c>
      <c r="F24" s="176" t="s">
        <v>74</v>
      </c>
      <c r="G24" s="176" t="s">
        <v>294</v>
      </c>
      <c r="H24" s="176" t="s">
        <v>35</v>
      </c>
      <c r="I24" s="212">
        <v>312224</v>
      </c>
      <c r="J24" s="176" t="s">
        <v>376</v>
      </c>
      <c r="K24" s="212">
        <v>8</v>
      </c>
      <c r="L24" s="212">
        <v>1</v>
      </c>
      <c r="M24" s="212">
        <v>11</v>
      </c>
      <c r="N24" s="212" t="s">
        <v>87</v>
      </c>
      <c r="O24" s="214">
        <v>44335</v>
      </c>
      <c r="P24" s="212" t="s">
        <v>77</v>
      </c>
      <c r="Q24" s="210">
        <f t="shared" si="0"/>
        <v>1</v>
      </c>
      <c r="R24" s="210" t="s">
        <v>699</v>
      </c>
      <c r="S24" s="210">
        <v>8</v>
      </c>
      <c r="T24" s="211">
        <v>315766</v>
      </c>
      <c r="U24" s="211" t="s">
        <v>836</v>
      </c>
      <c r="V24" t="s">
        <v>837</v>
      </c>
    </row>
    <row r="25" spans="1:22" x14ac:dyDescent="0.25">
      <c r="A25" s="210">
        <v>18</v>
      </c>
      <c r="B25" s="211"/>
      <c r="C25" s="212" t="s">
        <v>367</v>
      </c>
      <c r="D25" s="213">
        <v>21402</v>
      </c>
      <c r="E25" s="176" t="s">
        <v>15</v>
      </c>
      <c r="F25" s="176" t="s">
        <v>74</v>
      </c>
      <c r="G25" s="176" t="s">
        <v>294</v>
      </c>
      <c r="H25" s="176" t="s">
        <v>35</v>
      </c>
      <c r="I25" s="212">
        <v>312224</v>
      </c>
      <c r="J25" s="176" t="s">
        <v>376</v>
      </c>
      <c r="K25" s="212">
        <v>8</v>
      </c>
      <c r="L25" s="212">
        <v>1</v>
      </c>
      <c r="M25" s="212">
        <v>11</v>
      </c>
      <c r="N25" s="212" t="s">
        <v>284</v>
      </c>
      <c r="O25" s="214">
        <v>44336</v>
      </c>
      <c r="P25" s="212" t="s">
        <v>77</v>
      </c>
      <c r="Q25" s="210">
        <f t="shared" si="0"/>
        <v>1</v>
      </c>
      <c r="R25" s="210" t="s">
        <v>699</v>
      </c>
      <c r="S25" s="210">
        <v>7</v>
      </c>
      <c r="T25" s="211">
        <v>315766</v>
      </c>
      <c r="U25" s="211" t="s">
        <v>836</v>
      </c>
      <c r="V25" t="s">
        <v>838</v>
      </c>
    </row>
    <row r="26" spans="1:22" x14ac:dyDescent="0.25">
      <c r="A26" s="210">
        <v>19</v>
      </c>
      <c r="B26" s="211"/>
      <c r="C26" s="212" t="s">
        <v>367</v>
      </c>
      <c r="D26" s="213">
        <v>24404</v>
      </c>
      <c r="E26" s="176" t="s">
        <v>12</v>
      </c>
      <c r="F26" s="176" t="s">
        <v>349</v>
      </c>
      <c r="G26" s="176" t="s">
        <v>159</v>
      </c>
      <c r="H26" s="176" t="s">
        <v>35</v>
      </c>
      <c r="I26" s="212">
        <v>449433</v>
      </c>
      <c r="J26" s="176" t="s">
        <v>381</v>
      </c>
      <c r="K26" s="212">
        <v>16</v>
      </c>
      <c r="L26" s="212">
        <v>2</v>
      </c>
      <c r="M26" s="212">
        <v>6</v>
      </c>
      <c r="N26" s="212" t="s">
        <v>284</v>
      </c>
      <c r="O26" s="214">
        <v>44337</v>
      </c>
      <c r="P26" s="212" t="s">
        <v>77</v>
      </c>
      <c r="Q26" s="210">
        <f t="shared" si="0"/>
        <v>1</v>
      </c>
      <c r="R26" s="210" t="s">
        <v>699</v>
      </c>
      <c r="S26" s="210">
        <v>4</v>
      </c>
      <c r="T26" s="212">
        <v>449433</v>
      </c>
      <c r="U26" s="176" t="s">
        <v>839</v>
      </c>
    </row>
    <row r="27" spans="1:22" hidden="1" x14ac:dyDescent="0.25">
      <c r="A27" s="210">
        <v>20</v>
      </c>
      <c r="B27" s="211"/>
      <c r="C27" s="212" t="s">
        <v>367</v>
      </c>
      <c r="D27" s="213">
        <v>26553</v>
      </c>
      <c r="E27" s="176" t="s">
        <v>6</v>
      </c>
      <c r="F27" s="176" t="s">
        <v>352</v>
      </c>
      <c r="G27" s="176" t="s">
        <v>40</v>
      </c>
      <c r="H27" s="176" t="s">
        <v>35</v>
      </c>
      <c r="I27" s="212">
        <v>352720</v>
      </c>
      <c r="J27" s="176" t="s">
        <v>373</v>
      </c>
      <c r="K27" s="212">
        <v>24</v>
      </c>
      <c r="L27" s="212">
        <v>3</v>
      </c>
      <c r="M27" s="212">
        <v>6</v>
      </c>
      <c r="N27" s="212" t="s">
        <v>299</v>
      </c>
      <c r="O27" s="214">
        <v>44363</v>
      </c>
      <c r="P27" s="212" t="s">
        <v>100</v>
      </c>
      <c r="Q27" s="210">
        <f t="shared" si="0"/>
        <v>1</v>
      </c>
      <c r="R27" s="15" t="s">
        <v>701</v>
      </c>
      <c r="S27" s="210"/>
      <c r="T27" s="211"/>
      <c r="U27" s="211"/>
      <c r="V27" s="16" t="s">
        <v>840</v>
      </c>
    </row>
    <row r="28" spans="1:22" x14ac:dyDescent="0.25">
      <c r="A28" s="210">
        <v>21</v>
      </c>
      <c r="B28" s="211"/>
      <c r="C28" s="212" t="s">
        <v>367</v>
      </c>
      <c r="D28" s="213">
        <v>22349</v>
      </c>
      <c r="E28" s="176" t="s">
        <v>15</v>
      </c>
      <c r="F28" s="176" t="s">
        <v>74</v>
      </c>
      <c r="G28" s="176" t="s">
        <v>264</v>
      </c>
      <c r="H28" s="176" t="s">
        <v>35</v>
      </c>
      <c r="I28" s="212">
        <v>449433</v>
      </c>
      <c r="J28" s="176" t="s">
        <v>381</v>
      </c>
      <c r="K28" s="212">
        <v>8</v>
      </c>
      <c r="L28" s="212">
        <v>1</v>
      </c>
      <c r="M28" s="212">
        <v>9</v>
      </c>
      <c r="N28" s="212" t="s">
        <v>311</v>
      </c>
      <c r="O28" s="214">
        <v>44383</v>
      </c>
      <c r="P28" s="212" t="s">
        <v>119</v>
      </c>
      <c r="Q28" s="210">
        <f t="shared" si="0"/>
        <v>1</v>
      </c>
      <c r="R28" s="210" t="s">
        <v>699</v>
      </c>
      <c r="S28" s="210">
        <v>5</v>
      </c>
      <c r="T28" s="211">
        <v>457409</v>
      </c>
      <c r="U28" s="211" t="s">
        <v>834</v>
      </c>
    </row>
    <row r="29" spans="1:22" x14ac:dyDescent="0.25">
      <c r="A29" s="210">
        <v>22</v>
      </c>
      <c r="B29" s="211"/>
      <c r="C29" s="212" t="s">
        <v>367</v>
      </c>
      <c r="D29" s="213">
        <v>26754</v>
      </c>
      <c r="E29" s="176" t="s">
        <v>6</v>
      </c>
      <c r="F29" s="176" t="s">
        <v>352</v>
      </c>
      <c r="G29" s="176" t="s">
        <v>89</v>
      </c>
      <c r="H29" s="176" t="s">
        <v>35</v>
      </c>
      <c r="I29" s="212">
        <v>203860</v>
      </c>
      <c r="J29" s="176" t="s">
        <v>368</v>
      </c>
      <c r="K29" s="212">
        <v>16</v>
      </c>
      <c r="L29" s="212">
        <v>2</v>
      </c>
      <c r="M29" s="212">
        <v>2</v>
      </c>
      <c r="N29" s="212" t="s">
        <v>310</v>
      </c>
      <c r="O29" s="214">
        <v>44383</v>
      </c>
      <c r="P29" s="212" t="s">
        <v>119</v>
      </c>
      <c r="Q29" s="210">
        <f t="shared" si="0"/>
        <v>1</v>
      </c>
      <c r="R29" s="210" t="s">
        <v>699</v>
      </c>
      <c r="S29" s="210">
        <v>5</v>
      </c>
      <c r="T29" s="211">
        <v>457409</v>
      </c>
      <c r="U29" s="211" t="s">
        <v>834</v>
      </c>
      <c r="V29" t="s">
        <v>841</v>
      </c>
    </row>
    <row r="30" spans="1:22" x14ac:dyDescent="0.25">
      <c r="A30" s="210">
        <v>23</v>
      </c>
      <c r="B30" s="211"/>
      <c r="C30" s="212" t="s">
        <v>367</v>
      </c>
      <c r="D30" s="213">
        <v>22348</v>
      </c>
      <c r="E30" s="176" t="s">
        <v>15</v>
      </c>
      <c r="F30" s="176" t="s">
        <v>74</v>
      </c>
      <c r="G30" s="176" t="s">
        <v>264</v>
      </c>
      <c r="H30" s="176" t="s">
        <v>35</v>
      </c>
      <c r="I30" s="212">
        <v>449433</v>
      </c>
      <c r="J30" s="176" t="s">
        <v>381</v>
      </c>
      <c r="K30" s="212">
        <v>8</v>
      </c>
      <c r="L30" s="212">
        <v>1</v>
      </c>
      <c r="M30" s="212">
        <v>10</v>
      </c>
      <c r="N30" s="212" t="s">
        <v>123</v>
      </c>
      <c r="O30" s="214">
        <v>44384</v>
      </c>
      <c r="P30" s="212" t="s">
        <v>119</v>
      </c>
      <c r="Q30" s="210">
        <f t="shared" si="0"/>
        <v>1</v>
      </c>
      <c r="R30" s="210" t="s">
        <v>699</v>
      </c>
      <c r="S30" s="210">
        <v>9</v>
      </c>
      <c r="T30" s="211">
        <v>457409</v>
      </c>
      <c r="U30" s="211" t="s">
        <v>834</v>
      </c>
    </row>
    <row r="31" spans="1:22" x14ac:dyDescent="0.25">
      <c r="A31" s="210">
        <v>24</v>
      </c>
      <c r="B31" s="211"/>
      <c r="C31" s="212" t="s">
        <v>367</v>
      </c>
      <c r="D31" s="213">
        <v>23729</v>
      </c>
      <c r="E31" s="176" t="s">
        <v>15</v>
      </c>
      <c r="F31" s="176" t="s">
        <v>74</v>
      </c>
      <c r="G31" s="176" t="s">
        <v>40</v>
      </c>
      <c r="H31" s="176" t="s">
        <v>35</v>
      </c>
      <c r="I31" s="212">
        <v>352720</v>
      </c>
      <c r="J31" s="176" t="s">
        <v>373</v>
      </c>
      <c r="K31" s="212">
        <v>24</v>
      </c>
      <c r="L31" s="212">
        <v>3</v>
      </c>
      <c r="M31" s="212">
        <v>4</v>
      </c>
      <c r="N31" s="212" t="s">
        <v>126</v>
      </c>
      <c r="O31" s="214">
        <v>44391</v>
      </c>
      <c r="P31" s="212" t="s">
        <v>119</v>
      </c>
      <c r="Q31" s="210">
        <f t="shared" si="0"/>
        <v>1</v>
      </c>
      <c r="R31" s="210" t="s">
        <v>699</v>
      </c>
      <c r="S31" s="210">
        <v>8</v>
      </c>
      <c r="T31" s="211">
        <v>352720</v>
      </c>
      <c r="U31" s="211" t="s">
        <v>830</v>
      </c>
    </row>
    <row r="32" spans="1:22" x14ac:dyDescent="0.25">
      <c r="A32" s="210">
        <v>25</v>
      </c>
      <c r="B32" s="211"/>
      <c r="C32" s="212" t="s">
        <v>367</v>
      </c>
      <c r="D32" s="213">
        <v>26450</v>
      </c>
      <c r="E32" s="176" t="s">
        <v>6</v>
      </c>
      <c r="F32" s="176" t="s">
        <v>352</v>
      </c>
      <c r="G32" s="176" t="s">
        <v>279</v>
      </c>
      <c r="H32" s="176" t="s">
        <v>35</v>
      </c>
      <c r="I32" s="212">
        <v>457409</v>
      </c>
      <c r="J32" s="176" t="s">
        <v>370</v>
      </c>
      <c r="K32" s="212">
        <v>16</v>
      </c>
      <c r="L32" s="212">
        <v>2</v>
      </c>
      <c r="M32" s="212">
        <v>9</v>
      </c>
      <c r="N32" s="212" t="s">
        <v>154</v>
      </c>
      <c r="O32" s="214">
        <v>44425</v>
      </c>
      <c r="P32" s="212" t="s">
        <v>141</v>
      </c>
      <c r="Q32" s="210">
        <f t="shared" si="0"/>
        <v>1</v>
      </c>
      <c r="R32" s="210" t="s">
        <v>699</v>
      </c>
      <c r="S32" s="210">
        <v>5</v>
      </c>
      <c r="T32" s="211">
        <v>457409</v>
      </c>
      <c r="U32" s="211" t="s">
        <v>834</v>
      </c>
    </row>
    <row r="33" spans="1:22" x14ac:dyDescent="0.25">
      <c r="A33" s="210">
        <v>26</v>
      </c>
      <c r="B33" s="211"/>
      <c r="C33" s="212" t="s">
        <v>367</v>
      </c>
      <c r="D33" s="213">
        <v>24395</v>
      </c>
      <c r="E33" s="176" t="s">
        <v>12</v>
      </c>
      <c r="F33" s="176" t="s">
        <v>349</v>
      </c>
      <c r="G33" s="176" t="s">
        <v>62</v>
      </c>
      <c r="H33" s="176" t="s">
        <v>35</v>
      </c>
      <c r="I33" s="212">
        <v>449433</v>
      </c>
      <c r="J33" s="176" t="s">
        <v>381</v>
      </c>
      <c r="K33" s="212">
        <v>24</v>
      </c>
      <c r="L33" s="212">
        <v>3</v>
      </c>
      <c r="M33" s="212">
        <v>9</v>
      </c>
      <c r="N33" s="212" t="s">
        <v>177</v>
      </c>
      <c r="O33" s="214">
        <v>44447</v>
      </c>
      <c r="P33" s="212" t="s">
        <v>173</v>
      </c>
      <c r="Q33" s="210">
        <f t="shared" si="0"/>
        <v>1</v>
      </c>
      <c r="R33" s="210" t="s">
        <v>699</v>
      </c>
      <c r="S33" s="210">
        <v>5</v>
      </c>
      <c r="T33" s="211">
        <v>449433</v>
      </c>
      <c r="U33" s="211" t="s">
        <v>842</v>
      </c>
    </row>
    <row r="34" spans="1:22" x14ac:dyDescent="0.25">
      <c r="A34" s="210">
        <v>27</v>
      </c>
      <c r="B34" s="211"/>
      <c r="C34" s="212" t="s">
        <v>367</v>
      </c>
      <c r="D34" s="213">
        <v>24351</v>
      </c>
      <c r="E34" s="176" t="s">
        <v>12</v>
      </c>
      <c r="F34" s="176" t="s">
        <v>349</v>
      </c>
      <c r="G34" s="176" t="s">
        <v>223</v>
      </c>
      <c r="H34" s="176" t="s">
        <v>35</v>
      </c>
      <c r="I34" s="212">
        <v>352720</v>
      </c>
      <c r="J34" s="176" t="s">
        <v>373</v>
      </c>
      <c r="K34" s="212">
        <v>16</v>
      </c>
      <c r="L34" s="212">
        <v>2</v>
      </c>
      <c r="M34" s="212">
        <v>5</v>
      </c>
      <c r="N34" s="212" t="s">
        <v>185</v>
      </c>
      <c r="O34" s="214">
        <v>44454</v>
      </c>
      <c r="P34" s="212" t="s">
        <v>173</v>
      </c>
      <c r="Q34" s="210">
        <f t="shared" si="0"/>
        <v>1</v>
      </c>
      <c r="R34" s="210" t="s">
        <v>699</v>
      </c>
      <c r="S34" s="210">
        <v>8</v>
      </c>
      <c r="T34" s="211"/>
      <c r="U34" s="211"/>
      <c r="V34" s="16" t="s">
        <v>843</v>
      </c>
    </row>
    <row r="35" spans="1:22" x14ac:dyDescent="0.25">
      <c r="A35" s="210">
        <v>28</v>
      </c>
      <c r="B35" s="211"/>
      <c r="C35" s="212" t="s">
        <v>367</v>
      </c>
      <c r="D35" s="213">
        <v>23617</v>
      </c>
      <c r="E35" s="176" t="s">
        <v>15</v>
      </c>
      <c r="F35" s="176" t="s">
        <v>74</v>
      </c>
      <c r="G35" s="176" t="s">
        <v>89</v>
      </c>
      <c r="H35" s="176" t="s">
        <v>35</v>
      </c>
      <c r="I35" s="212">
        <v>449433</v>
      </c>
      <c r="J35" s="176" t="s">
        <v>381</v>
      </c>
      <c r="K35" s="212">
        <v>16</v>
      </c>
      <c r="L35" s="212">
        <v>2</v>
      </c>
      <c r="M35" s="212">
        <v>11</v>
      </c>
      <c r="N35" s="212" t="s">
        <v>196</v>
      </c>
      <c r="O35" s="214">
        <v>44468</v>
      </c>
      <c r="P35" s="212" t="s">
        <v>173</v>
      </c>
      <c r="Q35" s="210">
        <f t="shared" si="0"/>
        <v>1</v>
      </c>
      <c r="R35" s="210" t="s">
        <v>699</v>
      </c>
      <c r="S35" s="210">
        <v>6</v>
      </c>
      <c r="T35" s="211"/>
      <c r="U35" s="211"/>
    </row>
    <row r="36" spans="1:22" x14ac:dyDescent="0.25">
      <c r="A36" s="210">
        <v>29</v>
      </c>
      <c r="B36" s="211"/>
      <c r="C36" s="212" t="s">
        <v>367</v>
      </c>
      <c r="D36" s="213">
        <v>23618</v>
      </c>
      <c r="E36" s="176" t="s">
        <v>15</v>
      </c>
      <c r="F36" s="176" t="s">
        <v>74</v>
      </c>
      <c r="G36" s="176" t="s">
        <v>89</v>
      </c>
      <c r="H36" s="176" t="s">
        <v>35</v>
      </c>
      <c r="I36" s="212">
        <v>449433</v>
      </c>
      <c r="J36" s="176" t="s">
        <v>381</v>
      </c>
      <c r="K36" s="212">
        <v>16</v>
      </c>
      <c r="L36" s="212">
        <v>2</v>
      </c>
      <c r="M36" s="212">
        <v>12</v>
      </c>
      <c r="N36" s="212" t="s">
        <v>198</v>
      </c>
      <c r="O36" s="214">
        <v>44470</v>
      </c>
      <c r="P36" s="212" t="s">
        <v>173</v>
      </c>
      <c r="Q36" s="210">
        <f t="shared" si="0"/>
        <v>1</v>
      </c>
      <c r="R36" s="210" t="s">
        <v>699</v>
      </c>
      <c r="S36" s="210">
        <v>8</v>
      </c>
      <c r="T36" s="211"/>
      <c r="U36" s="211"/>
    </row>
    <row r="37" spans="1:22" hidden="1" x14ac:dyDescent="0.25">
      <c r="A37" s="210">
        <v>30</v>
      </c>
      <c r="B37" s="211"/>
      <c r="C37" s="212" t="s">
        <v>367</v>
      </c>
      <c r="D37" s="213">
        <v>24471</v>
      </c>
      <c r="E37" s="176" t="s">
        <v>12</v>
      </c>
      <c r="F37" s="176" t="s">
        <v>349</v>
      </c>
      <c r="G37" s="176" t="s">
        <v>235</v>
      </c>
      <c r="H37" s="176" t="s">
        <v>35</v>
      </c>
      <c r="I37" s="212">
        <v>352720</v>
      </c>
      <c r="J37" s="176" t="s">
        <v>373</v>
      </c>
      <c r="K37" s="212">
        <v>8</v>
      </c>
      <c r="L37" s="212">
        <v>1</v>
      </c>
      <c r="M37" s="212">
        <v>8</v>
      </c>
      <c r="N37" s="212" t="s">
        <v>327</v>
      </c>
      <c r="O37" s="214">
        <v>44473</v>
      </c>
      <c r="P37" s="212" t="s">
        <v>202</v>
      </c>
      <c r="Q37" s="210">
        <f t="shared" si="0"/>
        <v>1</v>
      </c>
      <c r="R37" s="15" t="s">
        <v>701</v>
      </c>
      <c r="S37" s="210"/>
      <c r="T37" s="211"/>
      <c r="U37" s="211"/>
      <c r="V37" s="16" t="s">
        <v>844</v>
      </c>
    </row>
    <row r="38" spans="1:22" x14ac:dyDescent="0.25">
      <c r="A38" s="210">
        <v>31</v>
      </c>
      <c r="B38" s="211"/>
      <c r="C38" s="212" t="s">
        <v>367</v>
      </c>
      <c r="D38" s="213">
        <v>23619</v>
      </c>
      <c r="E38" s="176" t="s">
        <v>15</v>
      </c>
      <c r="F38" s="176" t="s">
        <v>74</v>
      </c>
      <c r="G38" s="176" t="s">
        <v>89</v>
      </c>
      <c r="H38" s="176" t="s">
        <v>35</v>
      </c>
      <c r="I38" s="212">
        <v>449433</v>
      </c>
      <c r="J38" s="176" t="s">
        <v>381</v>
      </c>
      <c r="K38" s="212">
        <v>16</v>
      </c>
      <c r="L38" s="212">
        <v>2</v>
      </c>
      <c r="M38" s="212">
        <v>12</v>
      </c>
      <c r="N38" s="212" t="s">
        <v>203</v>
      </c>
      <c r="O38" s="214">
        <v>44475</v>
      </c>
      <c r="P38" s="212" t="s">
        <v>202</v>
      </c>
      <c r="Q38" s="210">
        <f t="shared" si="0"/>
        <v>1</v>
      </c>
      <c r="R38" s="210" t="s">
        <v>699</v>
      </c>
      <c r="S38" s="210">
        <v>10</v>
      </c>
      <c r="T38" s="211"/>
      <c r="U38" s="211"/>
    </row>
    <row r="39" spans="1:22" x14ac:dyDescent="0.25">
      <c r="A39" s="210">
        <v>32</v>
      </c>
      <c r="B39" s="211"/>
      <c r="C39" s="212" t="s">
        <v>367</v>
      </c>
      <c r="D39" s="213">
        <v>26467</v>
      </c>
      <c r="E39" s="176" t="s">
        <v>6</v>
      </c>
      <c r="F39" s="176" t="s">
        <v>352</v>
      </c>
      <c r="G39" s="176" t="s">
        <v>331</v>
      </c>
      <c r="H39" s="176" t="s">
        <v>35</v>
      </c>
      <c r="I39" s="212">
        <v>413244</v>
      </c>
      <c r="J39" s="176" t="s">
        <v>382</v>
      </c>
      <c r="K39" s="212">
        <v>32</v>
      </c>
      <c r="L39" s="212">
        <v>4</v>
      </c>
      <c r="M39" s="212">
        <v>3</v>
      </c>
      <c r="N39" s="212" t="s">
        <v>327</v>
      </c>
      <c r="O39" s="214">
        <v>44476</v>
      </c>
      <c r="P39" s="212" t="s">
        <v>202</v>
      </c>
      <c r="Q39" s="210">
        <f t="shared" si="0"/>
        <v>1</v>
      </c>
      <c r="R39" s="210" t="s">
        <v>699</v>
      </c>
      <c r="S39" s="210">
        <v>4</v>
      </c>
      <c r="T39" s="211"/>
      <c r="U39" s="211"/>
      <c r="V39" t="s">
        <v>845</v>
      </c>
    </row>
    <row r="40" spans="1:22" x14ac:dyDescent="0.25">
      <c r="A40" s="210">
        <v>33</v>
      </c>
      <c r="B40" s="211"/>
      <c r="C40" s="212" t="s">
        <v>367</v>
      </c>
      <c r="D40" s="213">
        <v>23620</v>
      </c>
      <c r="E40" s="176" t="s">
        <v>15</v>
      </c>
      <c r="F40" s="176" t="s">
        <v>74</v>
      </c>
      <c r="G40" s="176" t="s">
        <v>89</v>
      </c>
      <c r="H40" s="176" t="s">
        <v>35</v>
      </c>
      <c r="I40" s="212">
        <v>449433</v>
      </c>
      <c r="J40" s="176" t="s">
        <v>381</v>
      </c>
      <c r="K40" s="212">
        <v>16</v>
      </c>
      <c r="L40" s="212">
        <v>2</v>
      </c>
      <c r="M40" s="212">
        <v>12</v>
      </c>
      <c r="N40" s="212" t="s">
        <v>205</v>
      </c>
      <c r="O40" s="214">
        <v>44477</v>
      </c>
      <c r="P40" s="212" t="s">
        <v>202</v>
      </c>
      <c r="Q40" s="210">
        <f t="shared" si="0"/>
        <v>1</v>
      </c>
      <c r="R40" s="210" t="s">
        <v>699</v>
      </c>
      <c r="S40" s="210">
        <v>7</v>
      </c>
      <c r="T40" s="211"/>
      <c r="U40" s="211"/>
    </row>
    <row r="41" spans="1:22" x14ac:dyDescent="0.25">
      <c r="A41" s="210">
        <v>34</v>
      </c>
      <c r="B41" s="211"/>
      <c r="C41" s="212" t="s">
        <v>367</v>
      </c>
      <c r="D41" s="213">
        <v>23616</v>
      </c>
      <c r="E41" s="176" t="s">
        <v>15</v>
      </c>
      <c r="F41" s="176" t="s">
        <v>74</v>
      </c>
      <c r="G41" s="176" t="s">
        <v>89</v>
      </c>
      <c r="H41" s="176" t="s">
        <v>35</v>
      </c>
      <c r="I41" s="212">
        <v>449433</v>
      </c>
      <c r="J41" s="176" t="s">
        <v>381</v>
      </c>
      <c r="K41" s="212">
        <v>16</v>
      </c>
      <c r="L41" s="212">
        <v>2</v>
      </c>
      <c r="M41" s="212">
        <v>11</v>
      </c>
      <c r="N41" s="212" t="s">
        <v>208</v>
      </c>
      <c r="O41" s="214">
        <v>44481</v>
      </c>
      <c r="P41" s="212" t="s">
        <v>202</v>
      </c>
      <c r="Q41" s="210">
        <f t="shared" si="0"/>
        <v>1</v>
      </c>
      <c r="R41" s="210" t="s">
        <v>699</v>
      </c>
      <c r="S41" s="210">
        <v>9</v>
      </c>
      <c r="T41" s="211"/>
      <c r="U41" s="211"/>
      <c r="V41" t="s">
        <v>846</v>
      </c>
    </row>
    <row r="42" spans="1:22" x14ac:dyDescent="0.25">
      <c r="A42" s="210">
        <v>35</v>
      </c>
      <c r="B42" s="211"/>
      <c r="C42" s="212" t="s">
        <v>367</v>
      </c>
      <c r="D42" s="213">
        <v>23615</v>
      </c>
      <c r="E42" s="176" t="s">
        <v>15</v>
      </c>
      <c r="F42" s="176" t="s">
        <v>74</v>
      </c>
      <c r="G42" s="176" t="s">
        <v>89</v>
      </c>
      <c r="H42" s="176" t="s">
        <v>35</v>
      </c>
      <c r="I42" s="212">
        <v>449433</v>
      </c>
      <c r="J42" s="176" t="s">
        <v>381</v>
      </c>
      <c r="K42" s="212">
        <v>16</v>
      </c>
      <c r="L42" s="212">
        <v>2</v>
      </c>
      <c r="M42" s="212">
        <v>12</v>
      </c>
      <c r="N42" s="212" t="s">
        <v>209</v>
      </c>
      <c r="O42" s="214">
        <v>44483</v>
      </c>
      <c r="P42" s="212" t="s">
        <v>202</v>
      </c>
      <c r="Q42" s="210">
        <f t="shared" si="0"/>
        <v>1</v>
      </c>
      <c r="R42" s="210" t="s">
        <v>699</v>
      </c>
      <c r="S42" s="210">
        <v>9</v>
      </c>
      <c r="T42" s="211"/>
      <c r="U42" s="211"/>
    </row>
    <row r="43" spans="1:22" x14ac:dyDescent="0.25">
      <c r="A43" s="210">
        <v>36</v>
      </c>
      <c r="B43" s="211"/>
      <c r="C43" s="212" t="s">
        <v>367</v>
      </c>
      <c r="D43" s="213">
        <v>23614</v>
      </c>
      <c r="E43" s="176" t="s">
        <v>15</v>
      </c>
      <c r="F43" s="176" t="s">
        <v>74</v>
      </c>
      <c r="G43" s="176" t="s">
        <v>89</v>
      </c>
      <c r="H43" s="176" t="s">
        <v>35</v>
      </c>
      <c r="I43" s="212">
        <v>449433</v>
      </c>
      <c r="J43" s="176" t="s">
        <v>381</v>
      </c>
      <c r="K43" s="212">
        <v>16</v>
      </c>
      <c r="L43" s="212">
        <v>2</v>
      </c>
      <c r="M43" s="212">
        <v>11</v>
      </c>
      <c r="N43" s="212" t="s">
        <v>333</v>
      </c>
      <c r="O43" s="214">
        <v>44488</v>
      </c>
      <c r="P43" s="212" t="s">
        <v>202</v>
      </c>
      <c r="Q43" s="210">
        <f t="shared" si="0"/>
        <v>1</v>
      </c>
      <c r="R43" s="210" t="s">
        <v>699</v>
      </c>
      <c r="S43" s="210">
        <v>10</v>
      </c>
      <c r="T43" s="211"/>
      <c r="U43" s="211"/>
    </row>
    <row r="44" spans="1:22" x14ac:dyDescent="0.25">
      <c r="A44" s="210">
        <v>37</v>
      </c>
      <c r="B44" s="211"/>
      <c r="C44" s="212" t="s">
        <v>367</v>
      </c>
      <c r="D44" s="213">
        <v>24438</v>
      </c>
      <c r="E44" s="176" t="s">
        <v>12</v>
      </c>
      <c r="F44" s="176" t="s">
        <v>349</v>
      </c>
      <c r="G44" s="176" t="s">
        <v>84</v>
      </c>
      <c r="H44" s="176" t="s">
        <v>35</v>
      </c>
      <c r="I44" s="212">
        <v>203860</v>
      </c>
      <c r="J44" s="176" t="s">
        <v>368</v>
      </c>
      <c r="K44" s="212">
        <v>16</v>
      </c>
      <c r="L44" s="212">
        <v>2</v>
      </c>
      <c r="M44" s="212">
        <v>11</v>
      </c>
      <c r="N44" s="212" t="s">
        <v>230</v>
      </c>
      <c r="O44" s="214">
        <v>44509</v>
      </c>
      <c r="P44" s="212" t="s">
        <v>227</v>
      </c>
      <c r="Q44" s="210">
        <f t="shared" si="0"/>
        <v>1</v>
      </c>
      <c r="R44" s="210" t="s">
        <v>699</v>
      </c>
      <c r="S44" s="210">
        <v>8</v>
      </c>
      <c r="T44" s="211"/>
      <c r="U44" s="211"/>
    </row>
    <row r="45" spans="1:22" x14ac:dyDescent="0.25">
      <c r="A45" s="210">
        <v>38</v>
      </c>
      <c r="B45" s="211"/>
      <c r="C45" s="212" t="s">
        <v>367</v>
      </c>
      <c r="D45" s="213">
        <v>21112</v>
      </c>
      <c r="E45" s="176" t="s">
        <v>12</v>
      </c>
      <c r="F45" s="176" t="s">
        <v>349</v>
      </c>
      <c r="G45" s="176" t="s">
        <v>302</v>
      </c>
      <c r="H45" s="176" t="s">
        <v>35</v>
      </c>
      <c r="I45" s="212">
        <v>203860</v>
      </c>
      <c r="J45" s="176" t="s">
        <v>368</v>
      </c>
      <c r="K45" s="212">
        <v>8</v>
      </c>
      <c r="L45" s="212">
        <v>1</v>
      </c>
      <c r="M45" s="212">
        <v>10</v>
      </c>
      <c r="N45" s="212" t="s">
        <v>237</v>
      </c>
      <c r="O45" s="214">
        <v>44516</v>
      </c>
      <c r="P45" s="212" t="s">
        <v>227</v>
      </c>
      <c r="Q45" s="210">
        <f t="shared" si="0"/>
        <v>1</v>
      </c>
      <c r="R45" s="210" t="s">
        <v>699</v>
      </c>
      <c r="S45" s="210">
        <v>8</v>
      </c>
      <c r="T45" s="211"/>
      <c r="U45" s="211"/>
    </row>
    <row r="46" spans="1:22" hidden="1" x14ac:dyDescent="0.25">
      <c r="A46" s="210">
        <v>39</v>
      </c>
      <c r="B46" s="211"/>
      <c r="C46" s="212" t="s">
        <v>367</v>
      </c>
      <c r="D46" s="213">
        <v>26546</v>
      </c>
      <c r="E46" s="176" t="s">
        <v>6</v>
      </c>
      <c r="F46" s="176" t="s">
        <v>352</v>
      </c>
      <c r="G46" s="176" t="s">
        <v>317</v>
      </c>
      <c r="H46" s="176" t="s">
        <v>35</v>
      </c>
      <c r="I46" s="212">
        <v>520919</v>
      </c>
      <c r="J46" s="176" t="s">
        <v>383</v>
      </c>
      <c r="K46" s="212">
        <v>16</v>
      </c>
      <c r="L46" s="212">
        <v>2</v>
      </c>
      <c r="M46" s="212">
        <v>10</v>
      </c>
      <c r="N46" s="212" t="s">
        <v>384</v>
      </c>
      <c r="O46" s="214">
        <v>44530</v>
      </c>
      <c r="P46" s="212" t="s">
        <v>227</v>
      </c>
      <c r="Q46" s="210">
        <f t="shared" si="0"/>
        <v>1</v>
      </c>
      <c r="R46" s="15" t="s">
        <v>701</v>
      </c>
      <c r="S46" s="210"/>
      <c r="T46" s="211"/>
      <c r="U46" s="211"/>
    </row>
    <row r="47" spans="1:22" x14ac:dyDescent="0.25">
      <c r="A47" s="210">
        <v>40</v>
      </c>
      <c r="B47" s="211"/>
      <c r="C47" s="212" t="s">
        <v>367</v>
      </c>
      <c r="D47" s="213">
        <v>26537</v>
      </c>
      <c r="E47" s="176" t="s">
        <v>6</v>
      </c>
      <c r="F47" s="176" t="s">
        <v>352</v>
      </c>
      <c r="G47" s="176" t="s">
        <v>84</v>
      </c>
      <c r="H47" s="176" t="s">
        <v>35</v>
      </c>
      <c r="I47" s="212">
        <v>457409</v>
      </c>
      <c r="J47" s="176" t="s">
        <v>370</v>
      </c>
      <c r="K47" s="212">
        <v>16</v>
      </c>
      <c r="L47" s="212">
        <v>2</v>
      </c>
      <c r="M47" s="212">
        <v>5</v>
      </c>
      <c r="N47" s="212" t="s">
        <v>247</v>
      </c>
      <c r="O47" s="214">
        <v>44532</v>
      </c>
      <c r="P47" s="212" t="s">
        <v>249</v>
      </c>
      <c r="Q47" s="210">
        <f t="shared" si="0"/>
        <v>1</v>
      </c>
      <c r="R47" s="210" t="s">
        <v>699</v>
      </c>
      <c r="S47" s="210">
        <v>9</v>
      </c>
      <c r="T47" s="211"/>
      <c r="U47" s="211"/>
      <c r="V47" t="s">
        <v>847</v>
      </c>
    </row>
  </sheetData>
  <autoFilter ref="A7:V47" xr:uid="{1F37F5AF-55F3-4EA0-A9D9-60EC43F98EC8}">
    <filterColumn colId="17">
      <filters>
        <filter val="Realizado"/>
      </filters>
    </filterColumn>
  </autoFilter>
  <sortState xmlns:xlrd2="http://schemas.microsoft.com/office/spreadsheetml/2017/richdata2" ref="A8:P47">
    <sortCondition ref="O8:O47"/>
  </sortState>
  <pageMargins left="0" right="0" top="0.74803149606299213" bottom="0.74803149606299213" header="0.31496062992125984" footer="0.31496062992125984"/>
  <pageSetup scale="50" fitToHeight="0" orientation="landscape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Catalogo!$B$5:$B$6</xm:f>
          </x14:formula1>
          <xm:sqref>R8:R47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tabColor theme="9" tint="0.79998168889431442"/>
  </sheetPr>
  <dimension ref="A1:V71"/>
  <sheetViews>
    <sheetView workbookViewId="0">
      <pane xSplit="4" ySplit="7" topLeftCell="E26" activePane="bottomRight" state="frozenSplit"/>
      <selection pane="topRight" activeCell="F1" sqref="F1"/>
      <selection pane="bottomLeft" activeCell="A11" sqref="A11"/>
      <selection pane="bottomRight" activeCell="G38" sqref="G38"/>
    </sheetView>
  </sheetViews>
  <sheetFormatPr baseColWidth="10" defaultColWidth="11.42578125" defaultRowHeight="15" x14ac:dyDescent="0.25"/>
  <cols>
    <col min="1" max="1" width="7.85546875" customWidth="1"/>
    <col min="2" max="2" width="8.85546875" customWidth="1"/>
    <col min="5" max="5" width="32.85546875" customWidth="1"/>
    <col min="6" max="6" width="43.140625" customWidth="1"/>
    <col min="7" max="7" width="46.28515625" customWidth="1"/>
    <col min="8" max="8" width="12.85546875" customWidth="1"/>
    <col min="9" max="9" width="11.42578125" style="1" hidden="1" customWidth="1"/>
    <col min="10" max="10" width="29.42578125" hidden="1" customWidth="1"/>
    <col min="11" max="11" width="10.5703125" style="2" customWidth="1"/>
    <col min="12" max="12" width="7.42578125" style="2" customWidth="1"/>
    <col min="13" max="13" width="11.42578125" style="2"/>
    <col min="17" max="17" width="8.85546875" customWidth="1"/>
    <col min="19" max="19" width="15" style="1" customWidth="1"/>
    <col min="20" max="20" width="10.7109375" customWidth="1"/>
    <col min="21" max="21" width="40.28515625" customWidth="1"/>
    <col min="22" max="22" width="66.85546875" customWidth="1"/>
  </cols>
  <sheetData>
    <row r="1" spans="1:22" s="28" customFormat="1" ht="14.25" customHeight="1" x14ac:dyDescent="0.3">
      <c r="B1" s="29"/>
      <c r="C1" s="29"/>
      <c r="D1" s="29"/>
      <c r="G1" s="34" t="s">
        <v>713</v>
      </c>
      <c r="H1" s="29">
        <v>18</v>
      </c>
      <c r="I1" s="29"/>
      <c r="J1" s="29"/>
      <c r="K1" s="30"/>
      <c r="L1" s="30"/>
      <c r="M1" s="30"/>
      <c r="O1" s="31"/>
      <c r="P1" s="32"/>
      <c r="Q1" s="32"/>
      <c r="R1" s="32"/>
      <c r="S1" s="29"/>
      <c r="T1" s="29"/>
    </row>
    <row r="2" spans="1:22" s="28" customFormat="1" x14ac:dyDescent="0.3">
      <c r="B2" s="29"/>
      <c r="C2" s="32"/>
      <c r="D2" s="29"/>
      <c r="E2" s="34" t="s">
        <v>715</v>
      </c>
      <c r="F2" s="29">
        <f>COUNT(D8:D195)</f>
        <v>64</v>
      </c>
      <c r="G2" s="34" t="s">
        <v>716</v>
      </c>
      <c r="H2" s="29">
        <f>SUM(M8:M25)</f>
        <v>135</v>
      </c>
      <c r="I2" s="32"/>
      <c r="J2" s="29"/>
      <c r="K2" s="30"/>
      <c r="L2" s="30"/>
      <c r="M2" s="30"/>
      <c r="O2" s="35"/>
      <c r="P2" s="29"/>
      <c r="Q2" s="32"/>
      <c r="R2" s="32"/>
      <c r="S2" s="29"/>
      <c r="T2" s="29"/>
    </row>
    <row r="3" spans="1:22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SUM(M8:M195)</f>
        <v>509</v>
      </c>
      <c r="G3" s="34" t="s">
        <v>719</v>
      </c>
      <c r="H3" s="29">
        <f>COUNTIFS($Q$26:$Q$195,1,$R$26:$R$195,"Realizado")</f>
        <v>29</v>
      </c>
      <c r="I3" s="32"/>
      <c r="J3" s="29"/>
      <c r="K3" s="30"/>
      <c r="L3" s="30"/>
      <c r="M3" s="30"/>
      <c r="O3" s="35"/>
      <c r="P3" s="29"/>
      <c r="Q3" s="29"/>
      <c r="R3" s="29"/>
      <c r="S3" s="29"/>
      <c r="T3" s="29"/>
    </row>
    <row r="4" spans="1:22" s="28" customFormat="1" x14ac:dyDescent="0.3">
      <c r="B4" s="29"/>
      <c r="C4" s="32"/>
      <c r="D4" s="29"/>
      <c r="E4" s="34" t="s">
        <v>721</v>
      </c>
      <c r="F4" s="29">
        <f>COUNTIF($Q$26:$Q$195,1)</f>
        <v>46</v>
      </c>
      <c r="G4" s="34" t="s">
        <v>722</v>
      </c>
      <c r="H4" s="29">
        <f>SUMIF($R$26:$R$195,"Realizado",$S$26:$S$195)</f>
        <v>194</v>
      </c>
      <c r="I4" s="32"/>
      <c r="J4" s="29"/>
      <c r="K4" s="30"/>
      <c r="L4" s="30"/>
      <c r="M4" s="30"/>
      <c r="O4" s="35"/>
      <c r="P4" s="29"/>
      <c r="Q4" s="29"/>
      <c r="R4" s="29"/>
      <c r="S4" s="29"/>
      <c r="T4" s="29"/>
    </row>
    <row r="5" spans="1:22" s="28" customFormat="1" x14ac:dyDescent="0.3">
      <c r="B5" s="29"/>
      <c r="C5" s="32"/>
      <c r="D5" s="29"/>
      <c r="E5" s="34" t="s">
        <v>724</v>
      </c>
      <c r="F5" s="29">
        <f>SUMIF(Q26:Q195,1,M26:M195)</f>
        <v>374</v>
      </c>
      <c r="G5" s="34" t="s">
        <v>725</v>
      </c>
      <c r="H5" s="29">
        <f>COUNTIFS($Q$26:$Q$195,1,$R$26:$R$195,"Cancelado")</f>
        <v>17</v>
      </c>
      <c r="I5" s="32"/>
      <c r="J5" s="29"/>
      <c r="K5" s="30"/>
      <c r="L5" s="30"/>
      <c r="M5" s="30"/>
      <c r="O5" s="35"/>
      <c r="P5" s="29"/>
      <c r="Q5" s="29"/>
      <c r="R5" s="29"/>
      <c r="S5" s="29"/>
      <c r="T5" s="29"/>
    </row>
    <row r="6" spans="1:22" x14ac:dyDescent="0.25">
      <c r="B6" s="1"/>
      <c r="C6" s="1"/>
      <c r="D6" s="1"/>
      <c r="J6" s="1"/>
      <c r="O6" s="19"/>
      <c r="P6" s="1"/>
      <c r="Q6" s="1"/>
      <c r="R6" s="1"/>
      <c r="T6" s="1"/>
    </row>
    <row r="7" spans="1:22" s="3" customFormat="1" ht="31.5" x14ac:dyDescent="0.25">
      <c r="A7" s="4" t="s">
        <v>20</v>
      </c>
      <c r="B7" s="4" t="s">
        <v>21</v>
      </c>
      <c r="C7" s="4" t="s">
        <v>2</v>
      </c>
      <c r="D7" s="4" t="s">
        <v>22</v>
      </c>
      <c r="E7" s="4" t="s">
        <v>23</v>
      </c>
      <c r="F7" s="4" t="s">
        <v>24</v>
      </c>
      <c r="G7" s="4" t="s">
        <v>25</v>
      </c>
      <c r="H7" s="5" t="s">
        <v>26</v>
      </c>
      <c r="I7" s="4" t="s">
        <v>27</v>
      </c>
      <c r="J7" s="4" t="s">
        <v>28</v>
      </c>
      <c r="K7" s="5" t="s">
        <v>29</v>
      </c>
      <c r="L7" s="4" t="s">
        <v>30</v>
      </c>
      <c r="M7" s="5" t="s">
        <v>31</v>
      </c>
      <c r="N7" s="5" t="s">
        <v>0</v>
      </c>
      <c r="O7" s="5" t="s">
        <v>19</v>
      </c>
      <c r="P7" s="4" t="s">
        <v>17</v>
      </c>
      <c r="Q7" s="4" t="s">
        <v>516</v>
      </c>
      <c r="R7" s="5" t="s">
        <v>727</v>
      </c>
      <c r="S7" s="5" t="s">
        <v>523</v>
      </c>
      <c r="T7" s="5" t="s">
        <v>728</v>
      </c>
      <c r="U7" s="5" t="s">
        <v>28</v>
      </c>
      <c r="V7" s="5" t="s">
        <v>599</v>
      </c>
    </row>
    <row r="8" spans="1:22" hidden="1" x14ac:dyDescent="0.25">
      <c r="A8" s="1">
        <v>1</v>
      </c>
      <c r="C8" t="s">
        <v>394</v>
      </c>
      <c r="D8" s="17">
        <v>26256</v>
      </c>
      <c r="E8" s="7" t="s">
        <v>8</v>
      </c>
      <c r="F8" s="7" t="s">
        <v>395</v>
      </c>
      <c r="G8" s="7" t="s">
        <v>279</v>
      </c>
      <c r="H8" s="7" t="s">
        <v>35</v>
      </c>
      <c r="I8" s="8">
        <v>348492</v>
      </c>
      <c r="J8" s="7" t="s">
        <v>363</v>
      </c>
      <c r="K8" s="40">
        <v>16</v>
      </c>
      <c r="L8" s="40">
        <v>2</v>
      </c>
      <c r="M8" s="40">
        <v>10</v>
      </c>
      <c r="N8" s="8" t="s">
        <v>396</v>
      </c>
      <c r="O8" s="18">
        <v>44229</v>
      </c>
      <c r="P8" s="8" t="s">
        <v>38</v>
      </c>
      <c r="Q8" s="1">
        <f>IF(O8&lt;=$D$3,1,0)</f>
        <v>1</v>
      </c>
      <c r="R8" t="s">
        <v>701</v>
      </c>
    </row>
    <row r="9" spans="1:22" hidden="1" x14ac:dyDescent="0.25">
      <c r="A9" s="1">
        <v>2</v>
      </c>
      <c r="C9" t="s">
        <v>394</v>
      </c>
      <c r="D9" s="17">
        <v>26255</v>
      </c>
      <c r="E9" s="7" t="s">
        <v>8</v>
      </c>
      <c r="F9" s="7" t="s">
        <v>395</v>
      </c>
      <c r="G9" s="7" t="s">
        <v>279</v>
      </c>
      <c r="H9" s="7" t="s">
        <v>35</v>
      </c>
      <c r="I9" s="8">
        <v>348492</v>
      </c>
      <c r="J9" s="7" t="s">
        <v>363</v>
      </c>
      <c r="K9" s="40">
        <v>16</v>
      </c>
      <c r="L9" s="40">
        <v>2</v>
      </c>
      <c r="M9" s="40">
        <v>10</v>
      </c>
      <c r="N9" s="8" t="s">
        <v>397</v>
      </c>
      <c r="O9" s="18">
        <v>44236</v>
      </c>
      <c r="P9" s="8" t="s">
        <v>38</v>
      </c>
      <c r="Q9" s="1">
        <f t="shared" ref="Q9:Q71" si="0">IF(O9&lt;=$D$3,1,0)</f>
        <v>1</v>
      </c>
      <c r="R9" t="s">
        <v>701</v>
      </c>
    </row>
    <row r="10" spans="1:22" hidden="1" x14ac:dyDescent="0.25">
      <c r="A10" s="1">
        <v>3</v>
      </c>
      <c r="C10" t="s">
        <v>394</v>
      </c>
      <c r="D10" s="17">
        <v>30250</v>
      </c>
      <c r="E10" s="7" t="s">
        <v>8</v>
      </c>
      <c r="F10" s="7" t="s">
        <v>398</v>
      </c>
      <c r="G10" s="7" t="s">
        <v>302</v>
      </c>
      <c r="H10" s="7" t="s">
        <v>35</v>
      </c>
      <c r="I10" s="8">
        <v>396482</v>
      </c>
      <c r="J10" s="7" t="s">
        <v>399</v>
      </c>
      <c r="K10" s="40">
        <v>8</v>
      </c>
      <c r="L10" s="40">
        <v>2</v>
      </c>
      <c r="M10" s="40">
        <v>2</v>
      </c>
      <c r="N10" s="8" t="s">
        <v>400</v>
      </c>
      <c r="O10" s="18">
        <v>44244</v>
      </c>
      <c r="P10" s="8" t="s">
        <v>38</v>
      </c>
      <c r="Q10" s="1">
        <f t="shared" si="0"/>
        <v>1</v>
      </c>
      <c r="R10" t="s">
        <v>701</v>
      </c>
    </row>
    <row r="11" spans="1:22" hidden="1" x14ac:dyDescent="0.25">
      <c r="A11" s="1">
        <v>4</v>
      </c>
      <c r="C11" t="s">
        <v>394</v>
      </c>
      <c r="D11" s="17">
        <v>30762</v>
      </c>
      <c r="E11" s="7" t="s">
        <v>8</v>
      </c>
      <c r="F11" s="7" t="s">
        <v>398</v>
      </c>
      <c r="G11" s="7" t="s">
        <v>235</v>
      </c>
      <c r="H11" s="7" t="s">
        <v>35</v>
      </c>
      <c r="I11" s="8">
        <v>374253</v>
      </c>
      <c r="J11" s="7" t="s">
        <v>41</v>
      </c>
      <c r="K11" s="40">
        <v>8</v>
      </c>
      <c r="L11" s="40">
        <v>2</v>
      </c>
      <c r="M11" s="40">
        <v>12</v>
      </c>
      <c r="N11" s="8" t="s">
        <v>47</v>
      </c>
      <c r="O11" s="18">
        <v>44250</v>
      </c>
      <c r="P11" s="8" t="s">
        <v>38</v>
      </c>
      <c r="Q11" s="1">
        <f t="shared" si="0"/>
        <v>1</v>
      </c>
      <c r="R11" t="s">
        <v>701</v>
      </c>
    </row>
    <row r="12" spans="1:22" hidden="1" x14ac:dyDescent="0.25">
      <c r="A12" s="1">
        <v>5</v>
      </c>
      <c r="C12" t="s">
        <v>394</v>
      </c>
      <c r="D12" s="17">
        <v>30251</v>
      </c>
      <c r="E12" s="7" t="s">
        <v>8</v>
      </c>
      <c r="F12" s="7" t="s">
        <v>398</v>
      </c>
      <c r="G12" s="7" t="s">
        <v>401</v>
      </c>
      <c r="H12" s="7" t="s">
        <v>35</v>
      </c>
      <c r="I12" s="8">
        <v>636204</v>
      </c>
      <c r="J12" s="7" t="s">
        <v>402</v>
      </c>
      <c r="K12" s="40">
        <v>16</v>
      </c>
      <c r="L12" s="40">
        <v>4</v>
      </c>
      <c r="M12" s="40">
        <v>1</v>
      </c>
      <c r="N12" s="8" t="s">
        <v>48</v>
      </c>
      <c r="O12" s="18">
        <v>44253</v>
      </c>
      <c r="P12" s="8" t="s">
        <v>38</v>
      </c>
      <c r="Q12" s="1">
        <f t="shared" si="0"/>
        <v>1</v>
      </c>
      <c r="R12" t="s">
        <v>701</v>
      </c>
    </row>
    <row r="13" spans="1:22" hidden="1" x14ac:dyDescent="0.25">
      <c r="A13" s="1">
        <v>6</v>
      </c>
      <c r="C13" t="s">
        <v>394</v>
      </c>
      <c r="D13" s="17">
        <v>30751</v>
      </c>
      <c r="E13" s="7" t="s">
        <v>8</v>
      </c>
      <c r="F13" s="7" t="s">
        <v>398</v>
      </c>
      <c r="G13" s="7" t="s">
        <v>159</v>
      </c>
      <c r="H13" s="7" t="s">
        <v>35</v>
      </c>
      <c r="I13" s="8">
        <v>365499</v>
      </c>
      <c r="J13" s="7" t="s">
        <v>291</v>
      </c>
      <c r="K13" s="40">
        <v>16</v>
      </c>
      <c r="L13" s="40">
        <v>4</v>
      </c>
      <c r="M13" s="40">
        <v>5</v>
      </c>
      <c r="N13" s="8" t="s">
        <v>49</v>
      </c>
      <c r="O13" s="18">
        <v>44259</v>
      </c>
      <c r="P13" s="8" t="s">
        <v>50</v>
      </c>
      <c r="Q13" s="1">
        <f t="shared" si="0"/>
        <v>1</v>
      </c>
      <c r="R13" t="s">
        <v>701</v>
      </c>
    </row>
    <row r="14" spans="1:22" hidden="1" x14ac:dyDescent="0.25">
      <c r="A14" s="1">
        <v>7</v>
      </c>
      <c r="C14" t="s">
        <v>394</v>
      </c>
      <c r="D14" s="17">
        <v>30218</v>
      </c>
      <c r="E14" s="7" t="s">
        <v>8</v>
      </c>
      <c r="F14" s="7" t="s">
        <v>398</v>
      </c>
      <c r="G14" s="7" t="s">
        <v>362</v>
      </c>
      <c r="H14" s="7" t="s">
        <v>35</v>
      </c>
      <c r="I14" s="8">
        <v>413600</v>
      </c>
      <c r="J14" s="7" t="s">
        <v>320</v>
      </c>
      <c r="K14" s="40">
        <v>24</v>
      </c>
      <c r="L14" s="40">
        <v>3</v>
      </c>
      <c r="M14" s="40">
        <v>10</v>
      </c>
      <c r="N14" s="8" t="s">
        <v>387</v>
      </c>
      <c r="O14" s="18">
        <v>44266</v>
      </c>
      <c r="P14" s="8" t="s">
        <v>50</v>
      </c>
      <c r="Q14" s="1">
        <f t="shared" si="0"/>
        <v>1</v>
      </c>
      <c r="R14" t="s">
        <v>701</v>
      </c>
    </row>
    <row r="15" spans="1:22" hidden="1" x14ac:dyDescent="0.25">
      <c r="A15" s="1">
        <v>8</v>
      </c>
      <c r="C15" t="s">
        <v>394</v>
      </c>
      <c r="D15" s="17">
        <v>30763</v>
      </c>
      <c r="E15" s="7" t="s">
        <v>8</v>
      </c>
      <c r="F15" s="7" t="s">
        <v>398</v>
      </c>
      <c r="G15" s="7" t="s">
        <v>235</v>
      </c>
      <c r="H15" s="7" t="s">
        <v>35</v>
      </c>
      <c r="I15" s="8">
        <v>354951</v>
      </c>
      <c r="J15" s="7" t="s">
        <v>63</v>
      </c>
      <c r="K15" s="40">
        <v>8</v>
      </c>
      <c r="L15" s="40">
        <v>2</v>
      </c>
      <c r="M15" s="40">
        <v>14</v>
      </c>
      <c r="N15" s="8" t="s">
        <v>403</v>
      </c>
      <c r="O15" s="18">
        <v>44271</v>
      </c>
      <c r="P15" s="8" t="s">
        <v>50</v>
      </c>
      <c r="Q15" s="1">
        <f t="shared" si="0"/>
        <v>1</v>
      </c>
      <c r="R15" t="s">
        <v>701</v>
      </c>
    </row>
    <row r="16" spans="1:22" hidden="1" x14ac:dyDescent="0.25">
      <c r="A16" s="1">
        <v>9</v>
      </c>
      <c r="C16" t="s">
        <v>394</v>
      </c>
      <c r="D16" s="17">
        <v>29726</v>
      </c>
      <c r="E16" s="7" t="s">
        <v>8</v>
      </c>
      <c r="F16" s="7" t="s">
        <v>398</v>
      </c>
      <c r="G16" s="7" t="s">
        <v>321</v>
      </c>
      <c r="H16" s="7" t="s">
        <v>35</v>
      </c>
      <c r="I16" s="8">
        <v>331056</v>
      </c>
      <c r="J16" s="7" t="s">
        <v>404</v>
      </c>
      <c r="K16" s="40">
        <v>16</v>
      </c>
      <c r="L16" s="40">
        <v>4</v>
      </c>
      <c r="M16" s="40">
        <v>2</v>
      </c>
      <c r="N16" s="8" t="s">
        <v>403</v>
      </c>
      <c r="O16" s="18">
        <v>44273</v>
      </c>
      <c r="P16" s="8" t="s">
        <v>50</v>
      </c>
      <c r="Q16" s="1">
        <f t="shared" si="0"/>
        <v>1</v>
      </c>
      <c r="R16" t="s">
        <v>701</v>
      </c>
    </row>
    <row r="17" spans="1:22" hidden="1" x14ac:dyDescent="0.25">
      <c r="A17" s="1">
        <v>10</v>
      </c>
      <c r="C17" t="s">
        <v>394</v>
      </c>
      <c r="D17" s="17">
        <v>22351</v>
      </c>
      <c r="E17" s="7" t="s">
        <v>15</v>
      </c>
      <c r="F17" s="7" t="s">
        <v>74</v>
      </c>
      <c r="G17" s="7" t="s">
        <v>264</v>
      </c>
      <c r="H17" s="7" t="s">
        <v>35</v>
      </c>
      <c r="I17" s="8">
        <v>352720</v>
      </c>
      <c r="J17" s="7" t="s">
        <v>373</v>
      </c>
      <c r="K17" s="40">
        <v>8</v>
      </c>
      <c r="L17" s="40">
        <v>1</v>
      </c>
      <c r="M17" s="40">
        <v>5</v>
      </c>
      <c r="N17" s="8" t="s">
        <v>405</v>
      </c>
      <c r="O17" s="18">
        <v>44279</v>
      </c>
      <c r="P17" s="8" t="s">
        <v>50</v>
      </c>
      <c r="Q17" s="1">
        <f t="shared" si="0"/>
        <v>1</v>
      </c>
      <c r="R17" t="s">
        <v>701</v>
      </c>
    </row>
    <row r="18" spans="1:22" hidden="1" x14ac:dyDescent="0.25">
      <c r="A18" s="1">
        <v>11</v>
      </c>
      <c r="C18" t="s">
        <v>394</v>
      </c>
      <c r="D18" s="17">
        <v>23710</v>
      </c>
      <c r="E18" s="7" t="s">
        <v>15</v>
      </c>
      <c r="F18" s="7" t="s">
        <v>369</v>
      </c>
      <c r="G18" s="7" t="s">
        <v>148</v>
      </c>
      <c r="H18" s="7" t="s">
        <v>35</v>
      </c>
      <c r="I18" s="8">
        <v>226483</v>
      </c>
      <c r="J18" s="7" t="s">
        <v>406</v>
      </c>
      <c r="K18" s="40">
        <v>8</v>
      </c>
      <c r="L18" s="40">
        <v>1</v>
      </c>
      <c r="M18" s="40">
        <v>11</v>
      </c>
      <c r="N18" s="8" t="s">
        <v>407</v>
      </c>
      <c r="O18" s="18">
        <v>44288</v>
      </c>
      <c r="P18" s="8" t="s">
        <v>60</v>
      </c>
      <c r="Q18" s="1">
        <f t="shared" si="0"/>
        <v>1</v>
      </c>
      <c r="R18" t="s">
        <v>701</v>
      </c>
      <c r="U18" s="93"/>
      <c r="V18" s="93" t="s">
        <v>848</v>
      </c>
    </row>
    <row r="19" spans="1:22" hidden="1" x14ac:dyDescent="0.25">
      <c r="A19" s="1">
        <v>12</v>
      </c>
      <c r="C19" t="s">
        <v>394</v>
      </c>
      <c r="D19" s="17">
        <v>24474</v>
      </c>
      <c r="E19" s="7" t="s">
        <v>12</v>
      </c>
      <c r="F19" s="7" t="s">
        <v>349</v>
      </c>
      <c r="G19" s="7" t="s">
        <v>40</v>
      </c>
      <c r="H19" s="7" t="s">
        <v>35</v>
      </c>
      <c r="I19" s="8">
        <v>352720</v>
      </c>
      <c r="J19" s="7" t="s">
        <v>373</v>
      </c>
      <c r="K19" s="40">
        <v>24</v>
      </c>
      <c r="L19" s="40">
        <v>3</v>
      </c>
      <c r="M19" s="40">
        <v>5</v>
      </c>
      <c r="N19" s="8" t="s">
        <v>408</v>
      </c>
      <c r="O19" s="18">
        <v>44288</v>
      </c>
      <c r="P19" s="8" t="s">
        <v>50</v>
      </c>
      <c r="Q19" s="1">
        <f t="shared" si="0"/>
        <v>1</v>
      </c>
      <c r="R19" t="s">
        <v>701</v>
      </c>
    </row>
    <row r="20" spans="1:22" hidden="1" x14ac:dyDescent="0.25">
      <c r="A20" s="1">
        <v>13</v>
      </c>
      <c r="C20" t="s">
        <v>394</v>
      </c>
      <c r="D20" s="17">
        <v>23706</v>
      </c>
      <c r="E20" s="7" t="s">
        <v>15</v>
      </c>
      <c r="F20" s="7" t="s">
        <v>369</v>
      </c>
      <c r="G20" s="7" t="s">
        <v>148</v>
      </c>
      <c r="H20" s="7" t="s">
        <v>35</v>
      </c>
      <c r="I20" s="8">
        <v>226483</v>
      </c>
      <c r="J20" s="7" t="s">
        <v>406</v>
      </c>
      <c r="K20" s="40">
        <v>8</v>
      </c>
      <c r="L20" s="40">
        <v>1</v>
      </c>
      <c r="M20" s="40">
        <v>10</v>
      </c>
      <c r="N20" s="8" t="s">
        <v>343</v>
      </c>
      <c r="O20" s="18">
        <v>44294</v>
      </c>
      <c r="P20" s="8" t="s">
        <v>60</v>
      </c>
      <c r="Q20" s="1">
        <f t="shared" si="0"/>
        <v>1</v>
      </c>
      <c r="R20" t="s">
        <v>701</v>
      </c>
    </row>
    <row r="21" spans="1:22" hidden="1" x14ac:dyDescent="0.25">
      <c r="A21" s="1">
        <v>14</v>
      </c>
      <c r="C21" t="s">
        <v>394</v>
      </c>
      <c r="D21" s="17">
        <v>23705</v>
      </c>
      <c r="E21" s="7" t="s">
        <v>15</v>
      </c>
      <c r="F21" s="7" t="s">
        <v>369</v>
      </c>
      <c r="G21" s="7" t="s">
        <v>148</v>
      </c>
      <c r="H21" s="7" t="s">
        <v>35</v>
      </c>
      <c r="I21" s="8">
        <v>455484</v>
      </c>
      <c r="J21" s="7" t="s">
        <v>409</v>
      </c>
      <c r="K21" s="40">
        <v>8</v>
      </c>
      <c r="L21" s="40">
        <v>1</v>
      </c>
      <c r="M21" s="40">
        <v>12</v>
      </c>
      <c r="N21" s="8" t="s">
        <v>372</v>
      </c>
      <c r="O21" s="18">
        <v>44295</v>
      </c>
      <c r="P21" s="8" t="s">
        <v>60</v>
      </c>
      <c r="Q21" s="1">
        <f t="shared" si="0"/>
        <v>1</v>
      </c>
      <c r="R21" t="s">
        <v>701</v>
      </c>
    </row>
    <row r="22" spans="1:22" hidden="1" x14ac:dyDescent="0.25">
      <c r="A22" s="1">
        <v>15</v>
      </c>
      <c r="C22" t="s">
        <v>394</v>
      </c>
      <c r="D22" s="17">
        <v>30255</v>
      </c>
      <c r="E22" s="7" t="s">
        <v>8</v>
      </c>
      <c r="F22" s="7" t="s">
        <v>398</v>
      </c>
      <c r="G22" s="7" t="s">
        <v>84</v>
      </c>
      <c r="H22" s="7" t="s">
        <v>35</v>
      </c>
      <c r="I22" s="8">
        <v>458886</v>
      </c>
      <c r="J22" s="7" t="s">
        <v>75</v>
      </c>
      <c r="K22" s="40">
        <v>16</v>
      </c>
      <c r="L22" s="40">
        <v>4</v>
      </c>
      <c r="M22" s="40">
        <v>1</v>
      </c>
      <c r="N22" s="8" t="s">
        <v>410</v>
      </c>
      <c r="O22" s="18">
        <v>44295</v>
      </c>
      <c r="P22" s="8" t="s">
        <v>60</v>
      </c>
      <c r="Q22" s="1">
        <f t="shared" si="0"/>
        <v>1</v>
      </c>
      <c r="R22" t="s">
        <v>701</v>
      </c>
    </row>
    <row r="23" spans="1:22" hidden="1" x14ac:dyDescent="0.25">
      <c r="A23" s="1">
        <v>16</v>
      </c>
      <c r="C23" t="s">
        <v>394</v>
      </c>
      <c r="D23" s="17">
        <v>23704</v>
      </c>
      <c r="E23" s="7" t="s">
        <v>15</v>
      </c>
      <c r="F23" s="7" t="s">
        <v>369</v>
      </c>
      <c r="G23" s="7" t="s">
        <v>148</v>
      </c>
      <c r="H23" s="7" t="s">
        <v>35</v>
      </c>
      <c r="I23" s="8">
        <v>455484</v>
      </c>
      <c r="J23" s="7" t="s">
        <v>409</v>
      </c>
      <c r="K23" s="40">
        <v>8</v>
      </c>
      <c r="L23" s="40">
        <v>1</v>
      </c>
      <c r="M23" s="40">
        <v>12</v>
      </c>
      <c r="N23" s="8" t="s">
        <v>344</v>
      </c>
      <c r="O23" s="18">
        <v>44298</v>
      </c>
      <c r="P23" s="8" t="s">
        <v>60</v>
      </c>
      <c r="Q23" s="1">
        <f t="shared" si="0"/>
        <v>1</v>
      </c>
      <c r="R23" t="s">
        <v>701</v>
      </c>
    </row>
    <row r="24" spans="1:22" hidden="1" x14ac:dyDescent="0.25">
      <c r="A24" s="1">
        <v>18</v>
      </c>
      <c r="C24" t="s">
        <v>394</v>
      </c>
      <c r="D24" s="17">
        <v>25143</v>
      </c>
      <c r="E24" s="7" t="s">
        <v>15</v>
      </c>
      <c r="F24" s="7" t="s">
        <v>369</v>
      </c>
      <c r="G24" s="7" t="s">
        <v>89</v>
      </c>
      <c r="H24" s="7" t="s">
        <v>35</v>
      </c>
      <c r="I24" s="8">
        <v>226483</v>
      </c>
      <c r="J24" s="7" t="s">
        <v>406</v>
      </c>
      <c r="K24" s="40">
        <v>16</v>
      </c>
      <c r="L24" s="40">
        <v>2</v>
      </c>
      <c r="M24" s="40">
        <v>6</v>
      </c>
      <c r="N24" s="8" t="s">
        <v>344</v>
      </c>
      <c r="O24" s="18">
        <v>44299</v>
      </c>
      <c r="P24" s="8" t="s">
        <v>60</v>
      </c>
      <c r="Q24" s="1">
        <f t="shared" si="0"/>
        <v>1</v>
      </c>
      <c r="R24" t="s">
        <v>701</v>
      </c>
    </row>
    <row r="25" spans="1:22" hidden="1" x14ac:dyDescent="0.25">
      <c r="A25" s="1">
        <v>19</v>
      </c>
      <c r="C25" t="s">
        <v>394</v>
      </c>
      <c r="D25" s="17">
        <v>23707</v>
      </c>
      <c r="E25" s="7" t="s">
        <v>15</v>
      </c>
      <c r="F25" s="7" t="s">
        <v>369</v>
      </c>
      <c r="G25" s="7" t="s">
        <v>148</v>
      </c>
      <c r="H25" s="7" t="s">
        <v>35</v>
      </c>
      <c r="I25" s="8">
        <v>455484</v>
      </c>
      <c r="J25" s="7" t="s">
        <v>409</v>
      </c>
      <c r="K25" s="40">
        <v>8</v>
      </c>
      <c r="L25" s="40">
        <v>1</v>
      </c>
      <c r="M25" s="40">
        <v>7</v>
      </c>
      <c r="N25" s="8" t="s">
        <v>411</v>
      </c>
      <c r="O25" s="18">
        <v>44299</v>
      </c>
      <c r="P25" s="8" t="s">
        <v>60</v>
      </c>
      <c r="Q25" s="1">
        <f t="shared" si="0"/>
        <v>1</v>
      </c>
      <c r="R25" t="s">
        <v>701</v>
      </c>
    </row>
    <row r="26" spans="1:22" s="110" customFormat="1" x14ac:dyDescent="0.25">
      <c r="A26" s="106">
        <v>17</v>
      </c>
      <c r="C26" s="110" t="s">
        <v>394</v>
      </c>
      <c r="D26" s="108">
        <v>26475</v>
      </c>
      <c r="E26" s="107" t="s">
        <v>6</v>
      </c>
      <c r="F26" s="107" t="s">
        <v>352</v>
      </c>
      <c r="G26" s="107" t="s">
        <v>390</v>
      </c>
      <c r="H26" s="107" t="s">
        <v>35</v>
      </c>
      <c r="I26" s="46">
        <v>352720</v>
      </c>
      <c r="J26" s="107" t="s">
        <v>373</v>
      </c>
      <c r="K26" s="108">
        <v>8</v>
      </c>
      <c r="L26" s="108">
        <v>1</v>
      </c>
      <c r="M26" s="108">
        <v>10</v>
      </c>
      <c r="N26" s="46" t="s">
        <v>344</v>
      </c>
      <c r="O26" s="47">
        <v>44298</v>
      </c>
      <c r="P26" s="46" t="s">
        <v>60</v>
      </c>
      <c r="Q26" s="106">
        <f>IF(O26&lt;=$D$3,1,0)</f>
        <v>1</v>
      </c>
      <c r="R26" s="110" t="s">
        <v>699</v>
      </c>
      <c r="S26" s="106">
        <v>8</v>
      </c>
      <c r="T26" s="110">
        <v>352720</v>
      </c>
      <c r="U26" s="110" t="s">
        <v>849</v>
      </c>
    </row>
    <row r="27" spans="1:22" x14ac:dyDescent="0.25">
      <c r="A27" s="1">
        <v>20</v>
      </c>
      <c r="C27" t="s">
        <v>394</v>
      </c>
      <c r="D27" s="17">
        <v>25521</v>
      </c>
      <c r="E27" s="7" t="s">
        <v>12</v>
      </c>
      <c r="F27" s="7" t="s">
        <v>349</v>
      </c>
      <c r="G27" s="7" t="s">
        <v>279</v>
      </c>
      <c r="H27" s="7" t="s">
        <v>35</v>
      </c>
      <c r="I27" s="8">
        <v>352720</v>
      </c>
      <c r="J27" s="7" t="s">
        <v>373</v>
      </c>
      <c r="K27" s="40">
        <v>16</v>
      </c>
      <c r="L27" s="40">
        <v>2</v>
      </c>
      <c r="M27" s="40">
        <v>10</v>
      </c>
      <c r="N27" s="8" t="s">
        <v>59</v>
      </c>
      <c r="O27" s="18">
        <v>44302</v>
      </c>
      <c r="P27" s="8" t="s">
        <v>60</v>
      </c>
      <c r="Q27" s="1">
        <f t="shared" si="0"/>
        <v>1</v>
      </c>
      <c r="R27" t="s">
        <v>699</v>
      </c>
      <c r="S27" s="1">
        <v>7</v>
      </c>
      <c r="T27">
        <v>352720</v>
      </c>
      <c r="U27" t="s">
        <v>849</v>
      </c>
    </row>
    <row r="28" spans="1:22" hidden="1" x14ac:dyDescent="0.25">
      <c r="A28" s="1">
        <v>21</v>
      </c>
      <c r="C28" t="s">
        <v>394</v>
      </c>
      <c r="D28" s="17">
        <v>30761</v>
      </c>
      <c r="E28" s="7" t="s">
        <v>8</v>
      </c>
      <c r="F28" s="7" t="s">
        <v>398</v>
      </c>
      <c r="G28" s="7" t="s">
        <v>235</v>
      </c>
      <c r="H28" s="7" t="s">
        <v>35</v>
      </c>
      <c r="I28" s="8">
        <v>354951</v>
      </c>
      <c r="J28" s="7" t="s">
        <v>63</v>
      </c>
      <c r="K28" s="40">
        <v>8</v>
      </c>
      <c r="L28" s="40">
        <v>2</v>
      </c>
      <c r="M28" s="40">
        <v>12</v>
      </c>
      <c r="N28" s="8" t="s">
        <v>67</v>
      </c>
      <c r="O28" s="18">
        <v>44306</v>
      </c>
      <c r="P28" s="8" t="s">
        <v>60</v>
      </c>
      <c r="Q28" s="1">
        <f t="shared" si="0"/>
        <v>1</v>
      </c>
      <c r="R28" s="16" t="s">
        <v>701</v>
      </c>
      <c r="V28" t="s">
        <v>850</v>
      </c>
    </row>
    <row r="29" spans="1:22" hidden="1" x14ac:dyDescent="0.25">
      <c r="A29" s="1">
        <v>22</v>
      </c>
      <c r="C29" t="s">
        <v>394</v>
      </c>
      <c r="D29" s="17">
        <v>24430</v>
      </c>
      <c r="E29" s="7" t="s">
        <v>12</v>
      </c>
      <c r="F29" s="7" t="s">
        <v>349</v>
      </c>
      <c r="G29" s="7" t="s">
        <v>127</v>
      </c>
      <c r="H29" s="7" t="s">
        <v>72</v>
      </c>
      <c r="I29" s="8">
        <v>374123</v>
      </c>
      <c r="J29" s="7" t="s">
        <v>412</v>
      </c>
      <c r="K29" s="40">
        <v>16</v>
      </c>
      <c r="L29" s="40">
        <v>2</v>
      </c>
      <c r="M29" s="40">
        <v>13</v>
      </c>
      <c r="N29" s="8" t="s">
        <v>375</v>
      </c>
      <c r="O29" s="18">
        <v>44309</v>
      </c>
      <c r="P29" s="8" t="s">
        <v>60</v>
      </c>
      <c r="Q29" s="1">
        <f t="shared" si="0"/>
        <v>1</v>
      </c>
      <c r="R29" s="16" t="s">
        <v>701</v>
      </c>
      <c r="V29" t="s">
        <v>851</v>
      </c>
    </row>
    <row r="30" spans="1:22" x14ac:dyDescent="0.25">
      <c r="A30" s="1">
        <v>23</v>
      </c>
      <c r="C30" t="s">
        <v>394</v>
      </c>
      <c r="D30" s="17">
        <v>26772</v>
      </c>
      <c r="E30" s="7" t="s">
        <v>6</v>
      </c>
      <c r="F30" s="7" t="s">
        <v>352</v>
      </c>
      <c r="G30" s="7" t="s">
        <v>148</v>
      </c>
      <c r="H30" s="7" t="s">
        <v>35</v>
      </c>
      <c r="I30" s="8">
        <v>228486</v>
      </c>
      <c r="J30" s="7" t="s">
        <v>389</v>
      </c>
      <c r="K30" s="40">
        <v>8</v>
      </c>
      <c r="L30" s="40">
        <v>1</v>
      </c>
      <c r="M30" s="40">
        <v>12</v>
      </c>
      <c r="N30" s="8" t="s">
        <v>413</v>
      </c>
      <c r="O30" s="18">
        <v>44313</v>
      </c>
      <c r="P30" s="8" t="s">
        <v>60</v>
      </c>
      <c r="Q30" s="1">
        <f t="shared" si="0"/>
        <v>1</v>
      </c>
      <c r="R30" t="s">
        <v>699</v>
      </c>
      <c r="S30" s="1">
        <v>8</v>
      </c>
      <c r="T30">
        <v>352720</v>
      </c>
      <c r="U30" t="s">
        <v>849</v>
      </c>
      <c r="V30" t="s">
        <v>852</v>
      </c>
    </row>
    <row r="31" spans="1:22" x14ac:dyDescent="0.25">
      <c r="A31" s="1">
        <v>24</v>
      </c>
      <c r="C31" t="s">
        <v>394</v>
      </c>
      <c r="D31" s="17">
        <v>26552</v>
      </c>
      <c r="E31" s="7" t="s">
        <v>6</v>
      </c>
      <c r="F31" s="7" t="s">
        <v>352</v>
      </c>
      <c r="G31" s="7" t="s">
        <v>40</v>
      </c>
      <c r="H31" s="7" t="s">
        <v>35</v>
      </c>
      <c r="I31" s="8">
        <v>352720</v>
      </c>
      <c r="J31" s="7" t="s">
        <v>373</v>
      </c>
      <c r="K31" s="40">
        <v>24</v>
      </c>
      <c r="L31" s="40">
        <v>3</v>
      </c>
      <c r="M31" s="40">
        <v>11</v>
      </c>
      <c r="N31" s="8" t="s">
        <v>281</v>
      </c>
      <c r="O31" s="18">
        <v>44335</v>
      </c>
      <c r="P31" s="8" t="s">
        <v>77</v>
      </c>
      <c r="Q31" s="1">
        <f t="shared" si="0"/>
        <v>1</v>
      </c>
      <c r="R31" t="s">
        <v>699</v>
      </c>
      <c r="S31" s="1">
        <v>10</v>
      </c>
      <c r="T31">
        <v>352720</v>
      </c>
      <c r="U31" t="s">
        <v>849</v>
      </c>
    </row>
    <row r="32" spans="1:22" hidden="1" x14ac:dyDescent="0.25">
      <c r="A32" s="1">
        <v>25</v>
      </c>
      <c r="C32" t="s">
        <v>394</v>
      </c>
      <c r="D32" s="17">
        <v>25132</v>
      </c>
      <c r="E32" s="7" t="s">
        <v>15</v>
      </c>
      <c r="F32" s="7" t="s">
        <v>369</v>
      </c>
      <c r="G32" s="7" t="s">
        <v>89</v>
      </c>
      <c r="H32" s="7" t="s">
        <v>35</v>
      </c>
      <c r="I32" s="8">
        <v>226483</v>
      </c>
      <c r="J32" s="7" t="s">
        <v>406</v>
      </c>
      <c r="K32" s="40">
        <v>16</v>
      </c>
      <c r="L32" s="40">
        <v>2</v>
      </c>
      <c r="M32" s="40">
        <v>10</v>
      </c>
      <c r="N32" s="8" t="s">
        <v>91</v>
      </c>
      <c r="O32" s="18">
        <v>44341</v>
      </c>
      <c r="P32" s="8" t="s">
        <v>77</v>
      </c>
      <c r="Q32" s="1">
        <f t="shared" si="0"/>
        <v>1</v>
      </c>
      <c r="R32" s="16" t="s">
        <v>701</v>
      </c>
      <c r="V32" t="s">
        <v>853</v>
      </c>
    </row>
    <row r="33" spans="1:22" hidden="1" x14ac:dyDescent="0.25">
      <c r="A33" s="1">
        <v>26</v>
      </c>
      <c r="C33" t="s">
        <v>394</v>
      </c>
      <c r="D33" s="17">
        <v>24439</v>
      </c>
      <c r="E33" s="7" t="s">
        <v>12</v>
      </c>
      <c r="F33" s="7" t="s">
        <v>349</v>
      </c>
      <c r="G33" s="7" t="s">
        <v>84</v>
      </c>
      <c r="H33" s="7" t="s">
        <v>35</v>
      </c>
      <c r="I33" s="8">
        <v>136596</v>
      </c>
      <c r="J33" s="7" t="s">
        <v>414</v>
      </c>
      <c r="K33" s="40">
        <v>16</v>
      </c>
      <c r="L33" s="40">
        <v>2</v>
      </c>
      <c r="M33" s="40">
        <v>13</v>
      </c>
      <c r="N33" s="8" t="s">
        <v>91</v>
      </c>
      <c r="O33" s="18">
        <v>44341</v>
      </c>
      <c r="P33" s="8" t="s">
        <v>77</v>
      </c>
      <c r="Q33" s="1">
        <f t="shared" si="0"/>
        <v>1</v>
      </c>
      <c r="R33" s="16" t="s">
        <v>701</v>
      </c>
    </row>
    <row r="34" spans="1:22" hidden="1" x14ac:dyDescent="0.25">
      <c r="A34" s="1">
        <v>27</v>
      </c>
      <c r="C34" t="s">
        <v>394</v>
      </c>
      <c r="D34" s="17">
        <v>25524</v>
      </c>
      <c r="E34" s="7" t="s">
        <v>12</v>
      </c>
      <c r="F34" s="7" t="s">
        <v>349</v>
      </c>
      <c r="G34" s="7" t="s">
        <v>279</v>
      </c>
      <c r="H34" s="7" t="s">
        <v>35</v>
      </c>
      <c r="I34" s="8">
        <v>352720</v>
      </c>
      <c r="J34" s="7" t="s">
        <v>373</v>
      </c>
      <c r="K34" s="40">
        <v>16</v>
      </c>
      <c r="L34" s="40">
        <v>2</v>
      </c>
      <c r="M34" s="40">
        <v>9</v>
      </c>
      <c r="N34" s="8" t="s">
        <v>91</v>
      </c>
      <c r="O34" s="18">
        <v>44341</v>
      </c>
      <c r="P34" s="8" t="s">
        <v>77</v>
      </c>
      <c r="Q34" s="1">
        <f t="shared" si="0"/>
        <v>1</v>
      </c>
      <c r="R34" s="16" t="s">
        <v>701</v>
      </c>
    </row>
    <row r="35" spans="1:22" x14ac:dyDescent="0.25">
      <c r="A35" s="1">
        <v>28</v>
      </c>
      <c r="C35" t="s">
        <v>394</v>
      </c>
      <c r="D35" s="17">
        <v>25525</v>
      </c>
      <c r="E35" s="7" t="s">
        <v>12</v>
      </c>
      <c r="F35" s="7" t="s">
        <v>349</v>
      </c>
      <c r="G35" s="7" t="s">
        <v>279</v>
      </c>
      <c r="H35" s="7" t="s">
        <v>35</v>
      </c>
      <c r="I35" s="8">
        <v>352720</v>
      </c>
      <c r="J35" s="7" t="s">
        <v>373</v>
      </c>
      <c r="K35" s="40">
        <v>16</v>
      </c>
      <c r="L35" s="40">
        <v>2</v>
      </c>
      <c r="M35" s="40">
        <v>7</v>
      </c>
      <c r="N35" s="8" t="s">
        <v>93</v>
      </c>
      <c r="O35" s="18">
        <v>44343</v>
      </c>
      <c r="P35" s="8" t="s">
        <v>77</v>
      </c>
      <c r="Q35" s="1">
        <f t="shared" si="0"/>
        <v>1</v>
      </c>
      <c r="R35" t="s">
        <v>699</v>
      </c>
      <c r="S35" s="1">
        <v>6</v>
      </c>
      <c r="T35">
        <v>352720</v>
      </c>
      <c r="U35" t="s">
        <v>849</v>
      </c>
    </row>
    <row r="36" spans="1:22" x14ac:dyDescent="0.25">
      <c r="A36" s="1">
        <v>29</v>
      </c>
      <c r="C36" t="s">
        <v>394</v>
      </c>
      <c r="D36" s="17">
        <v>25523</v>
      </c>
      <c r="E36" s="7" t="s">
        <v>12</v>
      </c>
      <c r="F36" s="7" t="s">
        <v>349</v>
      </c>
      <c r="G36" s="7" t="s">
        <v>279</v>
      </c>
      <c r="H36" s="7" t="s">
        <v>35</v>
      </c>
      <c r="I36" s="8">
        <v>352720</v>
      </c>
      <c r="J36" s="7" t="s">
        <v>373</v>
      </c>
      <c r="K36" s="40">
        <v>16</v>
      </c>
      <c r="L36" s="40">
        <v>2</v>
      </c>
      <c r="M36" s="40">
        <v>8</v>
      </c>
      <c r="N36" s="8" t="s">
        <v>99</v>
      </c>
      <c r="O36" s="18">
        <v>44349</v>
      </c>
      <c r="P36" s="8" t="s">
        <v>100</v>
      </c>
      <c r="Q36" s="1">
        <f t="shared" si="0"/>
        <v>1</v>
      </c>
      <c r="R36" t="s">
        <v>699</v>
      </c>
      <c r="S36" s="1">
        <v>5</v>
      </c>
      <c r="T36">
        <v>457409</v>
      </c>
      <c r="U36" t="s">
        <v>834</v>
      </c>
      <c r="V36" s="16" t="s">
        <v>854</v>
      </c>
    </row>
    <row r="37" spans="1:22" x14ac:dyDescent="0.25">
      <c r="A37" s="1">
        <v>30</v>
      </c>
      <c r="C37" t="s">
        <v>394</v>
      </c>
      <c r="D37" s="17">
        <v>24465</v>
      </c>
      <c r="E37" s="7" t="s">
        <v>12</v>
      </c>
      <c r="F37" s="7" t="s">
        <v>349</v>
      </c>
      <c r="G37" s="7" t="s">
        <v>235</v>
      </c>
      <c r="H37" s="7" t="s">
        <v>35</v>
      </c>
      <c r="I37" s="8">
        <v>352720</v>
      </c>
      <c r="J37" s="7" t="s">
        <v>373</v>
      </c>
      <c r="K37" s="40">
        <v>8</v>
      </c>
      <c r="L37" s="40">
        <v>1</v>
      </c>
      <c r="M37" s="40">
        <v>7</v>
      </c>
      <c r="N37" s="8" t="s">
        <v>102</v>
      </c>
      <c r="O37" s="18">
        <v>44355</v>
      </c>
      <c r="P37" s="8" t="s">
        <v>100</v>
      </c>
      <c r="Q37" s="1">
        <f t="shared" si="0"/>
        <v>1</v>
      </c>
      <c r="R37" t="s">
        <v>699</v>
      </c>
      <c r="S37" s="1">
        <v>6</v>
      </c>
      <c r="T37">
        <v>352720</v>
      </c>
      <c r="U37" t="s">
        <v>849</v>
      </c>
    </row>
    <row r="38" spans="1:22" x14ac:dyDescent="0.25">
      <c r="A38" s="1">
        <v>31</v>
      </c>
      <c r="C38" t="s">
        <v>394</v>
      </c>
      <c r="D38" s="17">
        <v>24468</v>
      </c>
      <c r="E38" s="7" t="s">
        <v>12</v>
      </c>
      <c r="F38" s="7" t="s">
        <v>349</v>
      </c>
      <c r="G38" s="7" t="s">
        <v>235</v>
      </c>
      <c r="H38" s="7" t="s">
        <v>35</v>
      </c>
      <c r="I38" s="8">
        <v>352720</v>
      </c>
      <c r="J38" s="7" t="s">
        <v>373</v>
      </c>
      <c r="K38" s="40">
        <v>8</v>
      </c>
      <c r="L38" s="40">
        <v>1</v>
      </c>
      <c r="M38" s="40">
        <v>6</v>
      </c>
      <c r="N38" s="8" t="s">
        <v>103</v>
      </c>
      <c r="O38" s="18">
        <v>44356</v>
      </c>
      <c r="P38" s="8" t="s">
        <v>100</v>
      </c>
      <c r="Q38" s="1">
        <f t="shared" si="0"/>
        <v>1</v>
      </c>
      <c r="R38" t="s">
        <v>699</v>
      </c>
      <c r="S38" s="1">
        <v>6</v>
      </c>
      <c r="T38">
        <v>352720</v>
      </c>
      <c r="U38" t="s">
        <v>849</v>
      </c>
    </row>
    <row r="39" spans="1:22" x14ac:dyDescent="0.25">
      <c r="A39" s="1">
        <v>32</v>
      </c>
      <c r="C39" t="s">
        <v>394</v>
      </c>
      <c r="D39" s="17">
        <v>24399</v>
      </c>
      <c r="E39" s="7" t="s">
        <v>12</v>
      </c>
      <c r="F39" s="7" t="s">
        <v>349</v>
      </c>
      <c r="G39" s="7" t="s">
        <v>62</v>
      </c>
      <c r="H39" s="7" t="s">
        <v>35</v>
      </c>
      <c r="I39" s="8">
        <v>228486</v>
      </c>
      <c r="J39" s="7" t="s">
        <v>389</v>
      </c>
      <c r="K39" s="40">
        <v>24</v>
      </c>
      <c r="L39" s="40">
        <v>3</v>
      </c>
      <c r="M39" s="40">
        <v>9</v>
      </c>
      <c r="N39" s="8" t="s">
        <v>295</v>
      </c>
      <c r="O39" s="18">
        <v>44356</v>
      </c>
      <c r="P39" s="8" t="s">
        <v>100</v>
      </c>
      <c r="Q39" s="1">
        <f t="shared" si="0"/>
        <v>1</v>
      </c>
      <c r="R39" t="s">
        <v>699</v>
      </c>
      <c r="S39" s="1">
        <v>4</v>
      </c>
      <c r="T39">
        <v>228486</v>
      </c>
      <c r="U39" t="s">
        <v>855</v>
      </c>
      <c r="V39" s="16" t="s">
        <v>856</v>
      </c>
    </row>
    <row r="40" spans="1:22" x14ac:dyDescent="0.25">
      <c r="A40" s="1">
        <v>33</v>
      </c>
      <c r="C40" t="s">
        <v>394</v>
      </c>
      <c r="D40" s="17">
        <v>24380</v>
      </c>
      <c r="E40" s="7" t="s">
        <v>12</v>
      </c>
      <c r="F40" s="7" t="s">
        <v>349</v>
      </c>
      <c r="G40" s="7" t="s">
        <v>89</v>
      </c>
      <c r="H40" s="7" t="s">
        <v>35</v>
      </c>
      <c r="I40" s="8">
        <v>352720</v>
      </c>
      <c r="J40" s="7" t="s">
        <v>373</v>
      </c>
      <c r="K40" s="40">
        <v>16</v>
      </c>
      <c r="L40" s="40">
        <v>2</v>
      </c>
      <c r="M40" s="40">
        <v>10</v>
      </c>
      <c r="N40" s="8" t="s">
        <v>104</v>
      </c>
      <c r="O40" s="18">
        <v>44358</v>
      </c>
      <c r="P40" s="8" t="s">
        <v>100</v>
      </c>
      <c r="Q40" s="1">
        <f t="shared" si="0"/>
        <v>1</v>
      </c>
      <c r="R40" t="s">
        <v>699</v>
      </c>
      <c r="S40" s="1">
        <v>10</v>
      </c>
      <c r="T40">
        <v>352720</v>
      </c>
      <c r="U40" t="s">
        <v>849</v>
      </c>
    </row>
    <row r="41" spans="1:22" hidden="1" x14ac:dyDescent="0.25">
      <c r="A41" s="1">
        <v>34</v>
      </c>
      <c r="C41" t="s">
        <v>394</v>
      </c>
      <c r="D41" s="17">
        <v>23731</v>
      </c>
      <c r="E41" s="7" t="s">
        <v>15</v>
      </c>
      <c r="F41" s="7" t="s">
        <v>74</v>
      </c>
      <c r="G41" s="7" t="s">
        <v>40</v>
      </c>
      <c r="H41" s="7" t="s">
        <v>35</v>
      </c>
      <c r="I41" s="8">
        <v>226483</v>
      </c>
      <c r="J41" s="7" t="s">
        <v>406</v>
      </c>
      <c r="K41" s="40">
        <v>24</v>
      </c>
      <c r="L41" s="40">
        <v>3</v>
      </c>
      <c r="M41" s="40">
        <v>3</v>
      </c>
      <c r="N41" s="8" t="s">
        <v>299</v>
      </c>
      <c r="O41" s="18">
        <v>44363</v>
      </c>
      <c r="P41" s="8" t="s">
        <v>100</v>
      </c>
      <c r="Q41" s="1">
        <f t="shared" si="0"/>
        <v>1</v>
      </c>
      <c r="R41" s="16" t="s">
        <v>701</v>
      </c>
      <c r="V41" t="s">
        <v>853</v>
      </c>
    </row>
    <row r="42" spans="1:22" x14ac:dyDescent="0.25">
      <c r="A42" s="1">
        <v>35</v>
      </c>
      <c r="C42" t="s">
        <v>394</v>
      </c>
      <c r="D42" s="17">
        <v>25522</v>
      </c>
      <c r="E42" s="7" t="s">
        <v>12</v>
      </c>
      <c r="F42" s="7" t="s">
        <v>349</v>
      </c>
      <c r="G42" s="7" t="s">
        <v>279</v>
      </c>
      <c r="H42" s="7" t="s">
        <v>35</v>
      </c>
      <c r="I42" s="8">
        <v>352720</v>
      </c>
      <c r="J42" s="7" t="s">
        <v>373</v>
      </c>
      <c r="K42" s="40">
        <v>16</v>
      </c>
      <c r="L42" s="40">
        <v>2</v>
      </c>
      <c r="M42" s="40">
        <v>8</v>
      </c>
      <c r="N42" s="8" t="s">
        <v>108</v>
      </c>
      <c r="O42" s="18">
        <v>44369</v>
      </c>
      <c r="P42" s="8" t="s">
        <v>100</v>
      </c>
      <c r="Q42" s="1">
        <f t="shared" si="0"/>
        <v>1</v>
      </c>
      <c r="R42" t="s">
        <v>699</v>
      </c>
      <c r="S42" s="1">
        <v>5</v>
      </c>
      <c r="T42">
        <v>352720</v>
      </c>
      <c r="U42" t="s">
        <v>849</v>
      </c>
    </row>
    <row r="43" spans="1:22" x14ac:dyDescent="0.25">
      <c r="A43" s="1">
        <v>36</v>
      </c>
      <c r="C43" t="s">
        <v>394</v>
      </c>
      <c r="D43" s="17">
        <v>24390</v>
      </c>
      <c r="E43" s="7" t="s">
        <v>12</v>
      </c>
      <c r="F43" s="7" t="s">
        <v>349</v>
      </c>
      <c r="G43" s="7" t="s">
        <v>68</v>
      </c>
      <c r="H43" s="7" t="s">
        <v>35</v>
      </c>
      <c r="I43" s="8">
        <v>228486</v>
      </c>
      <c r="J43" s="7" t="s">
        <v>389</v>
      </c>
      <c r="K43" s="40">
        <v>24</v>
      </c>
      <c r="L43" s="40">
        <v>3</v>
      </c>
      <c r="M43" s="40">
        <v>2</v>
      </c>
      <c r="N43" s="8" t="s">
        <v>108</v>
      </c>
      <c r="O43" s="18">
        <v>44370</v>
      </c>
      <c r="P43" s="8" t="s">
        <v>100</v>
      </c>
      <c r="Q43" s="1">
        <f t="shared" si="0"/>
        <v>1</v>
      </c>
      <c r="R43" t="s">
        <v>699</v>
      </c>
      <c r="S43" s="1">
        <v>8</v>
      </c>
      <c r="T43">
        <v>228486</v>
      </c>
      <c r="U43" t="s">
        <v>855</v>
      </c>
    </row>
    <row r="44" spans="1:22" hidden="1" x14ac:dyDescent="0.25">
      <c r="A44" s="1">
        <v>37</v>
      </c>
      <c r="C44" t="s">
        <v>394</v>
      </c>
      <c r="D44" s="17">
        <v>21357</v>
      </c>
      <c r="E44" s="7" t="s">
        <v>15</v>
      </c>
      <c r="F44" s="7" t="s">
        <v>186</v>
      </c>
      <c r="G44" s="7" t="s">
        <v>331</v>
      </c>
      <c r="H44" s="7" t="s">
        <v>35</v>
      </c>
      <c r="I44" s="8">
        <v>374123</v>
      </c>
      <c r="J44" s="7" t="s">
        <v>412</v>
      </c>
      <c r="K44" s="40">
        <v>32</v>
      </c>
      <c r="L44" s="40">
        <v>4</v>
      </c>
      <c r="M44" s="40">
        <v>1</v>
      </c>
      <c r="N44" s="8" t="s">
        <v>108</v>
      </c>
      <c r="O44" s="18">
        <v>44371</v>
      </c>
      <c r="P44" s="8" t="s">
        <v>100</v>
      </c>
      <c r="Q44" s="1">
        <f t="shared" si="0"/>
        <v>1</v>
      </c>
      <c r="R44" s="16" t="s">
        <v>701</v>
      </c>
      <c r="V44" t="s">
        <v>851</v>
      </c>
    </row>
    <row r="45" spans="1:22" x14ac:dyDescent="0.25">
      <c r="A45" s="1">
        <v>38</v>
      </c>
      <c r="C45" t="s">
        <v>394</v>
      </c>
      <c r="D45" s="17">
        <v>25125</v>
      </c>
      <c r="E45" s="7" t="s">
        <v>15</v>
      </c>
      <c r="F45" s="7" t="s">
        <v>369</v>
      </c>
      <c r="G45" s="7" t="s">
        <v>89</v>
      </c>
      <c r="H45" s="7" t="s">
        <v>35</v>
      </c>
      <c r="I45" s="8">
        <v>455484</v>
      </c>
      <c r="J45" s="7" t="s">
        <v>409</v>
      </c>
      <c r="K45" s="40">
        <v>16</v>
      </c>
      <c r="L45" s="40">
        <v>2</v>
      </c>
      <c r="M45" s="40">
        <v>9</v>
      </c>
      <c r="N45" s="8" t="s">
        <v>305</v>
      </c>
      <c r="O45" s="18">
        <v>44371</v>
      </c>
      <c r="P45" s="8" t="s">
        <v>100</v>
      </c>
      <c r="Q45" s="1">
        <f t="shared" si="0"/>
        <v>1</v>
      </c>
      <c r="R45" t="s">
        <v>699</v>
      </c>
      <c r="S45" s="1">
        <v>7</v>
      </c>
      <c r="T45">
        <v>455484</v>
      </c>
      <c r="U45" t="s">
        <v>857</v>
      </c>
    </row>
    <row r="46" spans="1:22" x14ac:dyDescent="0.25">
      <c r="A46" s="1">
        <v>39</v>
      </c>
      <c r="C46" t="s">
        <v>394</v>
      </c>
      <c r="D46" s="17">
        <v>24394</v>
      </c>
      <c r="E46" s="7" t="s">
        <v>12</v>
      </c>
      <c r="F46" s="7" t="s">
        <v>349</v>
      </c>
      <c r="G46" s="7" t="s">
        <v>68</v>
      </c>
      <c r="H46" s="7" t="s">
        <v>35</v>
      </c>
      <c r="I46" s="8">
        <v>228486</v>
      </c>
      <c r="J46" s="7" t="s">
        <v>389</v>
      </c>
      <c r="K46" s="40">
        <v>24</v>
      </c>
      <c r="L46" s="40">
        <v>3</v>
      </c>
      <c r="M46" s="40">
        <v>13</v>
      </c>
      <c r="N46" s="8" t="s">
        <v>110</v>
      </c>
      <c r="O46" s="18">
        <v>44373</v>
      </c>
      <c r="P46" s="8" t="s">
        <v>100</v>
      </c>
      <c r="Q46" s="1">
        <f t="shared" si="0"/>
        <v>1</v>
      </c>
      <c r="R46" t="s">
        <v>699</v>
      </c>
      <c r="S46" s="1">
        <v>5</v>
      </c>
      <c r="T46">
        <v>228486</v>
      </c>
      <c r="U46" t="s">
        <v>855</v>
      </c>
      <c r="V46" s="16"/>
    </row>
    <row r="47" spans="1:22" x14ac:dyDescent="0.25">
      <c r="A47" s="1">
        <v>40</v>
      </c>
      <c r="C47" t="s">
        <v>394</v>
      </c>
      <c r="D47" s="17">
        <v>25118</v>
      </c>
      <c r="E47" s="7" t="s">
        <v>15</v>
      </c>
      <c r="F47" s="7" t="s">
        <v>369</v>
      </c>
      <c r="G47" s="7" t="s">
        <v>89</v>
      </c>
      <c r="H47" s="7" t="s">
        <v>35</v>
      </c>
      <c r="I47" s="8">
        <v>455484</v>
      </c>
      <c r="J47" s="7" t="s">
        <v>409</v>
      </c>
      <c r="K47" s="40">
        <v>16</v>
      </c>
      <c r="L47" s="40">
        <v>2</v>
      </c>
      <c r="M47" s="40">
        <v>10</v>
      </c>
      <c r="N47" s="8" t="s">
        <v>310</v>
      </c>
      <c r="O47" s="18">
        <v>44383</v>
      </c>
      <c r="P47" s="8" t="s">
        <v>119</v>
      </c>
      <c r="Q47" s="1">
        <f t="shared" si="0"/>
        <v>1</v>
      </c>
      <c r="R47" t="s">
        <v>699</v>
      </c>
      <c r="S47" s="1">
        <v>7</v>
      </c>
      <c r="T47">
        <v>455484</v>
      </c>
      <c r="U47" t="s">
        <v>857</v>
      </c>
      <c r="V47" s="16" t="s">
        <v>858</v>
      </c>
    </row>
    <row r="48" spans="1:22" x14ac:dyDescent="0.25">
      <c r="A48" s="1">
        <v>41</v>
      </c>
      <c r="C48" t="s">
        <v>394</v>
      </c>
      <c r="D48" s="17">
        <v>24389</v>
      </c>
      <c r="E48" s="7" t="s">
        <v>12</v>
      </c>
      <c r="F48" s="7" t="s">
        <v>349</v>
      </c>
      <c r="G48" s="7" t="s">
        <v>68</v>
      </c>
      <c r="H48" s="7" t="s">
        <v>35</v>
      </c>
      <c r="I48" s="8">
        <v>228486</v>
      </c>
      <c r="J48" s="7" t="s">
        <v>389</v>
      </c>
      <c r="K48" s="40">
        <v>24</v>
      </c>
      <c r="L48" s="40">
        <v>3</v>
      </c>
      <c r="M48" s="40">
        <v>7</v>
      </c>
      <c r="N48" s="8" t="s">
        <v>310</v>
      </c>
      <c r="O48" s="18">
        <v>44384</v>
      </c>
      <c r="P48" s="8" t="s">
        <v>119</v>
      </c>
      <c r="Q48" s="1">
        <f t="shared" si="0"/>
        <v>1</v>
      </c>
      <c r="R48" t="s">
        <v>699</v>
      </c>
      <c r="S48" s="1">
        <v>5</v>
      </c>
      <c r="T48">
        <v>228486</v>
      </c>
      <c r="U48" t="s">
        <v>855</v>
      </c>
    </row>
    <row r="49" spans="1:22" x14ac:dyDescent="0.25">
      <c r="A49" s="1">
        <v>42</v>
      </c>
      <c r="C49" t="s">
        <v>394</v>
      </c>
      <c r="D49" s="17">
        <v>25117</v>
      </c>
      <c r="E49" s="7" t="s">
        <v>15</v>
      </c>
      <c r="F49" s="7" t="s">
        <v>369</v>
      </c>
      <c r="G49" s="7" t="s">
        <v>89</v>
      </c>
      <c r="H49" s="7" t="s">
        <v>35</v>
      </c>
      <c r="I49" s="8">
        <v>455484</v>
      </c>
      <c r="J49" s="7" t="s">
        <v>409</v>
      </c>
      <c r="K49" s="40">
        <v>16</v>
      </c>
      <c r="L49" s="40">
        <v>2</v>
      </c>
      <c r="M49" s="40">
        <v>10</v>
      </c>
      <c r="N49" s="8" t="s">
        <v>123</v>
      </c>
      <c r="O49" s="18">
        <v>44385</v>
      </c>
      <c r="P49" s="8" t="s">
        <v>119</v>
      </c>
      <c r="Q49" s="1">
        <f t="shared" si="0"/>
        <v>1</v>
      </c>
      <c r="R49" t="s">
        <v>699</v>
      </c>
      <c r="S49" s="1">
        <v>6</v>
      </c>
      <c r="T49">
        <v>455484</v>
      </c>
      <c r="U49" t="s">
        <v>857</v>
      </c>
      <c r="V49" s="16" t="s">
        <v>859</v>
      </c>
    </row>
    <row r="50" spans="1:22" x14ac:dyDescent="0.25">
      <c r="A50" s="1">
        <v>43</v>
      </c>
      <c r="C50" t="s">
        <v>394</v>
      </c>
      <c r="D50" s="17">
        <v>25128</v>
      </c>
      <c r="E50" s="7" t="s">
        <v>15</v>
      </c>
      <c r="F50" s="7" t="s">
        <v>369</v>
      </c>
      <c r="G50" s="7" t="s">
        <v>89</v>
      </c>
      <c r="H50" s="7" t="s">
        <v>35</v>
      </c>
      <c r="I50" s="8">
        <v>226483</v>
      </c>
      <c r="J50" s="7" t="s">
        <v>406</v>
      </c>
      <c r="K50" s="40">
        <v>16</v>
      </c>
      <c r="L50" s="40">
        <v>2</v>
      </c>
      <c r="M50" s="40">
        <v>13</v>
      </c>
      <c r="N50" s="8" t="s">
        <v>120</v>
      </c>
      <c r="O50" s="18">
        <v>44386</v>
      </c>
      <c r="P50" s="8" t="s">
        <v>119</v>
      </c>
      <c r="Q50" s="1">
        <f t="shared" si="0"/>
        <v>1</v>
      </c>
      <c r="R50" t="s">
        <v>699</v>
      </c>
      <c r="S50" s="1">
        <v>6</v>
      </c>
      <c r="T50">
        <v>455484</v>
      </c>
      <c r="U50" t="s">
        <v>857</v>
      </c>
      <c r="V50" s="16" t="s">
        <v>860</v>
      </c>
    </row>
    <row r="51" spans="1:22" hidden="1" x14ac:dyDescent="0.25">
      <c r="A51" s="1">
        <v>44</v>
      </c>
      <c r="C51" t="s">
        <v>394</v>
      </c>
      <c r="D51" s="17">
        <v>24344</v>
      </c>
      <c r="E51" s="7" t="s">
        <v>12</v>
      </c>
      <c r="F51" s="7" t="s">
        <v>349</v>
      </c>
      <c r="G51" s="7" t="s">
        <v>71</v>
      </c>
      <c r="H51" s="7" t="s">
        <v>35</v>
      </c>
      <c r="I51" s="8">
        <v>315738</v>
      </c>
      <c r="J51" s="7" t="s">
        <v>415</v>
      </c>
      <c r="K51" s="40">
        <v>16</v>
      </c>
      <c r="L51" s="40">
        <v>2</v>
      </c>
      <c r="M51" s="40">
        <v>14</v>
      </c>
      <c r="N51" s="8" t="s">
        <v>311</v>
      </c>
      <c r="O51" s="18">
        <v>44386</v>
      </c>
      <c r="P51" s="8" t="s">
        <v>119</v>
      </c>
      <c r="Q51" s="1">
        <f t="shared" si="0"/>
        <v>1</v>
      </c>
      <c r="R51" s="16" t="s">
        <v>701</v>
      </c>
      <c r="V51" t="s">
        <v>851</v>
      </c>
    </row>
    <row r="52" spans="1:22" x14ac:dyDescent="0.25">
      <c r="A52" s="1">
        <v>45</v>
      </c>
      <c r="C52" t="s">
        <v>394</v>
      </c>
      <c r="D52" s="17">
        <v>24398</v>
      </c>
      <c r="E52" s="7" t="s">
        <v>12</v>
      </c>
      <c r="F52" s="7" t="s">
        <v>349</v>
      </c>
      <c r="G52" s="7" t="s">
        <v>62</v>
      </c>
      <c r="H52" s="7" t="s">
        <v>35</v>
      </c>
      <c r="I52" s="8">
        <v>228486</v>
      </c>
      <c r="J52" s="7" t="s">
        <v>389</v>
      </c>
      <c r="K52" s="40">
        <v>24</v>
      </c>
      <c r="L52" s="40">
        <v>3</v>
      </c>
      <c r="M52" s="40">
        <v>10</v>
      </c>
      <c r="N52" s="8" t="s">
        <v>120</v>
      </c>
      <c r="O52" s="18">
        <v>44387</v>
      </c>
      <c r="P52" s="8" t="s">
        <v>119</v>
      </c>
      <c r="Q52" s="1">
        <f t="shared" si="0"/>
        <v>1</v>
      </c>
      <c r="R52" t="s">
        <v>699</v>
      </c>
      <c r="S52" s="1">
        <v>8</v>
      </c>
      <c r="T52">
        <v>228333</v>
      </c>
      <c r="U52" t="s">
        <v>861</v>
      </c>
      <c r="V52" s="16" t="s">
        <v>862</v>
      </c>
    </row>
    <row r="53" spans="1:22" x14ac:dyDescent="0.25">
      <c r="A53" s="1">
        <v>46</v>
      </c>
      <c r="C53" t="s">
        <v>394</v>
      </c>
      <c r="D53" s="17">
        <v>25116</v>
      </c>
      <c r="E53" s="7" t="s">
        <v>15</v>
      </c>
      <c r="F53" s="7" t="s">
        <v>369</v>
      </c>
      <c r="G53" s="7" t="s">
        <v>89</v>
      </c>
      <c r="H53" s="7" t="s">
        <v>35</v>
      </c>
      <c r="I53" s="8">
        <v>455484</v>
      </c>
      <c r="J53" s="7" t="s">
        <v>409</v>
      </c>
      <c r="K53" s="40">
        <v>16</v>
      </c>
      <c r="L53" s="40">
        <v>2</v>
      </c>
      <c r="M53" s="40">
        <v>11</v>
      </c>
      <c r="N53" s="8" t="s">
        <v>126</v>
      </c>
      <c r="O53" s="18">
        <v>44390</v>
      </c>
      <c r="P53" s="8" t="s">
        <v>119</v>
      </c>
      <c r="Q53" s="1">
        <f t="shared" si="0"/>
        <v>1</v>
      </c>
      <c r="R53" t="s">
        <v>699</v>
      </c>
      <c r="S53" s="1">
        <v>4</v>
      </c>
      <c r="T53">
        <v>455484</v>
      </c>
      <c r="U53" t="s">
        <v>857</v>
      </c>
      <c r="V53" s="16" t="s">
        <v>863</v>
      </c>
    </row>
    <row r="54" spans="1:22" s="170" customFormat="1" x14ac:dyDescent="0.25">
      <c r="A54" s="144">
        <v>47</v>
      </c>
      <c r="C54" s="170" t="s">
        <v>394</v>
      </c>
      <c r="D54" s="178">
        <v>24408</v>
      </c>
      <c r="E54" s="179" t="s">
        <v>12</v>
      </c>
      <c r="F54" s="179" t="s">
        <v>349</v>
      </c>
      <c r="G54" s="179" t="s">
        <v>159</v>
      </c>
      <c r="H54" s="179" t="s">
        <v>35</v>
      </c>
      <c r="I54" s="8">
        <v>228486</v>
      </c>
      <c r="J54" s="7" t="s">
        <v>389</v>
      </c>
      <c r="K54" s="178">
        <v>16</v>
      </c>
      <c r="L54" s="178">
        <v>2</v>
      </c>
      <c r="M54" s="178">
        <v>10</v>
      </c>
      <c r="N54" s="180" t="s">
        <v>126</v>
      </c>
      <c r="O54" s="186">
        <v>44390</v>
      </c>
      <c r="P54" s="180" t="s">
        <v>119</v>
      </c>
      <c r="Q54" s="144">
        <f t="shared" si="0"/>
        <v>1</v>
      </c>
      <c r="R54" s="170" t="s">
        <v>699</v>
      </c>
      <c r="S54" s="144">
        <v>8</v>
      </c>
      <c r="T54" s="170">
        <v>228333</v>
      </c>
      <c r="U54" t="s">
        <v>861</v>
      </c>
      <c r="V54" s="187" t="s">
        <v>864</v>
      </c>
    </row>
    <row r="55" spans="1:22" s="170" customFormat="1" x14ac:dyDescent="0.25">
      <c r="A55" s="144">
        <v>48</v>
      </c>
      <c r="C55" s="170" t="s">
        <v>394</v>
      </c>
      <c r="D55" s="178">
        <v>24410</v>
      </c>
      <c r="E55" s="179" t="s">
        <v>12</v>
      </c>
      <c r="F55" s="179" t="s">
        <v>349</v>
      </c>
      <c r="G55" s="179" t="s">
        <v>159</v>
      </c>
      <c r="H55" s="179" t="s">
        <v>35</v>
      </c>
      <c r="I55" s="8">
        <v>228486</v>
      </c>
      <c r="J55" s="7" t="s">
        <v>389</v>
      </c>
      <c r="K55" s="178">
        <v>16</v>
      </c>
      <c r="L55" s="178">
        <v>2</v>
      </c>
      <c r="M55" s="178">
        <v>3</v>
      </c>
      <c r="N55" s="180" t="s">
        <v>128</v>
      </c>
      <c r="O55" s="186">
        <v>44392</v>
      </c>
      <c r="P55" s="180" t="s">
        <v>119</v>
      </c>
      <c r="Q55" s="144">
        <f t="shared" si="0"/>
        <v>1</v>
      </c>
      <c r="R55" s="170" t="s">
        <v>699</v>
      </c>
      <c r="S55" s="144">
        <v>5</v>
      </c>
      <c r="T55" s="170">
        <v>228333</v>
      </c>
      <c r="U55" t="s">
        <v>861</v>
      </c>
      <c r="V55" s="187" t="s">
        <v>865</v>
      </c>
    </row>
    <row r="56" spans="1:22" s="170" customFormat="1" x14ac:dyDescent="0.25">
      <c r="A56" s="144">
        <v>49</v>
      </c>
      <c r="C56" s="170" t="s">
        <v>394</v>
      </c>
      <c r="D56" s="178">
        <v>24409</v>
      </c>
      <c r="E56" s="179" t="s">
        <v>12</v>
      </c>
      <c r="F56" s="179" t="s">
        <v>349</v>
      </c>
      <c r="G56" s="179" t="s">
        <v>159</v>
      </c>
      <c r="H56" s="179" t="s">
        <v>35</v>
      </c>
      <c r="I56" s="8">
        <v>228486</v>
      </c>
      <c r="J56" s="7" t="s">
        <v>389</v>
      </c>
      <c r="K56" s="178">
        <v>16</v>
      </c>
      <c r="L56" s="178">
        <v>2</v>
      </c>
      <c r="M56" s="178">
        <v>10</v>
      </c>
      <c r="N56" s="180" t="s">
        <v>129</v>
      </c>
      <c r="O56" s="186">
        <v>44394</v>
      </c>
      <c r="P56" s="180" t="s">
        <v>119</v>
      </c>
      <c r="Q56" s="144">
        <f t="shared" si="0"/>
        <v>1</v>
      </c>
      <c r="R56" s="170" t="s">
        <v>699</v>
      </c>
      <c r="S56" s="144">
        <v>9</v>
      </c>
      <c r="T56" s="170">
        <v>228333</v>
      </c>
      <c r="U56" t="s">
        <v>861</v>
      </c>
      <c r="V56" s="187" t="s">
        <v>866</v>
      </c>
    </row>
    <row r="57" spans="1:22" ht="16.5" hidden="1" customHeight="1" x14ac:dyDescent="0.25">
      <c r="A57" s="1">
        <v>50</v>
      </c>
      <c r="C57" t="s">
        <v>394</v>
      </c>
      <c r="D57" s="17">
        <v>25123</v>
      </c>
      <c r="E57" s="7" t="s">
        <v>15</v>
      </c>
      <c r="F57" s="7" t="s">
        <v>369</v>
      </c>
      <c r="G57" s="7" t="s">
        <v>89</v>
      </c>
      <c r="H57" s="7" t="s">
        <v>35</v>
      </c>
      <c r="I57" s="8">
        <v>455484</v>
      </c>
      <c r="J57" s="7" t="s">
        <v>409</v>
      </c>
      <c r="K57" s="40">
        <v>16</v>
      </c>
      <c r="L57" s="40">
        <v>2</v>
      </c>
      <c r="M57" s="40">
        <v>15</v>
      </c>
      <c r="N57" s="8" t="s">
        <v>134</v>
      </c>
      <c r="O57" s="18">
        <v>44404</v>
      </c>
      <c r="P57" s="8" t="s">
        <v>119</v>
      </c>
      <c r="Q57" s="1">
        <f t="shared" si="0"/>
        <v>1</v>
      </c>
      <c r="R57" s="16" t="s">
        <v>701</v>
      </c>
      <c r="T57">
        <v>455484</v>
      </c>
      <c r="U57" t="s">
        <v>857</v>
      </c>
      <c r="V57" s="16" t="s">
        <v>863</v>
      </c>
    </row>
    <row r="58" spans="1:22" hidden="1" x14ac:dyDescent="0.25">
      <c r="A58" s="1">
        <v>51</v>
      </c>
      <c r="C58" t="s">
        <v>394</v>
      </c>
      <c r="D58" s="17">
        <v>21560</v>
      </c>
      <c r="E58" s="7" t="s">
        <v>15</v>
      </c>
      <c r="F58" s="7" t="s">
        <v>74</v>
      </c>
      <c r="G58" s="7" t="s">
        <v>171</v>
      </c>
      <c r="H58" s="7" t="s">
        <v>72</v>
      </c>
      <c r="I58" s="8">
        <v>374123</v>
      </c>
      <c r="J58" s="7" t="s">
        <v>412</v>
      </c>
      <c r="K58" s="40">
        <v>8</v>
      </c>
      <c r="L58" s="40">
        <v>1</v>
      </c>
      <c r="M58" s="40">
        <v>10</v>
      </c>
      <c r="N58" s="8" t="s">
        <v>136</v>
      </c>
      <c r="O58" s="18">
        <v>44405</v>
      </c>
      <c r="P58" s="8" t="s">
        <v>119</v>
      </c>
      <c r="Q58" s="1">
        <f t="shared" si="0"/>
        <v>1</v>
      </c>
      <c r="R58" s="16" t="s">
        <v>701</v>
      </c>
      <c r="V58" t="s">
        <v>851</v>
      </c>
    </row>
    <row r="59" spans="1:22" x14ac:dyDescent="0.25">
      <c r="A59" s="1">
        <v>52</v>
      </c>
      <c r="C59" t="s">
        <v>394</v>
      </c>
      <c r="D59" s="17">
        <v>22096</v>
      </c>
      <c r="E59" s="7" t="s">
        <v>15</v>
      </c>
      <c r="F59" s="7" t="s">
        <v>74</v>
      </c>
      <c r="G59" s="7" t="s">
        <v>148</v>
      </c>
      <c r="H59" s="7" t="s">
        <v>35</v>
      </c>
      <c r="I59" s="8">
        <v>226483</v>
      </c>
      <c r="J59" s="7" t="s">
        <v>406</v>
      </c>
      <c r="K59" s="40">
        <v>8</v>
      </c>
      <c r="L59" s="40">
        <v>1</v>
      </c>
      <c r="M59" s="40">
        <v>3</v>
      </c>
      <c r="N59" s="8" t="s">
        <v>154</v>
      </c>
      <c r="O59" s="18">
        <v>44424</v>
      </c>
      <c r="P59" s="8" t="s">
        <v>141</v>
      </c>
      <c r="Q59" s="1">
        <f t="shared" si="0"/>
        <v>1</v>
      </c>
      <c r="R59" s="218" t="s">
        <v>699</v>
      </c>
      <c r="S59" s="1">
        <v>3</v>
      </c>
      <c r="T59">
        <v>352720</v>
      </c>
      <c r="U59" t="s">
        <v>849</v>
      </c>
      <c r="V59" t="s">
        <v>853</v>
      </c>
    </row>
    <row r="60" spans="1:22" hidden="1" x14ac:dyDescent="0.25">
      <c r="A60" s="1">
        <v>53</v>
      </c>
      <c r="C60" t="s">
        <v>394</v>
      </c>
      <c r="D60" s="17">
        <v>21987</v>
      </c>
      <c r="E60" s="7" t="s">
        <v>8</v>
      </c>
      <c r="F60" s="7" t="s">
        <v>142</v>
      </c>
      <c r="G60" s="7" t="s">
        <v>105</v>
      </c>
      <c r="H60" s="7" t="s">
        <v>35</v>
      </c>
      <c r="I60" s="8">
        <v>343036</v>
      </c>
      <c r="J60" s="7" t="s">
        <v>416</v>
      </c>
      <c r="K60" s="40">
        <v>16</v>
      </c>
      <c r="L60" s="40">
        <v>2</v>
      </c>
      <c r="M60" s="40">
        <v>6</v>
      </c>
      <c r="N60" s="8" t="s">
        <v>154</v>
      </c>
      <c r="O60" s="18">
        <v>44425</v>
      </c>
      <c r="P60" s="8" t="s">
        <v>141</v>
      </c>
      <c r="Q60" s="1">
        <f t="shared" si="0"/>
        <v>1</v>
      </c>
      <c r="R60" s="16" t="s">
        <v>701</v>
      </c>
      <c r="V60" t="s">
        <v>850</v>
      </c>
    </row>
    <row r="61" spans="1:22" hidden="1" x14ac:dyDescent="0.25">
      <c r="A61" s="1">
        <v>54</v>
      </c>
      <c r="C61" t="s">
        <v>394</v>
      </c>
      <c r="D61" s="17">
        <v>26145</v>
      </c>
      <c r="E61" s="7" t="s">
        <v>8</v>
      </c>
      <c r="F61" s="7" t="s">
        <v>142</v>
      </c>
      <c r="G61" s="7" t="s">
        <v>331</v>
      </c>
      <c r="H61" s="7" t="s">
        <v>35</v>
      </c>
      <c r="I61" s="8">
        <v>279089</v>
      </c>
      <c r="J61" s="7" t="s">
        <v>417</v>
      </c>
      <c r="K61" s="40">
        <v>32</v>
      </c>
      <c r="L61" s="40">
        <v>4</v>
      </c>
      <c r="M61" s="40">
        <v>1</v>
      </c>
      <c r="N61" s="8" t="s">
        <v>155</v>
      </c>
      <c r="O61" s="18">
        <v>44428</v>
      </c>
      <c r="P61" s="8" t="s">
        <v>141</v>
      </c>
      <c r="Q61" s="1">
        <f t="shared" si="0"/>
        <v>1</v>
      </c>
      <c r="R61" s="16" t="s">
        <v>701</v>
      </c>
      <c r="V61" t="s">
        <v>850</v>
      </c>
    </row>
    <row r="62" spans="1:22" hidden="1" x14ac:dyDescent="0.25">
      <c r="A62" s="1">
        <v>55</v>
      </c>
      <c r="C62" t="s">
        <v>394</v>
      </c>
      <c r="D62" s="17">
        <v>24350</v>
      </c>
      <c r="E62" s="7" t="s">
        <v>12</v>
      </c>
      <c r="F62" s="7" t="s">
        <v>349</v>
      </c>
      <c r="G62" s="7" t="s">
        <v>223</v>
      </c>
      <c r="H62" s="7" t="s">
        <v>35</v>
      </c>
      <c r="I62" s="8">
        <v>812346</v>
      </c>
      <c r="J62" s="7" t="s">
        <v>418</v>
      </c>
      <c r="K62" s="40">
        <v>16</v>
      </c>
      <c r="L62" s="40">
        <v>2</v>
      </c>
      <c r="M62" s="40">
        <v>2</v>
      </c>
      <c r="N62" s="8" t="s">
        <v>166</v>
      </c>
      <c r="O62" s="18">
        <v>44435</v>
      </c>
      <c r="P62" s="8" t="s">
        <v>141</v>
      </c>
      <c r="Q62" s="1">
        <f t="shared" si="0"/>
        <v>1</v>
      </c>
      <c r="R62" s="16" t="s">
        <v>701</v>
      </c>
      <c r="V62" t="s">
        <v>851</v>
      </c>
    </row>
    <row r="63" spans="1:22" hidden="1" x14ac:dyDescent="0.25">
      <c r="A63" s="1">
        <v>56</v>
      </c>
      <c r="C63" t="s">
        <v>394</v>
      </c>
      <c r="D63" s="17">
        <v>24543</v>
      </c>
      <c r="E63" s="7" t="s">
        <v>15</v>
      </c>
      <c r="F63" s="7" t="s">
        <v>369</v>
      </c>
      <c r="G63" s="7" t="s">
        <v>264</v>
      </c>
      <c r="H63" s="7" t="s">
        <v>35</v>
      </c>
      <c r="I63" s="8">
        <v>226483</v>
      </c>
      <c r="J63" s="7" t="s">
        <v>406</v>
      </c>
      <c r="K63" s="40">
        <v>8</v>
      </c>
      <c r="L63" s="40">
        <v>1</v>
      </c>
      <c r="M63" s="40">
        <v>12</v>
      </c>
      <c r="N63" s="8" t="s">
        <v>177</v>
      </c>
      <c r="O63" s="18">
        <v>44445</v>
      </c>
      <c r="P63" s="8" t="s">
        <v>173</v>
      </c>
      <c r="Q63" s="1">
        <f t="shared" si="0"/>
        <v>1</v>
      </c>
      <c r="R63" s="16" t="s">
        <v>701</v>
      </c>
      <c r="V63" t="s">
        <v>853</v>
      </c>
    </row>
    <row r="64" spans="1:22" hidden="1" x14ac:dyDescent="0.25">
      <c r="A64" s="1">
        <v>57</v>
      </c>
      <c r="C64" t="s">
        <v>394</v>
      </c>
      <c r="D64" s="17">
        <v>24423</v>
      </c>
      <c r="E64" s="7" t="s">
        <v>12</v>
      </c>
      <c r="F64" s="7" t="s">
        <v>349</v>
      </c>
      <c r="G64" s="7" t="s">
        <v>401</v>
      </c>
      <c r="H64" s="7" t="s">
        <v>72</v>
      </c>
      <c r="I64" s="8">
        <v>812346</v>
      </c>
      <c r="J64" s="7" t="s">
        <v>418</v>
      </c>
      <c r="K64" s="40">
        <v>16</v>
      </c>
      <c r="L64" s="40">
        <v>2</v>
      </c>
      <c r="M64" s="40">
        <v>7</v>
      </c>
      <c r="N64" s="8" t="s">
        <v>190</v>
      </c>
      <c r="O64" s="18">
        <v>44463</v>
      </c>
      <c r="P64" s="8" t="s">
        <v>173</v>
      </c>
      <c r="Q64" s="1">
        <f t="shared" si="0"/>
        <v>1</v>
      </c>
      <c r="R64" s="16" t="s">
        <v>701</v>
      </c>
      <c r="V64" t="s">
        <v>851</v>
      </c>
    </row>
    <row r="65" spans="1:22" x14ac:dyDescent="0.25">
      <c r="A65" s="1">
        <v>58</v>
      </c>
      <c r="C65" t="s">
        <v>394</v>
      </c>
      <c r="D65" s="17">
        <v>21404</v>
      </c>
      <c r="E65" s="7" t="s">
        <v>15</v>
      </c>
      <c r="F65" s="7" t="s">
        <v>74</v>
      </c>
      <c r="G65" s="7" t="s">
        <v>294</v>
      </c>
      <c r="H65" s="7" t="s">
        <v>35</v>
      </c>
      <c r="I65" s="8">
        <v>226483</v>
      </c>
      <c r="J65" s="7" t="s">
        <v>406</v>
      </c>
      <c r="K65" s="40">
        <v>8</v>
      </c>
      <c r="L65" s="40">
        <v>1</v>
      </c>
      <c r="M65" s="40">
        <v>3</v>
      </c>
      <c r="N65" s="8" t="s">
        <v>203</v>
      </c>
      <c r="O65" s="18">
        <v>44474</v>
      </c>
      <c r="P65" s="8" t="s">
        <v>202</v>
      </c>
      <c r="Q65" s="1">
        <f t="shared" si="0"/>
        <v>1</v>
      </c>
      <c r="R65" t="s">
        <v>699</v>
      </c>
      <c r="S65" s="1">
        <v>5</v>
      </c>
      <c r="T65">
        <v>226483</v>
      </c>
      <c r="U65" t="s">
        <v>867</v>
      </c>
      <c r="V65" t="s">
        <v>868</v>
      </c>
    </row>
    <row r="66" spans="1:22" x14ac:dyDescent="0.25">
      <c r="A66" s="1">
        <v>59</v>
      </c>
      <c r="C66" t="s">
        <v>394</v>
      </c>
      <c r="D66" s="17">
        <v>29127</v>
      </c>
      <c r="E66" s="7" t="s">
        <v>12</v>
      </c>
      <c r="F66" s="7" t="s">
        <v>349</v>
      </c>
      <c r="G66" s="7" t="s">
        <v>288</v>
      </c>
      <c r="H66" s="7" t="s">
        <v>35</v>
      </c>
      <c r="I66" s="8">
        <v>352720</v>
      </c>
      <c r="J66" s="7" t="s">
        <v>373</v>
      </c>
      <c r="K66" s="40">
        <v>16</v>
      </c>
      <c r="L66" s="40">
        <v>2</v>
      </c>
      <c r="M66" s="40">
        <v>6</v>
      </c>
      <c r="N66" s="8" t="s">
        <v>210</v>
      </c>
      <c r="O66" s="18">
        <v>44484</v>
      </c>
      <c r="P66" s="8" t="s">
        <v>202</v>
      </c>
      <c r="Q66" s="1">
        <f t="shared" si="0"/>
        <v>1</v>
      </c>
      <c r="R66" t="s">
        <v>699</v>
      </c>
      <c r="S66" s="1">
        <v>8</v>
      </c>
      <c r="V66" t="s">
        <v>869</v>
      </c>
    </row>
    <row r="67" spans="1:22" x14ac:dyDescent="0.25">
      <c r="A67" s="1">
        <v>60</v>
      </c>
      <c r="C67" t="s">
        <v>394</v>
      </c>
      <c r="D67" s="17">
        <v>21603</v>
      </c>
      <c r="E67" s="7" t="s">
        <v>15</v>
      </c>
      <c r="F67" s="7" t="s">
        <v>74</v>
      </c>
      <c r="G67" s="7" t="s">
        <v>199</v>
      </c>
      <c r="H67" s="7" t="s">
        <v>35</v>
      </c>
      <c r="I67" s="8">
        <v>226483</v>
      </c>
      <c r="J67" s="7" t="s">
        <v>406</v>
      </c>
      <c r="K67" s="40">
        <v>8</v>
      </c>
      <c r="L67" s="40">
        <v>1</v>
      </c>
      <c r="M67" s="40">
        <v>1</v>
      </c>
      <c r="N67" s="8" t="s">
        <v>217</v>
      </c>
      <c r="O67" s="18">
        <v>44488</v>
      </c>
      <c r="P67" s="8" t="s">
        <v>202</v>
      </c>
      <c r="Q67" s="1">
        <f t="shared" si="0"/>
        <v>1</v>
      </c>
      <c r="R67" t="s">
        <v>699</v>
      </c>
      <c r="S67" s="1">
        <v>8</v>
      </c>
      <c r="V67" t="s">
        <v>870</v>
      </c>
    </row>
    <row r="68" spans="1:22" hidden="1" x14ac:dyDescent="0.25">
      <c r="A68" s="1">
        <v>61</v>
      </c>
      <c r="C68" t="s">
        <v>394</v>
      </c>
      <c r="D68" s="17">
        <v>23608</v>
      </c>
      <c r="E68" s="7" t="s">
        <v>15</v>
      </c>
      <c r="F68" s="7" t="s">
        <v>74</v>
      </c>
      <c r="G68" s="7" t="s">
        <v>302</v>
      </c>
      <c r="H68" s="7" t="s">
        <v>35</v>
      </c>
      <c r="I68" s="8">
        <v>226483</v>
      </c>
      <c r="J68" s="7" t="s">
        <v>406</v>
      </c>
      <c r="K68" s="40">
        <v>8</v>
      </c>
      <c r="L68" s="40">
        <v>1</v>
      </c>
      <c r="M68" s="40">
        <v>1</v>
      </c>
      <c r="N68" s="8" t="s">
        <v>236</v>
      </c>
      <c r="O68" s="18">
        <v>44515</v>
      </c>
      <c r="P68" s="8" t="s">
        <v>227</v>
      </c>
      <c r="Q68" s="1">
        <f t="shared" si="0"/>
        <v>1</v>
      </c>
      <c r="R68" s="16" t="s">
        <v>701</v>
      </c>
      <c r="V68" s="16" t="s">
        <v>871</v>
      </c>
    </row>
    <row r="69" spans="1:22" hidden="1" x14ac:dyDescent="0.25">
      <c r="A69" s="1">
        <v>62</v>
      </c>
      <c r="C69" t="s">
        <v>394</v>
      </c>
      <c r="D69" s="17">
        <v>24355</v>
      </c>
      <c r="E69" s="7" t="s">
        <v>12</v>
      </c>
      <c r="F69" s="7" t="s">
        <v>349</v>
      </c>
      <c r="G69" s="7" t="s">
        <v>171</v>
      </c>
      <c r="H69" s="7" t="s">
        <v>72</v>
      </c>
      <c r="I69" s="8">
        <v>332078</v>
      </c>
      <c r="J69" s="7" t="s">
        <v>364</v>
      </c>
      <c r="K69" s="40">
        <v>8</v>
      </c>
      <c r="L69" s="40">
        <v>1</v>
      </c>
      <c r="M69" s="40">
        <v>14</v>
      </c>
      <c r="N69" s="8" t="s">
        <v>243</v>
      </c>
      <c r="O69" s="18">
        <v>44525</v>
      </c>
      <c r="P69" s="8" t="s">
        <v>227</v>
      </c>
      <c r="Q69" s="1">
        <f t="shared" si="0"/>
        <v>1</v>
      </c>
      <c r="R69" s="16" t="s">
        <v>701</v>
      </c>
    </row>
    <row r="70" spans="1:22" x14ac:dyDescent="0.25">
      <c r="A70" s="1">
        <v>63</v>
      </c>
      <c r="C70" t="s">
        <v>394</v>
      </c>
      <c r="D70" s="17">
        <v>24445</v>
      </c>
      <c r="E70" s="7" t="s">
        <v>12</v>
      </c>
      <c r="F70" s="7" t="s">
        <v>349</v>
      </c>
      <c r="G70" s="7" t="s">
        <v>84</v>
      </c>
      <c r="H70" s="7" t="s">
        <v>35</v>
      </c>
      <c r="I70" s="8">
        <v>352720</v>
      </c>
      <c r="J70" s="7" t="s">
        <v>373</v>
      </c>
      <c r="K70" s="40">
        <v>16</v>
      </c>
      <c r="L70" s="40">
        <v>2</v>
      </c>
      <c r="M70" s="40">
        <v>10</v>
      </c>
      <c r="N70" s="8" t="s">
        <v>242</v>
      </c>
      <c r="O70" s="18">
        <v>44526</v>
      </c>
      <c r="P70" s="8" t="s">
        <v>227</v>
      </c>
      <c r="Q70" s="1">
        <f t="shared" si="0"/>
        <v>1</v>
      </c>
      <c r="R70" t="s">
        <v>699</v>
      </c>
      <c r="S70" s="1">
        <v>9</v>
      </c>
    </row>
    <row r="71" spans="1:22" x14ac:dyDescent="0.25">
      <c r="A71" s="1">
        <v>64</v>
      </c>
      <c r="C71" t="s">
        <v>394</v>
      </c>
      <c r="D71" s="17">
        <v>24447</v>
      </c>
      <c r="E71" s="7" t="s">
        <v>12</v>
      </c>
      <c r="F71" s="7" t="s">
        <v>349</v>
      </c>
      <c r="G71" s="7" t="s">
        <v>346</v>
      </c>
      <c r="H71" s="7" t="s">
        <v>35</v>
      </c>
      <c r="I71" s="8">
        <v>352720</v>
      </c>
      <c r="J71" s="7" t="s">
        <v>373</v>
      </c>
      <c r="K71" s="40">
        <v>16</v>
      </c>
      <c r="L71" s="40">
        <v>2</v>
      </c>
      <c r="M71" s="40">
        <v>2</v>
      </c>
      <c r="N71" s="8" t="s">
        <v>385</v>
      </c>
      <c r="O71" s="18">
        <v>44533</v>
      </c>
      <c r="P71" s="8" t="s">
        <v>249</v>
      </c>
      <c r="Q71" s="1">
        <f t="shared" si="0"/>
        <v>1</v>
      </c>
      <c r="R71" t="s">
        <v>699</v>
      </c>
      <c r="S71" s="1">
        <v>8</v>
      </c>
    </row>
  </sheetData>
  <autoFilter ref="A7:V71" xr:uid="{00000000-0009-0000-0000-00000D000000}">
    <filterColumn colId="17">
      <filters>
        <filter val="Realizado"/>
      </filters>
    </filterColumn>
  </autoFilter>
  <sortState xmlns:xlrd2="http://schemas.microsoft.com/office/spreadsheetml/2017/richdata2" ref="A8:P71">
    <sortCondition ref="O8:O71"/>
  </sortState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Catalogo!$B$5:$B$6</xm:f>
          </x14:formula1>
          <xm:sqref>R8:R71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theme="9" tint="0.79998168889431442"/>
  </sheetPr>
  <dimension ref="A1:V47"/>
  <sheetViews>
    <sheetView workbookViewId="0">
      <pane xSplit="4" ySplit="7" topLeftCell="E11" activePane="bottomRight" state="frozenSplit"/>
      <selection pane="topRight" activeCell="E1" sqref="E1"/>
      <selection pane="bottomLeft" activeCell="A11" sqref="A11"/>
      <selection pane="bottomRight" activeCell="G56" sqref="G56"/>
    </sheetView>
  </sheetViews>
  <sheetFormatPr baseColWidth="10" defaultColWidth="11.42578125" defaultRowHeight="15" x14ac:dyDescent="0.25"/>
  <cols>
    <col min="1" max="1" width="6.5703125" customWidth="1"/>
    <col min="2" max="2" width="8.28515625" customWidth="1"/>
    <col min="5" max="5" width="41.42578125" customWidth="1"/>
    <col min="6" max="6" width="39.140625" customWidth="1"/>
    <col min="7" max="7" width="60" customWidth="1"/>
    <col min="9" max="9" width="11.42578125" style="2" hidden="1" customWidth="1"/>
    <col min="10" max="10" width="30" hidden="1" customWidth="1"/>
    <col min="11" max="11" width="11.42578125" style="2"/>
    <col min="12" max="12" width="6.42578125" style="2" customWidth="1"/>
    <col min="13" max="13" width="12.28515625" style="2" customWidth="1"/>
    <col min="14" max="14" width="10.42578125" customWidth="1"/>
    <col min="15" max="15" width="11.42578125" customWidth="1"/>
    <col min="17" max="17" width="10.28515625" customWidth="1"/>
    <col min="19" max="19" width="14.7109375" style="1" customWidth="1"/>
    <col min="21" max="21" width="37.28515625" customWidth="1"/>
    <col min="22" max="22" width="28" customWidth="1"/>
  </cols>
  <sheetData>
    <row r="1" spans="1:22" s="28" customFormat="1" ht="14.25" customHeight="1" x14ac:dyDescent="0.3">
      <c r="B1" s="29"/>
      <c r="C1" s="29"/>
      <c r="D1" s="29"/>
      <c r="G1" s="34" t="s">
        <v>713</v>
      </c>
      <c r="H1" s="29">
        <v>3</v>
      </c>
      <c r="I1" s="30"/>
      <c r="J1" s="29"/>
      <c r="K1" s="30"/>
      <c r="L1" s="30"/>
      <c r="M1" s="30"/>
      <c r="O1" s="31"/>
      <c r="P1" s="32"/>
      <c r="Q1" s="32"/>
      <c r="R1" s="32"/>
      <c r="S1" s="29"/>
      <c r="T1" s="29"/>
    </row>
    <row r="2" spans="1:22" s="28" customFormat="1" x14ac:dyDescent="0.3">
      <c r="B2" s="29"/>
      <c r="C2" s="32"/>
      <c r="D2" s="29"/>
      <c r="E2" s="34" t="s">
        <v>715</v>
      </c>
      <c r="F2" s="29">
        <f>COUNT(D8:D195)</f>
        <v>40</v>
      </c>
      <c r="G2" s="34" t="s">
        <v>716</v>
      </c>
      <c r="H2" s="29">
        <f>M8+M9+M10</f>
        <v>24</v>
      </c>
      <c r="I2" s="41"/>
      <c r="J2" s="29"/>
      <c r="K2" s="30"/>
      <c r="L2" s="30"/>
      <c r="M2" s="30"/>
      <c r="O2" s="35"/>
      <c r="P2" s="29"/>
      <c r="Q2" s="32"/>
      <c r="R2" s="32"/>
      <c r="S2" s="29"/>
      <c r="T2" s="29"/>
    </row>
    <row r="3" spans="1:22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SUM(M8:M195)</f>
        <v>181</v>
      </c>
      <c r="G3" s="34" t="s">
        <v>719</v>
      </c>
      <c r="H3" s="29">
        <f>COUNTIFS($Q$11:$Q$195,1,$R$11:$R$195,"Realizado")</f>
        <v>34</v>
      </c>
      <c r="I3" s="41"/>
      <c r="J3" s="29"/>
      <c r="K3" s="30"/>
      <c r="L3" s="30"/>
      <c r="M3" s="30"/>
      <c r="O3" s="35"/>
      <c r="P3" s="29"/>
      <c r="Q3" s="29"/>
      <c r="R3" s="29"/>
      <c r="S3" s="29"/>
      <c r="T3" s="29"/>
    </row>
    <row r="4" spans="1:22" s="28" customFormat="1" x14ac:dyDescent="0.3">
      <c r="B4" s="29"/>
      <c r="C4" s="32"/>
      <c r="D4" s="29"/>
      <c r="E4" s="34" t="s">
        <v>721</v>
      </c>
      <c r="F4" s="29">
        <f>COUNTIF($Q$11:$Q$195,1)</f>
        <v>37</v>
      </c>
      <c r="G4" s="34" t="s">
        <v>722</v>
      </c>
      <c r="H4" s="29">
        <f>SUMIF($R$11:$R$195,"Realizado",$S$11:$S$195)</f>
        <v>103</v>
      </c>
      <c r="I4" s="41"/>
      <c r="J4" s="29"/>
      <c r="K4" s="30"/>
      <c r="L4" s="30"/>
      <c r="M4" s="30"/>
      <c r="O4" s="35"/>
      <c r="P4" s="29"/>
      <c r="Q4" s="29"/>
      <c r="R4" s="29"/>
      <c r="S4" s="29"/>
      <c r="T4" s="29"/>
    </row>
    <row r="5" spans="1:22" s="28" customFormat="1" x14ac:dyDescent="0.3">
      <c r="B5" s="29"/>
      <c r="C5" s="32"/>
      <c r="D5" s="29"/>
      <c r="E5" s="34" t="s">
        <v>724</v>
      </c>
      <c r="F5" s="29">
        <f>SUMIF(Q11:Q195,1,M11:M195)</f>
        <v>157</v>
      </c>
      <c r="G5" s="34" t="s">
        <v>725</v>
      </c>
      <c r="H5" s="29">
        <f>COUNTIFS($Q$11:$Q$195,1,$R$11:$R$195,"Cancelado")</f>
        <v>3</v>
      </c>
      <c r="I5" s="41"/>
      <c r="J5" s="29"/>
      <c r="K5" s="30"/>
      <c r="L5" s="30"/>
      <c r="M5" s="30"/>
      <c r="O5" s="35"/>
      <c r="P5" s="29"/>
      <c r="Q5" s="29"/>
      <c r="R5" s="29"/>
      <c r="S5" s="29"/>
      <c r="T5" s="29"/>
    </row>
    <row r="6" spans="1:22" x14ac:dyDescent="0.25">
      <c r="B6" s="1"/>
      <c r="C6" s="1"/>
      <c r="D6" s="1"/>
      <c r="J6" s="1"/>
      <c r="O6" s="19"/>
      <c r="P6" s="1"/>
      <c r="Q6" s="1"/>
      <c r="R6" s="1"/>
      <c r="T6" s="1"/>
    </row>
    <row r="7" spans="1:22" s="3" customFormat="1" ht="31.5" x14ac:dyDescent="0.25">
      <c r="A7" s="4" t="s">
        <v>20</v>
      </c>
      <c r="B7" s="4" t="s">
        <v>21</v>
      </c>
      <c r="C7" s="4" t="s">
        <v>2</v>
      </c>
      <c r="D7" s="4" t="s">
        <v>22</v>
      </c>
      <c r="E7" s="4" t="s">
        <v>23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28</v>
      </c>
      <c r="K7" s="5" t="s">
        <v>29</v>
      </c>
      <c r="L7" s="5" t="s">
        <v>30</v>
      </c>
      <c r="M7" s="5" t="s">
        <v>31</v>
      </c>
      <c r="N7" s="5" t="s">
        <v>0</v>
      </c>
      <c r="O7" s="5" t="s">
        <v>19</v>
      </c>
      <c r="P7" s="4" t="s">
        <v>17</v>
      </c>
      <c r="Q7" s="4" t="s">
        <v>516</v>
      </c>
      <c r="R7" s="5" t="s">
        <v>727</v>
      </c>
      <c r="S7" s="4" t="s">
        <v>523</v>
      </c>
      <c r="T7" s="4" t="s">
        <v>728</v>
      </c>
      <c r="U7" s="4" t="s">
        <v>28</v>
      </c>
      <c r="V7" s="4" t="s">
        <v>599</v>
      </c>
    </row>
    <row r="8" spans="1:22" hidden="1" x14ac:dyDescent="0.25">
      <c r="A8" s="1">
        <v>1</v>
      </c>
      <c r="C8" s="7" t="s">
        <v>419</v>
      </c>
      <c r="D8" s="17">
        <v>23347</v>
      </c>
      <c r="E8" s="7" t="s">
        <v>15</v>
      </c>
      <c r="F8" s="7" t="s">
        <v>420</v>
      </c>
      <c r="G8" s="7" t="s">
        <v>40</v>
      </c>
      <c r="H8" s="7" t="s">
        <v>35</v>
      </c>
      <c r="I8" s="42">
        <v>520213</v>
      </c>
      <c r="J8" s="7" t="s">
        <v>421</v>
      </c>
      <c r="K8" s="40">
        <v>24</v>
      </c>
      <c r="L8" s="40">
        <v>3</v>
      </c>
      <c r="M8" s="40">
        <v>8</v>
      </c>
      <c r="N8" s="8" t="s">
        <v>343</v>
      </c>
      <c r="O8" s="18">
        <v>44296</v>
      </c>
      <c r="P8" s="8" t="s">
        <v>60</v>
      </c>
      <c r="Q8" s="1">
        <f t="shared" ref="Q8:Q47" si="0">IF(O8&lt;=$D$3,1,0)</f>
        <v>1</v>
      </c>
      <c r="R8" t="s">
        <v>701</v>
      </c>
      <c r="V8" t="s">
        <v>872</v>
      </c>
    </row>
    <row r="9" spans="1:22" hidden="1" x14ac:dyDescent="0.25">
      <c r="A9" s="1">
        <v>2</v>
      </c>
      <c r="C9" s="7" t="s">
        <v>419</v>
      </c>
      <c r="D9" s="17">
        <v>23346</v>
      </c>
      <c r="E9" s="7" t="s">
        <v>15</v>
      </c>
      <c r="F9" s="7" t="s">
        <v>420</v>
      </c>
      <c r="G9" s="7" t="s">
        <v>40</v>
      </c>
      <c r="H9" s="7" t="s">
        <v>35</v>
      </c>
      <c r="I9" s="42">
        <v>520213</v>
      </c>
      <c r="J9" s="7" t="s">
        <v>421</v>
      </c>
      <c r="K9" s="40">
        <v>24</v>
      </c>
      <c r="L9" s="40">
        <v>3</v>
      </c>
      <c r="M9" s="40">
        <v>8</v>
      </c>
      <c r="N9" s="8" t="s">
        <v>344</v>
      </c>
      <c r="O9" s="18">
        <v>44300</v>
      </c>
      <c r="P9" s="8" t="s">
        <v>60</v>
      </c>
      <c r="Q9" s="1">
        <f t="shared" si="0"/>
        <v>1</v>
      </c>
      <c r="R9" t="s">
        <v>701</v>
      </c>
      <c r="V9" t="s">
        <v>873</v>
      </c>
    </row>
    <row r="10" spans="1:22" hidden="1" x14ac:dyDescent="0.25">
      <c r="A10" s="1">
        <v>3</v>
      </c>
      <c r="C10" s="7" t="s">
        <v>419</v>
      </c>
      <c r="D10" s="17">
        <v>23345</v>
      </c>
      <c r="E10" s="7" t="s">
        <v>15</v>
      </c>
      <c r="F10" s="7" t="s">
        <v>420</v>
      </c>
      <c r="G10" s="7" t="s">
        <v>40</v>
      </c>
      <c r="H10" s="7" t="s">
        <v>35</v>
      </c>
      <c r="I10" s="42">
        <v>520213</v>
      </c>
      <c r="J10" s="7" t="s">
        <v>421</v>
      </c>
      <c r="K10" s="40">
        <v>24</v>
      </c>
      <c r="L10" s="40">
        <v>3</v>
      </c>
      <c r="M10" s="40">
        <v>8</v>
      </c>
      <c r="N10" s="8" t="s">
        <v>59</v>
      </c>
      <c r="O10" s="18">
        <v>44303</v>
      </c>
      <c r="P10" s="8" t="s">
        <v>60</v>
      </c>
      <c r="Q10" s="1">
        <f t="shared" si="0"/>
        <v>1</v>
      </c>
      <c r="R10" t="s">
        <v>701</v>
      </c>
      <c r="V10" t="s">
        <v>873</v>
      </c>
    </row>
    <row r="11" spans="1:22" s="110" customFormat="1" x14ac:dyDescent="0.25">
      <c r="A11" s="106">
        <v>4</v>
      </c>
      <c r="C11" s="107" t="s">
        <v>419</v>
      </c>
      <c r="D11" s="108">
        <v>23349</v>
      </c>
      <c r="E11" s="107" t="s">
        <v>15</v>
      </c>
      <c r="F11" s="107" t="s">
        <v>420</v>
      </c>
      <c r="G11" s="107" t="s">
        <v>40</v>
      </c>
      <c r="H11" s="107" t="s">
        <v>35</v>
      </c>
      <c r="I11" s="147">
        <v>520213</v>
      </c>
      <c r="J11" s="107" t="s">
        <v>421</v>
      </c>
      <c r="K11" s="108">
        <v>24</v>
      </c>
      <c r="L11" s="108">
        <v>3</v>
      </c>
      <c r="M11" s="108">
        <v>6</v>
      </c>
      <c r="N11" s="46" t="s">
        <v>266</v>
      </c>
      <c r="O11" s="47">
        <v>44293</v>
      </c>
      <c r="P11" s="46" t="s">
        <v>60</v>
      </c>
      <c r="Q11" s="106">
        <f>IF(O11&lt;=$D$3,1,0)</f>
        <v>1</v>
      </c>
      <c r="R11" s="110" t="s">
        <v>699</v>
      </c>
      <c r="S11" s="106">
        <v>3</v>
      </c>
    </row>
    <row r="12" spans="1:22" x14ac:dyDescent="0.25">
      <c r="A12" s="1">
        <v>5</v>
      </c>
      <c r="C12" s="7" t="s">
        <v>419</v>
      </c>
      <c r="D12" s="17">
        <v>24341</v>
      </c>
      <c r="E12" s="7" t="s">
        <v>12</v>
      </c>
      <c r="F12" s="7" t="s">
        <v>349</v>
      </c>
      <c r="G12" s="7" t="s">
        <v>264</v>
      </c>
      <c r="H12" s="7" t="s">
        <v>35</v>
      </c>
      <c r="I12" s="42">
        <v>463384</v>
      </c>
      <c r="J12" s="7" t="s">
        <v>422</v>
      </c>
      <c r="K12" s="40">
        <v>8</v>
      </c>
      <c r="L12" s="40">
        <v>1</v>
      </c>
      <c r="M12" s="40">
        <v>3</v>
      </c>
      <c r="N12" s="8" t="s">
        <v>64</v>
      </c>
      <c r="O12" s="18">
        <v>44300</v>
      </c>
      <c r="P12" s="8" t="s">
        <v>60</v>
      </c>
      <c r="Q12" s="1">
        <f>IF(O12&lt;=$D$3,1,0)</f>
        <v>1</v>
      </c>
      <c r="R12" t="s">
        <v>699</v>
      </c>
      <c r="S12" s="1">
        <v>3</v>
      </c>
      <c r="V12" t="s">
        <v>874</v>
      </c>
    </row>
    <row r="13" spans="1:22" x14ac:dyDescent="0.25">
      <c r="A13" s="1">
        <v>6</v>
      </c>
      <c r="C13" s="7" t="s">
        <v>419</v>
      </c>
      <c r="D13" s="17">
        <v>24392</v>
      </c>
      <c r="E13" s="7" t="s">
        <v>12</v>
      </c>
      <c r="F13" s="7" t="s">
        <v>349</v>
      </c>
      <c r="G13" s="7" t="s">
        <v>68</v>
      </c>
      <c r="H13" s="7" t="s">
        <v>35</v>
      </c>
      <c r="I13" s="42">
        <v>463384</v>
      </c>
      <c r="J13" s="7" t="s">
        <v>422</v>
      </c>
      <c r="K13" s="40">
        <v>24</v>
      </c>
      <c r="L13" s="40">
        <v>3</v>
      </c>
      <c r="M13" s="40">
        <v>6</v>
      </c>
      <c r="N13" s="8" t="s">
        <v>59</v>
      </c>
      <c r="O13" s="18">
        <v>44303</v>
      </c>
      <c r="P13" s="8" t="s">
        <v>60</v>
      </c>
      <c r="Q13" s="1">
        <f t="shared" si="0"/>
        <v>1</v>
      </c>
      <c r="R13" t="s">
        <v>699</v>
      </c>
      <c r="S13" s="1">
        <v>3</v>
      </c>
      <c r="V13" s="93" t="s">
        <v>875</v>
      </c>
    </row>
    <row r="14" spans="1:22" x14ac:dyDescent="0.25">
      <c r="A14" s="1">
        <v>7</v>
      </c>
      <c r="C14" s="7" t="s">
        <v>419</v>
      </c>
      <c r="D14" s="17">
        <v>24444</v>
      </c>
      <c r="E14" s="7" t="s">
        <v>12</v>
      </c>
      <c r="F14" s="7" t="s">
        <v>349</v>
      </c>
      <c r="G14" s="7" t="s">
        <v>84</v>
      </c>
      <c r="H14" s="7" t="s">
        <v>35</v>
      </c>
      <c r="I14" s="42">
        <v>463384</v>
      </c>
      <c r="J14" s="7" t="s">
        <v>422</v>
      </c>
      <c r="K14" s="40">
        <v>16</v>
      </c>
      <c r="L14" s="40">
        <v>2</v>
      </c>
      <c r="M14" s="40">
        <v>7</v>
      </c>
      <c r="N14" s="8" t="s">
        <v>67</v>
      </c>
      <c r="O14" s="18">
        <v>44306</v>
      </c>
      <c r="P14" s="8" t="s">
        <v>60</v>
      </c>
      <c r="Q14" s="1">
        <f t="shared" si="0"/>
        <v>1</v>
      </c>
      <c r="R14" t="s">
        <v>699</v>
      </c>
      <c r="S14" s="1">
        <v>3</v>
      </c>
    </row>
    <row r="15" spans="1:22" hidden="1" x14ac:dyDescent="0.25">
      <c r="A15" s="1">
        <v>8</v>
      </c>
      <c r="C15" s="7" t="s">
        <v>419</v>
      </c>
      <c r="D15" s="17">
        <v>23348</v>
      </c>
      <c r="E15" s="7" t="s">
        <v>15</v>
      </c>
      <c r="F15" s="7" t="s">
        <v>420</v>
      </c>
      <c r="G15" s="7" t="s">
        <v>40</v>
      </c>
      <c r="H15" s="7" t="s">
        <v>35</v>
      </c>
      <c r="I15" s="42">
        <v>520213</v>
      </c>
      <c r="J15" s="7" t="s">
        <v>421</v>
      </c>
      <c r="K15" s="40">
        <v>24</v>
      </c>
      <c r="L15" s="40">
        <v>3</v>
      </c>
      <c r="M15" s="40">
        <v>7</v>
      </c>
      <c r="N15" s="8" t="s">
        <v>67</v>
      </c>
      <c r="O15" s="18">
        <v>44307</v>
      </c>
      <c r="P15" s="8" t="s">
        <v>60</v>
      </c>
      <c r="Q15" s="1">
        <f t="shared" si="0"/>
        <v>1</v>
      </c>
      <c r="R15" s="16" t="s">
        <v>701</v>
      </c>
      <c r="V15" s="16" t="s">
        <v>873</v>
      </c>
    </row>
    <row r="16" spans="1:22" x14ac:dyDescent="0.25">
      <c r="A16" s="1">
        <v>9</v>
      </c>
      <c r="C16" s="7" t="s">
        <v>419</v>
      </c>
      <c r="D16" s="17">
        <v>24407</v>
      </c>
      <c r="E16" s="7" t="s">
        <v>12</v>
      </c>
      <c r="F16" s="7" t="s">
        <v>349</v>
      </c>
      <c r="G16" s="7" t="s">
        <v>159</v>
      </c>
      <c r="H16" s="7" t="s">
        <v>35</v>
      </c>
      <c r="I16" s="42">
        <v>463384</v>
      </c>
      <c r="J16" s="7" t="s">
        <v>422</v>
      </c>
      <c r="K16" s="40">
        <v>16</v>
      </c>
      <c r="L16" s="40">
        <v>2</v>
      </c>
      <c r="M16" s="40">
        <v>6</v>
      </c>
      <c r="N16" s="8" t="s">
        <v>391</v>
      </c>
      <c r="O16" s="18">
        <v>44308</v>
      </c>
      <c r="P16" s="8" t="s">
        <v>60</v>
      </c>
      <c r="Q16" s="1">
        <f t="shared" si="0"/>
        <v>1</v>
      </c>
      <c r="R16" t="s">
        <v>699</v>
      </c>
      <c r="S16" s="1">
        <v>3</v>
      </c>
    </row>
    <row r="17" spans="1:21" x14ac:dyDescent="0.25">
      <c r="A17" s="1">
        <v>10</v>
      </c>
      <c r="C17" s="7" t="s">
        <v>419</v>
      </c>
      <c r="D17" s="17">
        <v>23344</v>
      </c>
      <c r="E17" s="7" t="s">
        <v>15</v>
      </c>
      <c r="F17" s="7" t="s">
        <v>420</v>
      </c>
      <c r="G17" s="7" t="s">
        <v>40</v>
      </c>
      <c r="H17" s="7" t="s">
        <v>35</v>
      </c>
      <c r="I17" s="42">
        <v>520213</v>
      </c>
      <c r="J17" s="7" t="s">
        <v>421</v>
      </c>
      <c r="K17" s="40">
        <v>24</v>
      </c>
      <c r="L17" s="40">
        <v>3</v>
      </c>
      <c r="M17" s="40">
        <v>8</v>
      </c>
      <c r="N17" s="8" t="s">
        <v>423</v>
      </c>
      <c r="O17" s="18">
        <v>44310</v>
      </c>
      <c r="P17" s="8" t="s">
        <v>60</v>
      </c>
      <c r="Q17" s="1">
        <f t="shared" si="0"/>
        <v>1</v>
      </c>
      <c r="R17" t="s">
        <v>699</v>
      </c>
      <c r="S17" s="1">
        <v>3</v>
      </c>
    </row>
    <row r="18" spans="1:21" x14ac:dyDescent="0.25">
      <c r="A18" s="1">
        <v>11</v>
      </c>
      <c r="C18" s="7" t="s">
        <v>419</v>
      </c>
      <c r="D18" s="17">
        <v>24449</v>
      </c>
      <c r="E18" s="7" t="s">
        <v>12</v>
      </c>
      <c r="F18" s="7" t="s">
        <v>349</v>
      </c>
      <c r="G18" s="7" t="s">
        <v>346</v>
      </c>
      <c r="H18" s="7" t="s">
        <v>35</v>
      </c>
      <c r="I18" s="42">
        <v>463384</v>
      </c>
      <c r="J18" s="7" t="s">
        <v>422</v>
      </c>
      <c r="K18" s="40">
        <v>16</v>
      </c>
      <c r="L18" s="40">
        <v>2</v>
      </c>
      <c r="M18" s="40">
        <v>7</v>
      </c>
      <c r="N18" s="8" t="s">
        <v>424</v>
      </c>
      <c r="O18" s="18">
        <v>44310</v>
      </c>
      <c r="P18" s="8" t="s">
        <v>60</v>
      </c>
      <c r="Q18" s="1">
        <f t="shared" si="0"/>
        <v>1</v>
      </c>
      <c r="R18" t="s">
        <v>699</v>
      </c>
      <c r="S18" s="1">
        <v>6</v>
      </c>
    </row>
    <row r="19" spans="1:21" x14ac:dyDescent="0.25">
      <c r="A19" s="1">
        <v>12</v>
      </c>
      <c r="C19" s="7" t="s">
        <v>419</v>
      </c>
      <c r="D19" s="17">
        <v>23351</v>
      </c>
      <c r="E19" s="7" t="s">
        <v>15</v>
      </c>
      <c r="F19" s="7" t="s">
        <v>420</v>
      </c>
      <c r="G19" s="7" t="s">
        <v>199</v>
      </c>
      <c r="H19" s="7" t="s">
        <v>35</v>
      </c>
      <c r="I19" s="42">
        <v>520213</v>
      </c>
      <c r="J19" s="7" t="s">
        <v>421</v>
      </c>
      <c r="K19" s="40">
        <v>8</v>
      </c>
      <c r="L19" s="40">
        <v>1</v>
      </c>
      <c r="M19" s="40">
        <v>5</v>
      </c>
      <c r="N19" s="8" t="s">
        <v>377</v>
      </c>
      <c r="O19" s="18">
        <v>44312</v>
      </c>
      <c r="P19" s="8" t="s">
        <v>60</v>
      </c>
      <c r="Q19" s="1">
        <f t="shared" si="0"/>
        <v>1</v>
      </c>
      <c r="R19" t="s">
        <v>699</v>
      </c>
      <c r="S19" s="1">
        <v>3</v>
      </c>
    </row>
    <row r="20" spans="1:21" x14ac:dyDescent="0.25">
      <c r="A20" s="1">
        <v>13</v>
      </c>
      <c r="C20" s="7" t="s">
        <v>419</v>
      </c>
      <c r="D20" s="17">
        <v>23343</v>
      </c>
      <c r="E20" s="7" t="s">
        <v>15</v>
      </c>
      <c r="F20" s="7" t="s">
        <v>420</v>
      </c>
      <c r="G20" s="7" t="s">
        <v>235</v>
      </c>
      <c r="H20" s="7" t="s">
        <v>35</v>
      </c>
      <c r="I20" s="42">
        <v>520213</v>
      </c>
      <c r="J20" s="7" t="s">
        <v>421</v>
      </c>
      <c r="K20" s="40">
        <v>8</v>
      </c>
      <c r="L20" s="40">
        <v>1</v>
      </c>
      <c r="M20" s="40">
        <v>1</v>
      </c>
      <c r="N20" s="8" t="s">
        <v>271</v>
      </c>
      <c r="O20" s="18">
        <v>44319</v>
      </c>
      <c r="P20" s="8" t="s">
        <v>77</v>
      </c>
      <c r="Q20" s="1">
        <f t="shared" si="0"/>
        <v>1</v>
      </c>
      <c r="R20" t="s">
        <v>699</v>
      </c>
      <c r="S20" s="1">
        <v>1</v>
      </c>
      <c r="T20">
        <v>520213</v>
      </c>
      <c r="U20" t="s">
        <v>421</v>
      </c>
    </row>
    <row r="21" spans="1:21" x14ac:dyDescent="0.25">
      <c r="A21" s="1">
        <v>14</v>
      </c>
      <c r="C21" s="7" t="s">
        <v>419</v>
      </c>
      <c r="D21" s="17">
        <v>23333</v>
      </c>
      <c r="E21" s="7" t="s">
        <v>15</v>
      </c>
      <c r="F21" s="7" t="s">
        <v>420</v>
      </c>
      <c r="G21" s="7" t="s">
        <v>89</v>
      </c>
      <c r="H21" s="7" t="s">
        <v>35</v>
      </c>
      <c r="I21" s="42">
        <v>520213</v>
      </c>
      <c r="J21" s="7" t="s">
        <v>421</v>
      </c>
      <c r="K21" s="40">
        <v>16</v>
      </c>
      <c r="L21" s="40">
        <v>2</v>
      </c>
      <c r="M21" s="40">
        <v>4</v>
      </c>
      <c r="N21" s="8" t="s">
        <v>275</v>
      </c>
      <c r="O21" s="18">
        <v>44323</v>
      </c>
      <c r="P21" s="8" t="s">
        <v>77</v>
      </c>
      <c r="Q21" s="1">
        <f t="shared" si="0"/>
        <v>1</v>
      </c>
      <c r="R21" t="s">
        <v>699</v>
      </c>
      <c r="S21" s="1">
        <v>4</v>
      </c>
      <c r="T21">
        <v>520213</v>
      </c>
      <c r="U21" t="s">
        <v>421</v>
      </c>
    </row>
    <row r="22" spans="1:21" x14ac:dyDescent="0.25">
      <c r="A22" s="1">
        <v>15</v>
      </c>
      <c r="C22" s="7" t="s">
        <v>419</v>
      </c>
      <c r="D22" s="17">
        <v>24353</v>
      </c>
      <c r="E22" s="7" t="s">
        <v>12</v>
      </c>
      <c r="F22" s="7" t="s">
        <v>349</v>
      </c>
      <c r="G22" s="7" t="s">
        <v>223</v>
      </c>
      <c r="H22" s="7" t="s">
        <v>35</v>
      </c>
      <c r="I22" s="42">
        <v>441106</v>
      </c>
      <c r="J22" s="7" t="s">
        <v>163</v>
      </c>
      <c r="K22" s="40">
        <v>16</v>
      </c>
      <c r="L22" s="40">
        <v>2</v>
      </c>
      <c r="M22" s="40">
        <v>6</v>
      </c>
      <c r="N22" s="8" t="s">
        <v>425</v>
      </c>
      <c r="O22" s="18">
        <v>44327</v>
      </c>
      <c r="P22" s="8" t="s">
        <v>77</v>
      </c>
      <c r="Q22" s="1">
        <f t="shared" si="0"/>
        <v>1</v>
      </c>
      <c r="R22" t="s">
        <v>699</v>
      </c>
      <c r="S22" s="1">
        <v>3</v>
      </c>
      <c r="T22">
        <v>441106</v>
      </c>
      <c r="U22" t="s">
        <v>163</v>
      </c>
    </row>
    <row r="23" spans="1:21" x14ac:dyDescent="0.25">
      <c r="A23" s="1">
        <v>16</v>
      </c>
      <c r="C23" s="7" t="s">
        <v>419</v>
      </c>
      <c r="D23" s="17">
        <v>23332</v>
      </c>
      <c r="E23" s="7" t="s">
        <v>15</v>
      </c>
      <c r="F23" s="7" t="s">
        <v>420</v>
      </c>
      <c r="G23" s="7" t="s">
        <v>89</v>
      </c>
      <c r="H23" s="7" t="s">
        <v>35</v>
      </c>
      <c r="I23" s="42">
        <v>520213</v>
      </c>
      <c r="J23" s="7" t="s">
        <v>421</v>
      </c>
      <c r="K23" s="40">
        <v>16</v>
      </c>
      <c r="L23" s="40">
        <v>2</v>
      </c>
      <c r="M23" s="40">
        <v>4</v>
      </c>
      <c r="N23" s="8" t="s">
        <v>80</v>
      </c>
      <c r="O23" s="18">
        <v>44328</v>
      </c>
      <c r="P23" s="8" t="s">
        <v>77</v>
      </c>
      <c r="Q23" s="1">
        <f t="shared" si="0"/>
        <v>1</v>
      </c>
      <c r="R23" t="s">
        <v>699</v>
      </c>
      <c r="S23" s="1">
        <v>4</v>
      </c>
      <c r="T23">
        <v>520213</v>
      </c>
      <c r="U23" t="s">
        <v>421</v>
      </c>
    </row>
    <row r="24" spans="1:21" x14ac:dyDescent="0.25">
      <c r="A24" s="1">
        <v>17</v>
      </c>
      <c r="C24" s="7" t="s">
        <v>419</v>
      </c>
      <c r="D24" s="17">
        <v>23331</v>
      </c>
      <c r="E24" s="7" t="s">
        <v>15</v>
      </c>
      <c r="F24" s="7" t="s">
        <v>420</v>
      </c>
      <c r="G24" s="7" t="s">
        <v>89</v>
      </c>
      <c r="H24" s="7" t="s">
        <v>35</v>
      </c>
      <c r="I24" s="42">
        <v>520213</v>
      </c>
      <c r="J24" s="7" t="s">
        <v>421</v>
      </c>
      <c r="K24" s="40">
        <v>16</v>
      </c>
      <c r="L24" s="40">
        <v>2</v>
      </c>
      <c r="M24" s="40">
        <v>5</v>
      </c>
      <c r="N24" s="8" t="s">
        <v>83</v>
      </c>
      <c r="O24" s="18">
        <v>44330</v>
      </c>
      <c r="P24" s="8" t="s">
        <v>77</v>
      </c>
      <c r="Q24" s="1">
        <f t="shared" si="0"/>
        <v>1</v>
      </c>
      <c r="R24" t="s">
        <v>699</v>
      </c>
      <c r="S24" s="1">
        <v>5</v>
      </c>
      <c r="T24">
        <v>520213</v>
      </c>
      <c r="U24" t="s">
        <v>421</v>
      </c>
    </row>
    <row r="25" spans="1:21" x14ac:dyDescent="0.25">
      <c r="A25" s="1">
        <v>18</v>
      </c>
      <c r="C25" s="7" t="s">
        <v>419</v>
      </c>
      <c r="D25" s="17">
        <v>29128</v>
      </c>
      <c r="E25" s="7" t="s">
        <v>12</v>
      </c>
      <c r="F25" s="7" t="s">
        <v>349</v>
      </c>
      <c r="G25" s="7" t="s">
        <v>288</v>
      </c>
      <c r="H25" s="7" t="s">
        <v>35</v>
      </c>
      <c r="I25" s="42">
        <v>441106</v>
      </c>
      <c r="J25" s="7" t="s">
        <v>163</v>
      </c>
      <c r="K25" s="40">
        <v>16</v>
      </c>
      <c r="L25" s="40">
        <v>2</v>
      </c>
      <c r="M25" s="40">
        <v>3</v>
      </c>
      <c r="N25" s="8" t="s">
        <v>380</v>
      </c>
      <c r="O25" s="18">
        <v>44331</v>
      </c>
      <c r="P25" s="8" t="s">
        <v>77</v>
      </c>
      <c r="Q25" s="1">
        <f t="shared" si="0"/>
        <v>1</v>
      </c>
      <c r="R25" t="s">
        <v>699</v>
      </c>
      <c r="S25" s="1">
        <v>1</v>
      </c>
      <c r="T25">
        <v>441106</v>
      </c>
      <c r="U25" t="s">
        <v>163</v>
      </c>
    </row>
    <row r="26" spans="1:21" x14ac:dyDescent="0.25">
      <c r="A26" s="1">
        <v>19</v>
      </c>
      <c r="C26" s="7" t="s">
        <v>419</v>
      </c>
      <c r="D26" s="17">
        <v>23342</v>
      </c>
      <c r="E26" s="7" t="s">
        <v>15</v>
      </c>
      <c r="F26" s="7" t="s">
        <v>420</v>
      </c>
      <c r="G26" s="7" t="s">
        <v>235</v>
      </c>
      <c r="H26" s="7" t="s">
        <v>35</v>
      </c>
      <c r="I26" s="42">
        <v>520213</v>
      </c>
      <c r="J26" s="7" t="s">
        <v>421</v>
      </c>
      <c r="K26" s="40">
        <v>8</v>
      </c>
      <c r="L26" s="40">
        <v>1</v>
      </c>
      <c r="M26" s="40">
        <v>2</v>
      </c>
      <c r="N26" s="8" t="s">
        <v>281</v>
      </c>
      <c r="O26" s="18">
        <v>44333</v>
      </c>
      <c r="P26" s="8" t="s">
        <v>77</v>
      </c>
      <c r="Q26" s="1">
        <f t="shared" si="0"/>
        <v>1</v>
      </c>
      <c r="R26" t="s">
        <v>699</v>
      </c>
      <c r="S26" s="1">
        <v>2</v>
      </c>
      <c r="T26">
        <v>520213</v>
      </c>
      <c r="U26" t="s">
        <v>421</v>
      </c>
    </row>
    <row r="27" spans="1:21" x14ac:dyDescent="0.25">
      <c r="A27" s="1">
        <v>20</v>
      </c>
      <c r="C27" s="7" t="s">
        <v>419</v>
      </c>
      <c r="D27" s="17">
        <v>24434</v>
      </c>
      <c r="E27" s="7" t="s">
        <v>12</v>
      </c>
      <c r="F27" s="7" t="s">
        <v>349</v>
      </c>
      <c r="G27" s="7" t="s">
        <v>294</v>
      </c>
      <c r="H27" s="7" t="s">
        <v>35</v>
      </c>
      <c r="I27" s="42">
        <v>441106</v>
      </c>
      <c r="J27" s="7" t="s">
        <v>163</v>
      </c>
      <c r="K27" s="40">
        <v>8</v>
      </c>
      <c r="L27" s="40">
        <v>1</v>
      </c>
      <c r="M27" s="40">
        <v>5</v>
      </c>
      <c r="N27" s="8" t="s">
        <v>281</v>
      </c>
      <c r="O27" s="18">
        <v>44333</v>
      </c>
      <c r="P27" s="8" t="s">
        <v>77</v>
      </c>
      <c r="Q27" s="1">
        <f>IF(O27&lt;=$D$3,1,0)</f>
        <v>1</v>
      </c>
      <c r="R27" t="s">
        <v>699</v>
      </c>
      <c r="S27" s="1">
        <v>3</v>
      </c>
      <c r="T27">
        <v>441106</v>
      </c>
      <c r="U27" t="s">
        <v>163</v>
      </c>
    </row>
    <row r="28" spans="1:21" x14ac:dyDescent="0.25">
      <c r="A28" s="1">
        <v>21</v>
      </c>
      <c r="C28" s="7" t="s">
        <v>419</v>
      </c>
      <c r="D28" s="17">
        <v>23341</v>
      </c>
      <c r="E28" s="7" t="s">
        <v>15</v>
      </c>
      <c r="F28" s="7" t="s">
        <v>420</v>
      </c>
      <c r="G28" s="7" t="s">
        <v>346</v>
      </c>
      <c r="H28" s="7" t="s">
        <v>35</v>
      </c>
      <c r="I28" s="42">
        <v>520213</v>
      </c>
      <c r="J28" s="7" t="s">
        <v>421</v>
      </c>
      <c r="K28" s="40">
        <v>16</v>
      </c>
      <c r="L28" s="40">
        <v>2</v>
      </c>
      <c r="M28" s="40">
        <v>4</v>
      </c>
      <c r="N28" s="8" t="s">
        <v>284</v>
      </c>
      <c r="O28" s="18">
        <v>44337</v>
      </c>
      <c r="P28" s="8" t="s">
        <v>77</v>
      </c>
      <c r="Q28" s="1">
        <f t="shared" si="0"/>
        <v>1</v>
      </c>
      <c r="R28" t="s">
        <v>699</v>
      </c>
      <c r="S28" s="1">
        <v>2</v>
      </c>
      <c r="T28">
        <v>520213</v>
      </c>
      <c r="U28" t="s">
        <v>421</v>
      </c>
    </row>
    <row r="29" spans="1:21" x14ac:dyDescent="0.25">
      <c r="A29" s="1">
        <v>22</v>
      </c>
      <c r="C29" s="7" t="s">
        <v>419</v>
      </c>
      <c r="D29" s="17">
        <v>24393</v>
      </c>
      <c r="E29" s="7" t="s">
        <v>12</v>
      </c>
      <c r="F29" s="7" t="s">
        <v>349</v>
      </c>
      <c r="G29" s="7" t="s">
        <v>68</v>
      </c>
      <c r="H29" s="7" t="s">
        <v>35</v>
      </c>
      <c r="I29" s="42">
        <v>441106</v>
      </c>
      <c r="J29" s="7" t="s">
        <v>163</v>
      </c>
      <c r="K29" s="40">
        <v>24</v>
      </c>
      <c r="L29" s="40">
        <v>3</v>
      </c>
      <c r="M29" s="40">
        <v>7</v>
      </c>
      <c r="N29" s="8" t="s">
        <v>87</v>
      </c>
      <c r="O29" s="18">
        <v>44337</v>
      </c>
      <c r="P29" s="8" t="s">
        <v>77</v>
      </c>
      <c r="Q29" s="1">
        <f t="shared" si="0"/>
        <v>1</v>
      </c>
      <c r="R29" t="s">
        <v>699</v>
      </c>
      <c r="S29" s="1">
        <v>3</v>
      </c>
      <c r="T29">
        <v>441106</v>
      </c>
      <c r="U29" t="s">
        <v>163</v>
      </c>
    </row>
    <row r="30" spans="1:21" x14ac:dyDescent="0.25">
      <c r="A30" s="1">
        <v>23</v>
      </c>
      <c r="C30" s="7" t="s">
        <v>419</v>
      </c>
      <c r="D30" s="17">
        <v>23340</v>
      </c>
      <c r="E30" s="7" t="s">
        <v>15</v>
      </c>
      <c r="F30" s="7" t="s">
        <v>420</v>
      </c>
      <c r="G30" s="7" t="s">
        <v>346</v>
      </c>
      <c r="H30" s="7" t="s">
        <v>35</v>
      </c>
      <c r="I30" s="42">
        <v>520213</v>
      </c>
      <c r="J30" s="7" t="s">
        <v>421</v>
      </c>
      <c r="K30" s="40">
        <v>16</v>
      </c>
      <c r="L30" s="40">
        <v>2</v>
      </c>
      <c r="M30" s="40">
        <v>4</v>
      </c>
      <c r="N30" s="8" t="s">
        <v>91</v>
      </c>
      <c r="O30" s="18">
        <v>44341</v>
      </c>
      <c r="P30" s="8" t="s">
        <v>77</v>
      </c>
      <c r="Q30" s="1">
        <f t="shared" si="0"/>
        <v>1</v>
      </c>
      <c r="R30" t="s">
        <v>699</v>
      </c>
      <c r="S30" s="1">
        <v>3</v>
      </c>
      <c r="T30">
        <v>520213</v>
      </c>
      <c r="U30" t="s">
        <v>421</v>
      </c>
    </row>
    <row r="31" spans="1:21" hidden="1" x14ac:dyDescent="0.25">
      <c r="A31" s="1">
        <v>24</v>
      </c>
      <c r="C31" s="7" t="s">
        <v>419</v>
      </c>
      <c r="D31" s="17">
        <v>26777</v>
      </c>
      <c r="E31" s="7" t="s">
        <v>6</v>
      </c>
      <c r="F31" s="7" t="s">
        <v>352</v>
      </c>
      <c r="G31" s="7" t="s">
        <v>34</v>
      </c>
      <c r="H31" s="7" t="s">
        <v>35</v>
      </c>
      <c r="I31" s="42">
        <v>307531</v>
      </c>
      <c r="J31" s="7" t="s">
        <v>427</v>
      </c>
      <c r="K31" s="40">
        <v>8</v>
      </c>
      <c r="L31" s="40">
        <v>1</v>
      </c>
      <c r="M31" s="40">
        <v>1</v>
      </c>
      <c r="N31" s="8" t="s">
        <v>93</v>
      </c>
      <c r="O31" s="18">
        <v>44342</v>
      </c>
      <c r="P31" s="8" t="s">
        <v>77</v>
      </c>
      <c r="Q31" s="1">
        <f t="shared" si="0"/>
        <v>1</v>
      </c>
      <c r="R31" s="215" t="s">
        <v>701</v>
      </c>
    </row>
    <row r="32" spans="1:21" x14ac:dyDescent="0.25">
      <c r="A32" s="1">
        <v>25</v>
      </c>
      <c r="C32" s="7" t="s">
        <v>419</v>
      </c>
      <c r="D32" s="17">
        <v>23339</v>
      </c>
      <c r="E32" s="7" t="s">
        <v>15</v>
      </c>
      <c r="F32" s="7" t="s">
        <v>420</v>
      </c>
      <c r="G32" s="7" t="s">
        <v>346</v>
      </c>
      <c r="H32" s="7" t="s">
        <v>35</v>
      </c>
      <c r="I32" s="42">
        <v>520213</v>
      </c>
      <c r="J32" s="7" t="s">
        <v>421</v>
      </c>
      <c r="K32" s="40">
        <v>16</v>
      </c>
      <c r="L32" s="40">
        <v>2</v>
      </c>
      <c r="M32" s="40">
        <v>5</v>
      </c>
      <c r="N32" s="8" t="s">
        <v>97</v>
      </c>
      <c r="O32" s="18">
        <v>44344</v>
      </c>
      <c r="P32" s="8" t="s">
        <v>77</v>
      </c>
      <c r="Q32" s="1">
        <f t="shared" si="0"/>
        <v>1</v>
      </c>
      <c r="R32" t="s">
        <v>699</v>
      </c>
      <c r="S32" s="1">
        <v>5</v>
      </c>
      <c r="T32">
        <v>520213</v>
      </c>
      <c r="U32" t="s">
        <v>421</v>
      </c>
    </row>
    <row r="33" spans="1:22" x14ac:dyDescent="0.25">
      <c r="A33" s="1">
        <v>26</v>
      </c>
      <c r="C33" s="7" t="s">
        <v>419</v>
      </c>
      <c r="D33" s="17">
        <v>23334</v>
      </c>
      <c r="E33" s="7" t="s">
        <v>15</v>
      </c>
      <c r="F33" s="7" t="s">
        <v>420</v>
      </c>
      <c r="G33" s="7" t="s">
        <v>294</v>
      </c>
      <c r="H33" s="7" t="s">
        <v>35</v>
      </c>
      <c r="I33" s="42">
        <v>520213</v>
      </c>
      <c r="J33" s="7" t="s">
        <v>421</v>
      </c>
      <c r="K33" s="40">
        <v>8</v>
      </c>
      <c r="L33" s="40">
        <v>1</v>
      </c>
      <c r="M33" s="40">
        <v>1</v>
      </c>
      <c r="N33" s="8" t="s">
        <v>350</v>
      </c>
      <c r="O33" s="18">
        <v>44347</v>
      </c>
      <c r="P33" s="8" t="s">
        <v>77</v>
      </c>
      <c r="Q33" s="1">
        <f t="shared" si="0"/>
        <v>1</v>
      </c>
      <c r="R33" t="s">
        <v>699</v>
      </c>
      <c r="S33" s="1">
        <v>1</v>
      </c>
      <c r="T33">
        <v>520213</v>
      </c>
      <c r="U33" t="s">
        <v>421</v>
      </c>
    </row>
    <row r="34" spans="1:22" x14ac:dyDescent="0.25">
      <c r="A34" s="1">
        <v>27</v>
      </c>
      <c r="C34" s="7" t="s">
        <v>419</v>
      </c>
      <c r="D34" s="17">
        <v>25005</v>
      </c>
      <c r="E34" s="7" t="s">
        <v>15</v>
      </c>
      <c r="F34" s="7" t="s">
        <v>420</v>
      </c>
      <c r="G34" s="7" t="s">
        <v>264</v>
      </c>
      <c r="H34" s="7" t="s">
        <v>35</v>
      </c>
      <c r="I34" s="42">
        <v>520213</v>
      </c>
      <c r="J34" s="7" t="s">
        <v>421</v>
      </c>
      <c r="K34" s="40">
        <v>8</v>
      </c>
      <c r="L34" s="40">
        <v>1</v>
      </c>
      <c r="M34" s="40">
        <v>4</v>
      </c>
      <c r="N34" s="8" t="s">
        <v>99</v>
      </c>
      <c r="O34" s="18">
        <v>44348</v>
      </c>
      <c r="P34" s="8" t="s">
        <v>100</v>
      </c>
      <c r="Q34" s="1">
        <f t="shared" si="0"/>
        <v>1</v>
      </c>
      <c r="R34" t="s">
        <v>699</v>
      </c>
      <c r="S34" s="1">
        <v>3</v>
      </c>
      <c r="T34">
        <v>520213</v>
      </c>
      <c r="U34" t="s">
        <v>421</v>
      </c>
    </row>
    <row r="35" spans="1:22" x14ac:dyDescent="0.25">
      <c r="A35" s="1">
        <v>28</v>
      </c>
      <c r="C35" s="7" t="s">
        <v>419</v>
      </c>
      <c r="D35" s="17">
        <v>25004</v>
      </c>
      <c r="E35" s="7" t="s">
        <v>15</v>
      </c>
      <c r="F35" s="7" t="s">
        <v>420</v>
      </c>
      <c r="G35" s="7" t="s">
        <v>264</v>
      </c>
      <c r="H35" s="7" t="s">
        <v>35</v>
      </c>
      <c r="I35" s="42">
        <v>520213</v>
      </c>
      <c r="J35" s="7" t="s">
        <v>421</v>
      </c>
      <c r="K35" s="40">
        <v>8</v>
      </c>
      <c r="L35" s="40">
        <v>1</v>
      </c>
      <c r="M35" s="40">
        <v>4</v>
      </c>
      <c r="N35" s="8" t="s">
        <v>101</v>
      </c>
      <c r="O35" s="18">
        <v>44349</v>
      </c>
      <c r="P35" s="8" t="s">
        <v>100</v>
      </c>
      <c r="Q35" s="1">
        <f t="shared" si="0"/>
        <v>1</v>
      </c>
      <c r="R35" t="s">
        <v>699</v>
      </c>
      <c r="S35" s="1">
        <v>3</v>
      </c>
      <c r="T35">
        <v>520213</v>
      </c>
      <c r="U35" t="s">
        <v>421</v>
      </c>
    </row>
    <row r="36" spans="1:22" x14ac:dyDescent="0.25">
      <c r="A36" s="1">
        <v>29</v>
      </c>
      <c r="C36" s="7" t="s">
        <v>419</v>
      </c>
      <c r="D36" s="17">
        <v>25007</v>
      </c>
      <c r="E36" s="7" t="s">
        <v>15</v>
      </c>
      <c r="F36" s="7" t="s">
        <v>420</v>
      </c>
      <c r="G36" s="7" t="s">
        <v>34</v>
      </c>
      <c r="H36" s="7" t="s">
        <v>35</v>
      </c>
      <c r="I36" s="42">
        <v>520213</v>
      </c>
      <c r="J36" s="7" t="s">
        <v>421</v>
      </c>
      <c r="K36" s="40">
        <v>8</v>
      </c>
      <c r="L36" s="40">
        <v>1</v>
      </c>
      <c r="M36" s="40">
        <v>3</v>
      </c>
      <c r="N36" s="8" t="s">
        <v>289</v>
      </c>
      <c r="O36" s="18">
        <v>44350</v>
      </c>
      <c r="P36" s="8" t="s">
        <v>100</v>
      </c>
      <c r="Q36" s="1">
        <f t="shared" si="0"/>
        <v>1</v>
      </c>
      <c r="R36" t="s">
        <v>699</v>
      </c>
      <c r="S36" s="1">
        <v>2</v>
      </c>
      <c r="T36">
        <v>520213</v>
      </c>
      <c r="U36" t="s">
        <v>421</v>
      </c>
    </row>
    <row r="37" spans="1:22" x14ac:dyDescent="0.25">
      <c r="A37" s="1">
        <v>30</v>
      </c>
      <c r="C37" s="7" t="s">
        <v>419</v>
      </c>
      <c r="D37" s="17">
        <v>23336</v>
      </c>
      <c r="E37" s="7" t="s">
        <v>15</v>
      </c>
      <c r="F37" s="7" t="s">
        <v>420</v>
      </c>
      <c r="G37" s="7" t="s">
        <v>84</v>
      </c>
      <c r="H37" s="7" t="s">
        <v>35</v>
      </c>
      <c r="I37" s="42">
        <v>520213</v>
      </c>
      <c r="J37" s="7" t="s">
        <v>421</v>
      </c>
      <c r="K37" s="40">
        <v>16</v>
      </c>
      <c r="L37" s="40">
        <v>2</v>
      </c>
      <c r="M37" s="40">
        <v>4</v>
      </c>
      <c r="N37" s="8" t="s">
        <v>295</v>
      </c>
      <c r="O37" s="18">
        <v>44355</v>
      </c>
      <c r="P37" s="8" t="s">
        <v>100</v>
      </c>
      <c r="Q37" s="1">
        <f t="shared" si="0"/>
        <v>1</v>
      </c>
      <c r="R37" t="s">
        <v>699</v>
      </c>
      <c r="S37" s="1">
        <v>3</v>
      </c>
      <c r="T37">
        <v>520213</v>
      </c>
      <c r="U37" t="s">
        <v>421</v>
      </c>
    </row>
    <row r="38" spans="1:22" x14ac:dyDescent="0.25">
      <c r="A38" s="1">
        <v>31</v>
      </c>
      <c r="C38" s="7" t="s">
        <v>419</v>
      </c>
      <c r="D38" s="17">
        <v>23335</v>
      </c>
      <c r="E38" s="7" t="s">
        <v>15</v>
      </c>
      <c r="F38" s="7" t="s">
        <v>420</v>
      </c>
      <c r="G38" s="7" t="s">
        <v>84</v>
      </c>
      <c r="H38" s="7" t="s">
        <v>35</v>
      </c>
      <c r="I38" s="42">
        <v>520213</v>
      </c>
      <c r="J38" s="7" t="s">
        <v>421</v>
      </c>
      <c r="K38" s="40">
        <v>16</v>
      </c>
      <c r="L38" s="40">
        <v>2</v>
      </c>
      <c r="M38" s="40">
        <v>3</v>
      </c>
      <c r="N38" s="8" t="s">
        <v>299</v>
      </c>
      <c r="O38" s="18">
        <v>44362</v>
      </c>
      <c r="P38" s="8" t="s">
        <v>100</v>
      </c>
      <c r="Q38" s="1">
        <f t="shared" si="0"/>
        <v>1</v>
      </c>
      <c r="R38" t="s">
        <v>699</v>
      </c>
      <c r="S38" s="1">
        <v>3</v>
      </c>
      <c r="T38">
        <v>520213</v>
      </c>
      <c r="U38" t="s">
        <v>421</v>
      </c>
    </row>
    <row r="39" spans="1:22" x14ac:dyDescent="0.25">
      <c r="A39" s="1">
        <v>32</v>
      </c>
      <c r="C39" s="7" t="s">
        <v>419</v>
      </c>
      <c r="D39" s="17">
        <v>24441</v>
      </c>
      <c r="E39" s="7" t="s">
        <v>12</v>
      </c>
      <c r="F39" s="7" t="s">
        <v>349</v>
      </c>
      <c r="G39" s="7" t="s">
        <v>84</v>
      </c>
      <c r="H39" s="7" t="s">
        <v>35</v>
      </c>
      <c r="I39" s="42">
        <v>463384</v>
      </c>
      <c r="J39" s="7" t="s">
        <v>422</v>
      </c>
      <c r="K39" s="40">
        <v>16</v>
      </c>
      <c r="L39" s="40">
        <v>2</v>
      </c>
      <c r="M39" s="40">
        <v>2</v>
      </c>
      <c r="N39" s="8" t="s">
        <v>299</v>
      </c>
      <c r="O39" s="18">
        <v>44362</v>
      </c>
      <c r="P39" s="8" t="s">
        <v>100</v>
      </c>
      <c r="Q39" s="1">
        <f t="shared" si="0"/>
        <v>1</v>
      </c>
      <c r="R39" t="s">
        <v>699</v>
      </c>
      <c r="S39" s="1">
        <v>2</v>
      </c>
      <c r="T39">
        <v>463384</v>
      </c>
      <c r="U39" t="s">
        <v>876</v>
      </c>
    </row>
    <row r="40" spans="1:22" x14ac:dyDescent="0.25">
      <c r="A40" s="1">
        <v>33</v>
      </c>
      <c r="C40" s="7" t="s">
        <v>419</v>
      </c>
      <c r="D40" s="17">
        <v>24352</v>
      </c>
      <c r="E40" s="7" t="s">
        <v>12</v>
      </c>
      <c r="F40" s="7" t="s">
        <v>349</v>
      </c>
      <c r="G40" s="7" t="s">
        <v>223</v>
      </c>
      <c r="H40" s="7" t="s">
        <v>35</v>
      </c>
      <c r="I40" s="42">
        <v>463384</v>
      </c>
      <c r="J40" s="7" t="s">
        <v>422</v>
      </c>
      <c r="K40" s="40">
        <v>16</v>
      </c>
      <c r="L40" s="40">
        <v>2</v>
      </c>
      <c r="M40" s="40">
        <v>5</v>
      </c>
      <c r="N40" s="8" t="s">
        <v>107</v>
      </c>
      <c r="O40" s="18">
        <v>44364</v>
      </c>
      <c r="P40" s="8" t="s">
        <v>100</v>
      </c>
      <c r="Q40" s="1">
        <f t="shared" si="0"/>
        <v>1</v>
      </c>
      <c r="R40" t="s">
        <v>699</v>
      </c>
      <c r="S40" s="1">
        <v>2</v>
      </c>
      <c r="T40">
        <v>463384</v>
      </c>
      <c r="U40" t="s">
        <v>876</v>
      </c>
    </row>
    <row r="41" spans="1:22" x14ac:dyDescent="0.25">
      <c r="A41" s="1">
        <v>34</v>
      </c>
      <c r="C41" s="7" t="s">
        <v>419</v>
      </c>
      <c r="D41" s="17">
        <v>24379</v>
      </c>
      <c r="E41" s="7" t="s">
        <v>12</v>
      </c>
      <c r="F41" s="7" t="s">
        <v>349</v>
      </c>
      <c r="G41" s="7" t="s">
        <v>89</v>
      </c>
      <c r="H41" s="7" t="s">
        <v>35</v>
      </c>
      <c r="I41" s="42">
        <v>463384</v>
      </c>
      <c r="J41" s="7" t="s">
        <v>422</v>
      </c>
      <c r="K41" s="40">
        <v>16</v>
      </c>
      <c r="L41" s="40">
        <v>2</v>
      </c>
      <c r="M41" s="40">
        <v>2</v>
      </c>
      <c r="N41" s="8" t="s">
        <v>303</v>
      </c>
      <c r="O41" s="18">
        <v>44366</v>
      </c>
      <c r="P41" s="8" t="s">
        <v>100</v>
      </c>
      <c r="Q41" s="1">
        <f t="shared" si="0"/>
        <v>1</v>
      </c>
      <c r="R41" t="s">
        <v>699</v>
      </c>
      <c r="S41" s="1">
        <v>3</v>
      </c>
      <c r="T41">
        <v>463384</v>
      </c>
      <c r="U41" t="s">
        <v>876</v>
      </c>
      <c r="V41" t="s">
        <v>877</v>
      </c>
    </row>
    <row r="42" spans="1:22" x14ac:dyDescent="0.25">
      <c r="A42" s="1">
        <v>35</v>
      </c>
      <c r="C42" s="7" t="s">
        <v>419</v>
      </c>
      <c r="D42" s="17">
        <v>28079</v>
      </c>
      <c r="E42" s="7" t="s">
        <v>12</v>
      </c>
      <c r="F42" s="7" t="s">
        <v>349</v>
      </c>
      <c r="G42" s="7" t="s">
        <v>199</v>
      </c>
      <c r="H42" s="7" t="s">
        <v>35</v>
      </c>
      <c r="I42" s="42">
        <v>520213</v>
      </c>
      <c r="J42" s="7" t="s">
        <v>421</v>
      </c>
      <c r="K42" s="40">
        <v>8</v>
      </c>
      <c r="L42" s="40">
        <v>1</v>
      </c>
      <c r="M42" s="40">
        <v>3</v>
      </c>
      <c r="N42" s="8" t="s">
        <v>128</v>
      </c>
      <c r="O42" s="18">
        <v>44391</v>
      </c>
      <c r="P42" s="8" t="s">
        <v>119</v>
      </c>
      <c r="Q42" s="1">
        <f t="shared" si="0"/>
        <v>1</v>
      </c>
      <c r="R42" t="s">
        <v>699</v>
      </c>
      <c r="S42" s="1">
        <v>2</v>
      </c>
      <c r="T42">
        <v>520213</v>
      </c>
      <c r="U42" t="s">
        <v>421</v>
      </c>
    </row>
    <row r="43" spans="1:22" x14ac:dyDescent="0.25">
      <c r="A43" s="1">
        <v>36</v>
      </c>
      <c r="C43" s="7" t="s">
        <v>419</v>
      </c>
      <c r="D43" s="17">
        <v>24477</v>
      </c>
      <c r="E43" s="7" t="s">
        <v>12</v>
      </c>
      <c r="F43" s="7" t="s">
        <v>349</v>
      </c>
      <c r="G43" s="7" t="s">
        <v>40</v>
      </c>
      <c r="H43" s="7" t="s">
        <v>35</v>
      </c>
      <c r="I43" s="42">
        <v>520213</v>
      </c>
      <c r="J43" s="7" t="s">
        <v>421</v>
      </c>
      <c r="K43" s="40">
        <v>24</v>
      </c>
      <c r="L43" s="40">
        <v>3</v>
      </c>
      <c r="M43" s="40">
        <v>3</v>
      </c>
      <c r="N43" s="8" t="s">
        <v>318</v>
      </c>
      <c r="O43" s="18">
        <v>44394</v>
      </c>
      <c r="P43" s="8" t="s">
        <v>119</v>
      </c>
      <c r="Q43" s="1">
        <f t="shared" si="0"/>
        <v>1</v>
      </c>
      <c r="R43" t="s">
        <v>699</v>
      </c>
      <c r="S43" s="1">
        <v>9</v>
      </c>
      <c r="T43">
        <v>520213</v>
      </c>
      <c r="U43" t="s">
        <v>421</v>
      </c>
    </row>
    <row r="44" spans="1:22" x14ac:dyDescent="0.25">
      <c r="A44" s="1">
        <v>37</v>
      </c>
      <c r="C44" s="7" t="s">
        <v>419</v>
      </c>
      <c r="D44" s="17">
        <v>24397</v>
      </c>
      <c r="E44" s="7" t="s">
        <v>12</v>
      </c>
      <c r="F44" s="7" t="s">
        <v>349</v>
      </c>
      <c r="G44" s="7" t="s">
        <v>62</v>
      </c>
      <c r="H44" s="7" t="s">
        <v>35</v>
      </c>
      <c r="I44" s="42">
        <v>520213</v>
      </c>
      <c r="J44" s="7" t="s">
        <v>421</v>
      </c>
      <c r="K44" s="40">
        <v>24</v>
      </c>
      <c r="L44" s="40">
        <v>3</v>
      </c>
      <c r="M44" s="40">
        <v>6</v>
      </c>
      <c r="N44" s="8" t="s">
        <v>149</v>
      </c>
      <c r="O44" s="18">
        <v>44419</v>
      </c>
      <c r="P44" s="8" t="s">
        <v>141</v>
      </c>
      <c r="Q44" s="1">
        <f t="shared" si="0"/>
        <v>1</v>
      </c>
      <c r="R44" t="s">
        <v>699</v>
      </c>
      <c r="S44" s="1">
        <v>5</v>
      </c>
      <c r="T44">
        <v>520213</v>
      </c>
      <c r="U44" t="s">
        <v>421</v>
      </c>
    </row>
    <row r="45" spans="1:22" x14ac:dyDescent="0.25">
      <c r="A45" s="1">
        <v>38</v>
      </c>
      <c r="C45" s="7" t="s">
        <v>419</v>
      </c>
      <c r="D45" s="17">
        <v>24467</v>
      </c>
      <c r="E45" s="7" t="s">
        <v>12</v>
      </c>
      <c r="F45" s="7" t="s">
        <v>349</v>
      </c>
      <c r="G45" s="7" t="s">
        <v>235</v>
      </c>
      <c r="H45" s="7" t="s">
        <v>35</v>
      </c>
      <c r="I45" s="42">
        <v>520213</v>
      </c>
      <c r="J45" s="7" t="s">
        <v>421</v>
      </c>
      <c r="K45" s="40">
        <v>8</v>
      </c>
      <c r="L45" s="40">
        <v>1</v>
      </c>
      <c r="M45" s="40">
        <v>5</v>
      </c>
      <c r="N45" s="8" t="s">
        <v>153</v>
      </c>
      <c r="O45" s="18">
        <v>44420</v>
      </c>
      <c r="P45" s="8" t="s">
        <v>141</v>
      </c>
      <c r="Q45" s="1">
        <f t="shared" si="0"/>
        <v>1</v>
      </c>
      <c r="R45" t="s">
        <v>699</v>
      </c>
      <c r="S45" s="1">
        <v>1</v>
      </c>
      <c r="T45">
        <v>520213</v>
      </c>
      <c r="U45" t="s">
        <v>421</v>
      </c>
    </row>
    <row r="46" spans="1:22" x14ac:dyDescent="0.25">
      <c r="A46" s="1">
        <v>39</v>
      </c>
      <c r="C46" s="7" t="s">
        <v>419</v>
      </c>
      <c r="D46" s="17">
        <v>24459</v>
      </c>
      <c r="E46" s="7" t="s">
        <v>12</v>
      </c>
      <c r="F46" s="7" t="s">
        <v>349</v>
      </c>
      <c r="G46" s="7" t="s">
        <v>317</v>
      </c>
      <c r="H46" s="7" t="s">
        <v>35</v>
      </c>
      <c r="I46" s="42">
        <v>520213</v>
      </c>
      <c r="J46" s="7" t="s">
        <v>421</v>
      </c>
      <c r="K46" s="40">
        <v>16</v>
      </c>
      <c r="L46" s="40">
        <v>2</v>
      </c>
      <c r="M46" s="40">
        <v>1</v>
      </c>
      <c r="N46" s="8" t="s">
        <v>429</v>
      </c>
      <c r="O46" s="18">
        <v>44422</v>
      </c>
      <c r="P46" s="8" t="s">
        <v>141</v>
      </c>
      <c r="Q46" s="1">
        <f t="shared" si="0"/>
        <v>1</v>
      </c>
      <c r="R46" t="s">
        <v>699</v>
      </c>
      <c r="S46" s="1">
        <v>1</v>
      </c>
      <c r="T46">
        <v>520213</v>
      </c>
      <c r="U46" t="s">
        <v>421</v>
      </c>
    </row>
    <row r="47" spans="1:22" hidden="1" x14ac:dyDescent="0.25">
      <c r="A47" s="1">
        <v>40</v>
      </c>
      <c r="C47" s="7" t="s">
        <v>419</v>
      </c>
      <c r="D47" s="17">
        <v>25509</v>
      </c>
      <c r="E47" s="7" t="s">
        <v>12</v>
      </c>
      <c r="F47" s="7" t="s">
        <v>349</v>
      </c>
      <c r="G47" s="7" t="s">
        <v>331</v>
      </c>
      <c r="H47" s="7" t="s">
        <v>72</v>
      </c>
      <c r="I47" s="42">
        <v>374123</v>
      </c>
      <c r="J47" s="7" t="s">
        <v>412</v>
      </c>
      <c r="K47" s="40">
        <v>32</v>
      </c>
      <c r="L47" s="40">
        <v>4</v>
      </c>
      <c r="M47" s="40">
        <v>5</v>
      </c>
      <c r="N47" s="8" t="s">
        <v>327</v>
      </c>
      <c r="O47" s="18">
        <v>44483</v>
      </c>
      <c r="P47" s="8" t="s">
        <v>202</v>
      </c>
      <c r="Q47" s="1">
        <f t="shared" si="0"/>
        <v>1</v>
      </c>
      <c r="R47" s="16" t="s">
        <v>701</v>
      </c>
      <c r="V47" t="s">
        <v>878</v>
      </c>
    </row>
  </sheetData>
  <autoFilter ref="A7:V47" xr:uid="{00000000-0009-0000-0000-00000E000000}">
    <filterColumn colId="17">
      <filters>
        <filter val="Realizado"/>
      </filters>
    </filterColumn>
  </autoFilter>
  <sortState xmlns:xlrd2="http://schemas.microsoft.com/office/spreadsheetml/2017/richdata2" ref="A8:P47">
    <sortCondition ref="O8:O47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Catalogo!$B$5:$B$6</xm:f>
          </x14:formula1>
          <xm:sqref>R8:R47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theme="9" tint="0.79998168889431442"/>
  </sheetPr>
  <dimension ref="A1:V36"/>
  <sheetViews>
    <sheetView workbookViewId="0">
      <pane xSplit="4" ySplit="7" topLeftCell="E13" activePane="bottomRight" state="frozenSplit"/>
      <selection pane="topRight" activeCell="F1" sqref="F1"/>
      <selection pane="bottomLeft" activeCell="A26" sqref="A26"/>
      <selection pane="bottomRight" activeCell="G18" sqref="G18"/>
    </sheetView>
  </sheetViews>
  <sheetFormatPr baseColWidth="10" defaultColWidth="11.42578125" defaultRowHeight="15" x14ac:dyDescent="0.25"/>
  <cols>
    <col min="1" max="1" width="7" customWidth="1"/>
    <col min="3" max="3" width="14.5703125" customWidth="1"/>
    <col min="5" max="5" width="40.140625" customWidth="1"/>
    <col min="6" max="6" width="20" customWidth="1"/>
    <col min="7" max="7" width="45.5703125" customWidth="1"/>
    <col min="8" max="8" width="15.28515625" customWidth="1"/>
    <col min="9" max="9" width="0" style="1" hidden="1" customWidth="1"/>
    <col min="10" max="10" width="28.140625" hidden="1" customWidth="1"/>
    <col min="11" max="11" width="11.42578125" style="2"/>
    <col min="12" max="12" width="7.140625" style="2" customWidth="1"/>
    <col min="13" max="13" width="11.42578125" style="2"/>
    <col min="18" max="18" width="12" style="1" customWidth="1"/>
    <col min="19" max="19" width="9.28515625" style="1" customWidth="1"/>
    <col min="21" max="21" width="31.7109375" customWidth="1"/>
    <col min="22" max="22" width="38.5703125" customWidth="1"/>
  </cols>
  <sheetData>
    <row r="1" spans="1:22" s="28" customFormat="1" ht="14.25" customHeight="1" x14ac:dyDescent="0.3">
      <c r="B1" s="29"/>
      <c r="C1" s="29"/>
      <c r="D1" s="29"/>
      <c r="G1" s="34" t="s">
        <v>713</v>
      </c>
      <c r="H1" s="29">
        <v>5</v>
      </c>
      <c r="I1" s="29"/>
      <c r="J1" s="29"/>
      <c r="K1" s="30"/>
      <c r="L1" s="30"/>
      <c r="M1" s="30"/>
      <c r="O1" s="31"/>
      <c r="P1" s="32"/>
      <c r="Q1" s="32"/>
      <c r="R1" s="32"/>
      <c r="S1" s="29"/>
      <c r="T1" s="29"/>
    </row>
    <row r="2" spans="1:22" s="28" customFormat="1" x14ac:dyDescent="0.3">
      <c r="B2" s="29"/>
      <c r="C2" s="32"/>
      <c r="D2" s="29"/>
      <c r="E2" s="34" t="s">
        <v>715</v>
      </c>
      <c r="F2" s="29">
        <f>COUNT(D8:D195)</f>
        <v>29</v>
      </c>
      <c r="G2" s="34" t="s">
        <v>716</v>
      </c>
      <c r="H2" s="29">
        <f>SUM(M8:M12)</f>
        <v>43</v>
      </c>
      <c r="I2" s="32"/>
      <c r="J2" s="29"/>
      <c r="K2" s="30"/>
      <c r="L2" s="30"/>
      <c r="M2" s="30"/>
      <c r="O2" s="35"/>
      <c r="P2" s="29"/>
      <c r="Q2" s="32"/>
      <c r="R2" s="32"/>
      <c r="S2" s="29"/>
      <c r="T2" s="29"/>
    </row>
    <row r="3" spans="1:22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SUM(M8:M195)</f>
        <v>245</v>
      </c>
      <c r="G3" s="34" t="s">
        <v>719</v>
      </c>
      <c r="H3" s="29">
        <f>COUNTIFS($Q$8:$Q$195,1,$R$8:$R$195,"Realizado")</f>
        <v>20</v>
      </c>
      <c r="I3" s="32"/>
      <c r="J3" s="29"/>
      <c r="K3" s="30"/>
      <c r="L3" s="30"/>
      <c r="M3" s="30"/>
      <c r="O3" s="35"/>
      <c r="P3" s="29"/>
      <c r="Q3" s="29"/>
      <c r="R3" s="29"/>
      <c r="S3" s="29"/>
      <c r="T3" s="29"/>
    </row>
    <row r="4" spans="1:22" s="28" customFormat="1" x14ac:dyDescent="0.3">
      <c r="B4" s="29"/>
      <c r="C4" s="32"/>
      <c r="D4" s="29"/>
      <c r="E4" s="34" t="s">
        <v>721</v>
      </c>
      <c r="F4" s="29">
        <f>COUNTIF($Q$13:$Q$195,1)</f>
        <v>24</v>
      </c>
      <c r="G4" s="34" t="s">
        <v>722</v>
      </c>
      <c r="H4" s="29">
        <f>SUMIF($R$8:$R$195,"Realizado",$S$8:$S$195)</f>
        <v>138</v>
      </c>
      <c r="I4" s="32"/>
      <c r="J4" s="29"/>
      <c r="K4" s="30"/>
      <c r="L4" s="30"/>
      <c r="M4" s="30">
        <f>38+7</f>
        <v>45</v>
      </c>
      <c r="O4" s="35"/>
      <c r="P4" s="29"/>
      <c r="Q4" s="29"/>
      <c r="R4" s="29"/>
      <c r="S4" s="29"/>
      <c r="T4" s="29"/>
    </row>
    <row r="5" spans="1:22" s="28" customFormat="1" x14ac:dyDescent="0.3">
      <c r="B5" s="29"/>
      <c r="C5" s="32"/>
      <c r="D5" s="29"/>
      <c r="E5" s="34" t="s">
        <v>724</v>
      </c>
      <c r="F5" s="29">
        <f>SUMIF(Q13:Q195,1,M13:M195)</f>
        <v>202</v>
      </c>
      <c r="G5" s="34" t="s">
        <v>725</v>
      </c>
      <c r="H5" s="29">
        <f>COUNTIFS($Q$14:$Q$195,1,$R$14:$R$195,"Cancelado")</f>
        <v>4</v>
      </c>
      <c r="I5" s="32"/>
      <c r="J5" s="29"/>
      <c r="K5" s="30"/>
      <c r="L5" s="30"/>
      <c r="M5" s="30"/>
      <c r="O5" s="35"/>
      <c r="P5" s="29"/>
      <c r="Q5" s="29"/>
      <c r="R5" s="29"/>
      <c r="S5" s="29"/>
      <c r="T5" s="29"/>
    </row>
    <row r="6" spans="1:22" x14ac:dyDescent="0.25">
      <c r="B6" s="1"/>
      <c r="C6" s="1"/>
      <c r="D6" s="1"/>
      <c r="J6" s="1"/>
      <c r="O6" s="19"/>
      <c r="P6" s="1"/>
      <c r="Q6" s="1"/>
      <c r="T6" s="1"/>
    </row>
    <row r="7" spans="1:22" s="3" customFormat="1" ht="31.5" x14ac:dyDescent="0.25">
      <c r="A7" s="4" t="s">
        <v>20</v>
      </c>
      <c r="B7" s="4" t="s">
        <v>21</v>
      </c>
      <c r="C7" s="4" t="s">
        <v>2</v>
      </c>
      <c r="D7" s="4" t="s">
        <v>22</v>
      </c>
      <c r="E7" s="4" t="s">
        <v>23</v>
      </c>
      <c r="F7" s="4" t="s">
        <v>24</v>
      </c>
      <c r="G7" s="4" t="s">
        <v>25</v>
      </c>
      <c r="H7" s="5" t="s">
        <v>26</v>
      </c>
      <c r="I7" s="4" t="s">
        <v>27</v>
      </c>
      <c r="J7" s="4" t="s">
        <v>28</v>
      </c>
      <c r="K7" s="5" t="s">
        <v>29</v>
      </c>
      <c r="L7" s="4" t="s">
        <v>30</v>
      </c>
      <c r="M7" s="5" t="s">
        <v>31</v>
      </c>
      <c r="N7" s="5" t="s">
        <v>0</v>
      </c>
      <c r="O7" s="5" t="s">
        <v>19</v>
      </c>
      <c r="P7" s="4" t="s">
        <v>17</v>
      </c>
      <c r="Q7" s="4" t="s">
        <v>516</v>
      </c>
      <c r="R7" s="5" t="s">
        <v>727</v>
      </c>
      <c r="S7" s="4" t="s">
        <v>523</v>
      </c>
      <c r="T7" s="4" t="s">
        <v>728</v>
      </c>
      <c r="U7" s="4" t="s">
        <v>28</v>
      </c>
      <c r="V7" s="4" t="s">
        <v>599</v>
      </c>
    </row>
    <row r="8" spans="1:22" hidden="1" x14ac:dyDescent="0.25">
      <c r="A8" s="1">
        <v>1</v>
      </c>
      <c r="C8" s="7" t="s">
        <v>386</v>
      </c>
      <c r="D8" s="17">
        <v>24457</v>
      </c>
      <c r="E8" s="7" t="s">
        <v>12</v>
      </c>
      <c r="F8" s="7" t="s">
        <v>349</v>
      </c>
      <c r="G8" s="7" t="s">
        <v>317</v>
      </c>
      <c r="H8" s="7" t="s">
        <v>35</v>
      </c>
      <c r="I8" s="8">
        <v>196853</v>
      </c>
      <c r="J8" s="7" t="s">
        <v>353</v>
      </c>
      <c r="K8" s="40">
        <v>16</v>
      </c>
      <c r="L8" s="40">
        <v>2</v>
      </c>
      <c r="M8" s="40">
        <v>10</v>
      </c>
      <c r="N8" s="8" t="s">
        <v>51</v>
      </c>
      <c r="O8" s="18">
        <v>44260</v>
      </c>
      <c r="P8" s="8" t="s">
        <v>50</v>
      </c>
      <c r="Q8" s="1">
        <f>IF(O8&lt;=$D$3,1,0)</f>
        <v>1</v>
      </c>
      <c r="R8" s="1" t="s">
        <v>701</v>
      </c>
    </row>
    <row r="9" spans="1:22" hidden="1" x14ac:dyDescent="0.25">
      <c r="A9" s="1">
        <v>2</v>
      </c>
      <c r="C9" s="7" t="s">
        <v>386</v>
      </c>
      <c r="D9" s="17">
        <v>24475</v>
      </c>
      <c r="E9" s="7" t="s">
        <v>12</v>
      </c>
      <c r="F9" s="7" t="s">
        <v>349</v>
      </c>
      <c r="G9" s="7" t="s">
        <v>40</v>
      </c>
      <c r="H9" s="7" t="s">
        <v>35</v>
      </c>
      <c r="I9" s="8">
        <v>352720</v>
      </c>
      <c r="J9" s="7" t="s">
        <v>373</v>
      </c>
      <c r="K9" s="40">
        <v>24</v>
      </c>
      <c r="L9" s="40">
        <v>3</v>
      </c>
      <c r="M9" s="40">
        <v>10</v>
      </c>
      <c r="N9" s="8" t="s">
        <v>387</v>
      </c>
      <c r="O9" s="18">
        <v>44266</v>
      </c>
      <c r="P9" s="8" t="s">
        <v>50</v>
      </c>
      <c r="Q9" s="1">
        <f t="shared" ref="Q9:Q13" si="0">IF(O9&lt;=$D$3,1,0)</f>
        <v>1</v>
      </c>
      <c r="R9" s="1" t="s">
        <v>701</v>
      </c>
    </row>
    <row r="10" spans="1:22" hidden="1" x14ac:dyDescent="0.25">
      <c r="A10" s="1">
        <v>3</v>
      </c>
      <c r="C10" s="7" t="s">
        <v>388</v>
      </c>
      <c r="D10" s="17">
        <v>24458</v>
      </c>
      <c r="E10" s="7" t="s">
        <v>12</v>
      </c>
      <c r="F10" s="7" t="s">
        <v>349</v>
      </c>
      <c r="G10" s="7" t="s">
        <v>317</v>
      </c>
      <c r="H10" s="7" t="s">
        <v>35</v>
      </c>
      <c r="I10" s="8">
        <v>196853</v>
      </c>
      <c r="J10" s="7" t="s">
        <v>353</v>
      </c>
      <c r="K10" s="40">
        <v>16</v>
      </c>
      <c r="L10" s="40">
        <v>2</v>
      </c>
      <c r="M10" s="40">
        <v>5</v>
      </c>
      <c r="N10" s="8" t="s">
        <v>340</v>
      </c>
      <c r="O10" s="18">
        <v>44267</v>
      </c>
      <c r="P10" s="8" t="s">
        <v>50</v>
      </c>
      <c r="Q10" s="1">
        <f t="shared" si="0"/>
        <v>1</v>
      </c>
      <c r="R10" s="1" t="s">
        <v>701</v>
      </c>
    </row>
    <row r="11" spans="1:22" hidden="1" x14ac:dyDescent="0.25">
      <c r="A11" s="1">
        <v>4</v>
      </c>
      <c r="C11" s="7" t="s">
        <v>386</v>
      </c>
      <c r="D11" s="17">
        <v>24448</v>
      </c>
      <c r="E11" s="7" t="s">
        <v>12</v>
      </c>
      <c r="F11" s="7" t="s">
        <v>349</v>
      </c>
      <c r="G11" s="7" t="s">
        <v>346</v>
      </c>
      <c r="H11" s="7" t="s">
        <v>35</v>
      </c>
      <c r="I11" s="8">
        <v>352720</v>
      </c>
      <c r="J11" s="7" t="s">
        <v>373</v>
      </c>
      <c r="K11" s="40">
        <v>16</v>
      </c>
      <c r="L11" s="40">
        <v>2</v>
      </c>
      <c r="M11" s="40">
        <v>9</v>
      </c>
      <c r="N11" s="8" t="s">
        <v>53</v>
      </c>
      <c r="O11" s="18">
        <v>44272</v>
      </c>
      <c r="P11" s="8" t="s">
        <v>50</v>
      </c>
      <c r="Q11" s="1">
        <f t="shared" si="0"/>
        <v>1</v>
      </c>
      <c r="R11" s="1" t="s">
        <v>701</v>
      </c>
    </row>
    <row r="12" spans="1:22" hidden="1" x14ac:dyDescent="0.25">
      <c r="A12" s="1">
        <v>5</v>
      </c>
      <c r="C12" s="7" t="s">
        <v>386</v>
      </c>
      <c r="D12" s="17">
        <v>28077</v>
      </c>
      <c r="E12" s="7" t="s">
        <v>12</v>
      </c>
      <c r="F12" s="7" t="s">
        <v>349</v>
      </c>
      <c r="G12" s="7" t="s">
        <v>199</v>
      </c>
      <c r="H12" s="7" t="s">
        <v>35</v>
      </c>
      <c r="I12" s="8">
        <v>352720</v>
      </c>
      <c r="J12" s="7" t="s">
        <v>373</v>
      </c>
      <c r="K12" s="40">
        <v>8</v>
      </c>
      <c r="L12" s="40">
        <v>1</v>
      </c>
      <c r="M12" s="40">
        <v>9</v>
      </c>
      <c r="N12" s="8" t="s">
        <v>56</v>
      </c>
      <c r="O12" s="18">
        <v>44274</v>
      </c>
      <c r="P12" s="8" t="s">
        <v>50</v>
      </c>
      <c r="Q12" s="1">
        <f t="shared" si="0"/>
        <v>1</v>
      </c>
      <c r="R12" s="1" t="s">
        <v>701</v>
      </c>
    </row>
    <row r="13" spans="1:22" s="110" customFormat="1" x14ac:dyDescent="0.25">
      <c r="A13" s="106">
        <v>6</v>
      </c>
      <c r="C13" s="107" t="s">
        <v>386</v>
      </c>
      <c r="D13" s="108">
        <v>24476</v>
      </c>
      <c r="E13" s="107" t="s">
        <v>12</v>
      </c>
      <c r="F13" s="107" t="s">
        <v>349</v>
      </c>
      <c r="G13" s="107" t="s">
        <v>40</v>
      </c>
      <c r="H13" s="107" t="s">
        <v>35</v>
      </c>
      <c r="I13" s="46">
        <v>352720</v>
      </c>
      <c r="J13" s="107" t="s">
        <v>373</v>
      </c>
      <c r="K13" s="108">
        <v>24</v>
      </c>
      <c r="L13" s="108">
        <v>3</v>
      </c>
      <c r="M13" s="108">
        <v>11</v>
      </c>
      <c r="N13" s="46" t="s">
        <v>371</v>
      </c>
      <c r="O13" s="47">
        <v>44295</v>
      </c>
      <c r="P13" s="46" t="s">
        <v>60</v>
      </c>
      <c r="Q13" s="106">
        <f t="shared" si="0"/>
        <v>1</v>
      </c>
      <c r="R13" s="106" t="s">
        <v>699</v>
      </c>
      <c r="S13" s="106">
        <v>7</v>
      </c>
      <c r="T13" s="110">
        <v>352720</v>
      </c>
      <c r="U13" s="110" t="s">
        <v>849</v>
      </c>
      <c r="V13" s="110" t="s">
        <v>879</v>
      </c>
    </row>
    <row r="14" spans="1:22" x14ac:dyDescent="0.25">
      <c r="A14" s="1">
        <v>7</v>
      </c>
      <c r="C14" s="7" t="s">
        <v>388</v>
      </c>
      <c r="D14" s="17">
        <v>26773</v>
      </c>
      <c r="E14" s="7" t="s">
        <v>6</v>
      </c>
      <c r="F14" s="7" t="s">
        <v>352</v>
      </c>
      <c r="G14" s="7" t="s">
        <v>148</v>
      </c>
      <c r="H14" s="7" t="s">
        <v>35</v>
      </c>
      <c r="I14" s="8">
        <v>228486</v>
      </c>
      <c r="J14" s="7" t="s">
        <v>389</v>
      </c>
      <c r="K14" s="40">
        <v>8</v>
      </c>
      <c r="L14" s="40">
        <v>1</v>
      </c>
      <c r="M14" s="40">
        <v>12</v>
      </c>
      <c r="N14" s="8" t="s">
        <v>67</v>
      </c>
      <c r="O14" s="18">
        <v>44305</v>
      </c>
      <c r="P14" s="8" t="s">
        <v>60</v>
      </c>
      <c r="Q14" s="1">
        <f t="shared" ref="Q14:Q25" si="1">IF(O14&lt;=$D$3,1,0)</f>
        <v>1</v>
      </c>
      <c r="R14" s="1" t="s">
        <v>699</v>
      </c>
      <c r="S14" s="1">
        <v>9</v>
      </c>
      <c r="T14">
        <v>372624</v>
      </c>
      <c r="U14" t="s">
        <v>880</v>
      </c>
    </row>
    <row r="15" spans="1:22" x14ac:dyDescent="0.25">
      <c r="A15" s="1">
        <v>8</v>
      </c>
      <c r="C15" s="7" t="s">
        <v>386</v>
      </c>
      <c r="D15" s="17">
        <v>26477</v>
      </c>
      <c r="E15" s="7" t="s">
        <v>6</v>
      </c>
      <c r="F15" s="7" t="s">
        <v>352</v>
      </c>
      <c r="G15" s="7" t="s">
        <v>390</v>
      </c>
      <c r="H15" s="7" t="s">
        <v>35</v>
      </c>
      <c r="I15" s="8">
        <v>352720</v>
      </c>
      <c r="J15" s="7" t="s">
        <v>373</v>
      </c>
      <c r="K15" s="40">
        <v>8</v>
      </c>
      <c r="L15" s="40">
        <v>1</v>
      </c>
      <c r="M15" s="40">
        <v>9</v>
      </c>
      <c r="N15" s="8" t="s">
        <v>391</v>
      </c>
      <c r="O15" s="18">
        <v>44307</v>
      </c>
      <c r="P15" s="8" t="s">
        <v>60</v>
      </c>
      <c r="Q15" s="1">
        <f t="shared" si="1"/>
        <v>1</v>
      </c>
      <c r="R15" s="1" t="s">
        <v>699</v>
      </c>
      <c r="S15" s="1">
        <v>8</v>
      </c>
      <c r="T15">
        <v>372624</v>
      </c>
      <c r="U15" t="s">
        <v>880</v>
      </c>
    </row>
    <row r="16" spans="1:22" x14ac:dyDescent="0.25">
      <c r="A16" s="1">
        <v>9</v>
      </c>
      <c r="C16" s="7" t="s">
        <v>386</v>
      </c>
      <c r="D16" s="17">
        <v>24377</v>
      </c>
      <c r="E16" s="7" t="s">
        <v>12</v>
      </c>
      <c r="F16" s="7" t="s">
        <v>349</v>
      </c>
      <c r="G16" s="7" t="s">
        <v>89</v>
      </c>
      <c r="H16" s="7" t="s">
        <v>35</v>
      </c>
      <c r="I16" s="8">
        <v>372624</v>
      </c>
      <c r="J16" s="7" t="s">
        <v>392</v>
      </c>
      <c r="K16" s="40">
        <v>16</v>
      </c>
      <c r="L16" s="40">
        <v>2</v>
      </c>
      <c r="M16" s="40">
        <v>11</v>
      </c>
      <c r="N16" s="8" t="s">
        <v>70</v>
      </c>
      <c r="O16" s="18">
        <v>44316</v>
      </c>
      <c r="P16" s="8" t="s">
        <v>60</v>
      </c>
      <c r="Q16" s="1">
        <f t="shared" si="1"/>
        <v>1</v>
      </c>
      <c r="R16" s="1" t="s">
        <v>699</v>
      </c>
      <c r="S16" s="1">
        <v>8</v>
      </c>
      <c r="T16">
        <v>372624</v>
      </c>
      <c r="U16" t="s">
        <v>880</v>
      </c>
    </row>
    <row r="17" spans="1:22" x14ac:dyDescent="0.25">
      <c r="A17" s="1">
        <v>10</v>
      </c>
      <c r="C17" s="7" t="s">
        <v>386</v>
      </c>
      <c r="D17" s="17">
        <v>24466</v>
      </c>
      <c r="E17" s="7" t="s">
        <v>12</v>
      </c>
      <c r="F17" s="7" t="s">
        <v>349</v>
      </c>
      <c r="G17" s="7" t="s">
        <v>235</v>
      </c>
      <c r="H17" s="7" t="s">
        <v>35</v>
      </c>
      <c r="I17" s="8">
        <v>372624</v>
      </c>
      <c r="J17" s="7" t="s">
        <v>392</v>
      </c>
      <c r="K17" s="40">
        <v>8</v>
      </c>
      <c r="L17" s="40">
        <v>1</v>
      </c>
      <c r="M17" s="40">
        <v>8</v>
      </c>
      <c r="N17" s="8" t="s">
        <v>271</v>
      </c>
      <c r="O17" s="18">
        <v>44319</v>
      </c>
      <c r="P17" s="8" t="s">
        <v>77</v>
      </c>
      <c r="Q17" s="1">
        <f t="shared" si="1"/>
        <v>1</v>
      </c>
      <c r="R17" s="1" t="s">
        <v>699</v>
      </c>
      <c r="S17" s="1">
        <v>5</v>
      </c>
      <c r="T17">
        <v>372624</v>
      </c>
      <c r="U17" t="s">
        <v>880</v>
      </c>
      <c r="V17" t="s">
        <v>881</v>
      </c>
    </row>
    <row r="18" spans="1:22" x14ac:dyDescent="0.25">
      <c r="A18" s="1">
        <v>11</v>
      </c>
      <c r="C18" s="7" t="s">
        <v>386</v>
      </c>
      <c r="D18" s="17">
        <v>24378</v>
      </c>
      <c r="E18" s="7" t="s">
        <v>12</v>
      </c>
      <c r="F18" s="7" t="s">
        <v>349</v>
      </c>
      <c r="G18" s="7" t="s">
        <v>89</v>
      </c>
      <c r="H18" s="7" t="s">
        <v>35</v>
      </c>
      <c r="I18" s="8">
        <v>196853</v>
      </c>
      <c r="J18" s="7" t="s">
        <v>353</v>
      </c>
      <c r="K18" s="40">
        <v>16</v>
      </c>
      <c r="L18" s="40">
        <v>2</v>
      </c>
      <c r="M18" s="40">
        <v>10</v>
      </c>
      <c r="N18" s="8" t="s">
        <v>275</v>
      </c>
      <c r="O18" s="18">
        <v>44323</v>
      </c>
      <c r="P18" s="8" t="s">
        <v>77</v>
      </c>
      <c r="Q18" s="1">
        <f t="shared" si="1"/>
        <v>1</v>
      </c>
      <c r="R18" s="1" t="s">
        <v>699</v>
      </c>
      <c r="S18" s="1">
        <v>5</v>
      </c>
      <c r="T18">
        <v>196853</v>
      </c>
      <c r="U18" t="s">
        <v>882</v>
      </c>
      <c r="V18" t="s">
        <v>883</v>
      </c>
    </row>
    <row r="19" spans="1:22" x14ac:dyDescent="0.25">
      <c r="A19" s="1">
        <v>12</v>
      </c>
      <c r="C19" s="7" t="s">
        <v>386</v>
      </c>
      <c r="D19" s="17">
        <v>26480</v>
      </c>
      <c r="E19" s="7" t="s">
        <v>6</v>
      </c>
      <c r="F19" s="7" t="s">
        <v>352</v>
      </c>
      <c r="G19" s="7" t="s">
        <v>294</v>
      </c>
      <c r="H19" s="7" t="s">
        <v>35</v>
      </c>
      <c r="I19" s="8">
        <v>352720</v>
      </c>
      <c r="J19" s="7" t="s">
        <v>373</v>
      </c>
      <c r="K19" s="40">
        <v>8</v>
      </c>
      <c r="L19" s="40">
        <v>1</v>
      </c>
      <c r="M19" s="40">
        <v>6</v>
      </c>
      <c r="N19" s="8" t="s">
        <v>378</v>
      </c>
      <c r="O19" s="18">
        <v>44323</v>
      </c>
      <c r="P19" s="8" t="s">
        <v>77</v>
      </c>
      <c r="Q19" s="1">
        <f t="shared" si="1"/>
        <v>1</v>
      </c>
      <c r="R19" s="1" t="s">
        <v>699</v>
      </c>
      <c r="S19" s="1">
        <v>4</v>
      </c>
      <c r="T19">
        <v>196853</v>
      </c>
      <c r="U19" t="s">
        <v>882</v>
      </c>
      <c r="V19" t="s">
        <v>884</v>
      </c>
    </row>
    <row r="20" spans="1:22" hidden="1" x14ac:dyDescent="0.25">
      <c r="A20" s="1">
        <v>13</v>
      </c>
      <c r="C20" s="7" t="s">
        <v>393</v>
      </c>
      <c r="D20" s="17">
        <v>25133</v>
      </c>
      <c r="E20" s="7" t="s">
        <v>15</v>
      </c>
      <c r="F20" s="7" t="s">
        <v>369</v>
      </c>
      <c r="G20" s="7" t="s">
        <v>89</v>
      </c>
      <c r="H20" s="7" t="s">
        <v>35</v>
      </c>
      <c r="I20" s="8">
        <v>372624</v>
      </c>
      <c r="J20" s="7" t="s">
        <v>392</v>
      </c>
      <c r="K20" s="40">
        <v>16</v>
      </c>
      <c r="L20" s="40">
        <v>2</v>
      </c>
      <c r="M20" s="40">
        <v>10</v>
      </c>
      <c r="N20" s="8" t="s">
        <v>76</v>
      </c>
      <c r="O20" s="18">
        <v>44329</v>
      </c>
      <c r="P20" s="8" t="s">
        <v>77</v>
      </c>
      <c r="Q20" s="1">
        <f t="shared" si="1"/>
        <v>1</v>
      </c>
      <c r="R20" s="15" t="s">
        <v>701</v>
      </c>
      <c r="V20" t="s">
        <v>885</v>
      </c>
    </row>
    <row r="21" spans="1:22" x14ac:dyDescent="0.25">
      <c r="A21" s="1">
        <v>14</v>
      </c>
      <c r="C21" s="7" t="s">
        <v>386</v>
      </c>
      <c r="D21" s="17">
        <v>24469</v>
      </c>
      <c r="E21" s="7" t="s">
        <v>12</v>
      </c>
      <c r="F21" s="7" t="s">
        <v>349</v>
      </c>
      <c r="G21" s="7" t="s">
        <v>235</v>
      </c>
      <c r="H21" s="7" t="s">
        <v>35</v>
      </c>
      <c r="I21" s="8">
        <v>372624</v>
      </c>
      <c r="J21" s="7" t="s">
        <v>392</v>
      </c>
      <c r="K21" s="40">
        <v>8</v>
      </c>
      <c r="L21" s="40">
        <v>1</v>
      </c>
      <c r="M21" s="40">
        <v>7</v>
      </c>
      <c r="N21" s="8" t="s">
        <v>380</v>
      </c>
      <c r="O21" s="18">
        <v>44330</v>
      </c>
      <c r="P21" s="8" t="s">
        <v>77</v>
      </c>
      <c r="Q21" s="1">
        <f t="shared" si="1"/>
        <v>1</v>
      </c>
      <c r="R21" s="1" t="s">
        <v>699</v>
      </c>
      <c r="S21" s="1">
        <v>5</v>
      </c>
      <c r="T21">
        <v>372624</v>
      </c>
      <c r="U21" t="s">
        <v>880</v>
      </c>
    </row>
    <row r="22" spans="1:22" x14ac:dyDescent="0.25">
      <c r="A22" s="1">
        <v>15</v>
      </c>
      <c r="C22" s="7" t="s">
        <v>386</v>
      </c>
      <c r="D22" s="17">
        <v>23612</v>
      </c>
      <c r="E22" s="7" t="s">
        <v>15</v>
      </c>
      <c r="F22" s="7" t="s">
        <v>74</v>
      </c>
      <c r="G22" s="7" t="s">
        <v>89</v>
      </c>
      <c r="H22" s="7" t="s">
        <v>35</v>
      </c>
      <c r="I22" s="8">
        <v>372624</v>
      </c>
      <c r="J22" s="7" t="s">
        <v>392</v>
      </c>
      <c r="K22" s="40">
        <v>16</v>
      </c>
      <c r="L22" s="40">
        <v>2</v>
      </c>
      <c r="M22" s="40">
        <v>10</v>
      </c>
      <c r="N22" s="8" t="s">
        <v>281</v>
      </c>
      <c r="O22" s="18">
        <v>44334</v>
      </c>
      <c r="P22" s="8" t="s">
        <v>77</v>
      </c>
      <c r="Q22" s="1">
        <f t="shared" si="1"/>
        <v>1</v>
      </c>
      <c r="R22" s="1" t="s">
        <v>699</v>
      </c>
      <c r="S22" s="1">
        <v>10</v>
      </c>
      <c r="T22">
        <v>372624</v>
      </c>
      <c r="U22" t="s">
        <v>880</v>
      </c>
    </row>
    <row r="23" spans="1:22" x14ac:dyDescent="0.25">
      <c r="A23" s="1">
        <v>16</v>
      </c>
      <c r="C23" s="7" t="s">
        <v>388</v>
      </c>
      <c r="D23" s="17">
        <v>23613</v>
      </c>
      <c r="E23" s="7" t="s">
        <v>15</v>
      </c>
      <c r="F23" s="7" t="s">
        <v>74</v>
      </c>
      <c r="G23" s="7" t="s">
        <v>89</v>
      </c>
      <c r="H23" s="7" t="s">
        <v>35</v>
      </c>
      <c r="I23" s="8">
        <v>196853</v>
      </c>
      <c r="J23" s="7" t="s">
        <v>353</v>
      </c>
      <c r="K23" s="40">
        <v>16</v>
      </c>
      <c r="L23" s="40">
        <v>2</v>
      </c>
      <c r="M23" s="40">
        <v>10</v>
      </c>
      <c r="N23" s="8" t="s">
        <v>281</v>
      </c>
      <c r="O23" s="18">
        <v>44334</v>
      </c>
      <c r="P23" s="8" t="s">
        <v>77</v>
      </c>
      <c r="Q23" s="1">
        <f t="shared" si="1"/>
        <v>1</v>
      </c>
      <c r="R23" s="1" t="s">
        <v>699</v>
      </c>
      <c r="S23" s="1">
        <v>7</v>
      </c>
      <c r="T23">
        <v>196853</v>
      </c>
      <c r="U23" t="s">
        <v>886</v>
      </c>
    </row>
    <row r="24" spans="1:22" hidden="1" x14ac:dyDescent="0.25">
      <c r="A24" s="1">
        <v>17</v>
      </c>
      <c r="C24" s="7" t="s">
        <v>393</v>
      </c>
      <c r="D24" s="17">
        <v>24551</v>
      </c>
      <c r="E24" s="7" t="s">
        <v>15</v>
      </c>
      <c r="F24" s="7" t="s">
        <v>369</v>
      </c>
      <c r="G24" s="7" t="s">
        <v>264</v>
      </c>
      <c r="H24" s="7" t="s">
        <v>35</v>
      </c>
      <c r="I24" s="8">
        <v>372624</v>
      </c>
      <c r="J24" s="7" t="s">
        <v>392</v>
      </c>
      <c r="K24" s="40">
        <v>8</v>
      </c>
      <c r="L24" s="40">
        <v>1</v>
      </c>
      <c r="M24" s="40">
        <v>4</v>
      </c>
      <c r="N24" s="8" t="s">
        <v>90</v>
      </c>
      <c r="O24" s="18">
        <v>44337</v>
      </c>
      <c r="P24" s="8" t="s">
        <v>77</v>
      </c>
      <c r="Q24" s="1">
        <f t="shared" si="1"/>
        <v>1</v>
      </c>
      <c r="R24" s="15" t="s">
        <v>701</v>
      </c>
      <c r="V24" t="s">
        <v>885</v>
      </c>
    </row>
    <row r="25" spans="1:22" hidden="1" x14ac:dyDescent="0.25">
      <c r="A25" s="1">
        <v>18</v>
      </c>
      <c r="C25" s="7" t="s">
        <v>393</v>
      </c>
      <c r="D25" s="17">
        <v>25136</v>
      </c>
      <c r="E25" s="7" t="s">
        <v>15</v>
      </c>
      <c r="F25" s="7" t="s">
        <v>369</v>
      </c>
      <c r="G25" s="7" t="s">
        <v>89</v>
      </c>
      <c r="H25" s="7" t="s">
        <v>35</v>
      </c>
      <c r="I25" s="8">
        <v>372624</v>
      </c>
      <c r="J25" s="7" t="s">
        <v>392</v>
      </c>
      <c r="K25" s="40">
        <v>16</v>
      </c>
      <c r="L25" s="40">
        <v>2</v>
      </c>
      <c r="M25" s="40">
        <v>7</v>
      </c>
      <c r="N25" s="8" t="s">
        <v>91</v>
      </c>
      <c r="O25" s="18">
        <v>44341</v>
      </c>
      <c r="P25" s="8" t="s">
        <v>77</v>
      </c>
      <c r="Q25" s="1">
        <f t="shared" si="1"/>
        <v>1</v>
      </c>
      <c r="R25" s="15" t="s">
        <v>701</v>
      </c>
      <c r="V25" t="s">
        <v>885</v>
      </c>
    </row>
    <row r="26" spans="1:22" hidden="1" x14ac:dyDescent="0.25">
      <c r="A26" s="1">
        <v>19</v>
      </c>
      <c r="C26" s="7" t="s">
        <v>393</v>
      </c>
      <c r="D26" s="17">
        <v>24549</v>
      </c>
      <c r="E26" s="7" t="s">
        <v>15</v>
      </c>
      <c r="F26" s="7" t="s">
        <v>369</v>
      </c>
      <c r="G26" s="7" t="s">
        <v>264</v>
      </c>
      <c r="H26" s="7" t="s">
        <v>35</v>
      </c>
      <c r="I26" s="8">
        <v>372624</v>
      </c>
      <c r="J26" s="7" t="s">
        <v>392</v>
      </c>
      <c r="K26" s="40">
        <v>8</v>
      </c>
      <c r="L26" s="40">
        <v>1</v>
      </c>
      <c r="M26" s="40">
        <v>10</v>
      </c>
      <c r="N26" s="8" t="s">
        <v>97</v>
      </c>
      <c r="O26" s="18">
        <v>44343</v>
      </c>
      <c r="P26" s="8" t="s">
        <v>77</v>
      </c>
      <c r="Q26" s="1">
        <f>IF(O26&lt;=$D$3,1,0)</f>
        <v>1</v>
      </c>
      <c r="R26" s="15" t="s">
        <v>701</v>
      </c>
      <c r="V26" t="s">
        <v>885</v>
      </c>
    </row>
    <row r="27" spans="1:22" x14ac:dyDescent="0.25">
      <c r="A27" s="1">
        <v>20</v>
      </c>
      <c r="C27" s="7" t="s">
        <v>388</v>
      </c>
      <c r="D27" s="17">
        <v>24391</v>
      </c>
      <c r="E27" s="7" t="s">
        <v>12</v>
      </c>
      <c r="F27" s="7" t="s">
        <v>349</v>
      </c>
      <c r="G27" s="7" t="s">
        <v>68</v>
      </c>
      <c r="H27" s="7" t="s">
        <v>35</v>
      </c>
      <c r="I27" s="8">
        <v>196853</v>
      </c>
      <c r="J27" s="7" t="s">
        <v>353</v>
      </c>
      <c r="K27" s="40">
        <v>24</v>
      </c>
      <c r="L27" s="40">
        <v>3</v>
      </c>
      <c r="M27" s="40">
        <v>6</v>
      </c>
      <c r="N27" s="8" t="s">
        <v>99</v>
      </c>
      <c r="O27" s="18">
        <v>44350</v>
      </c>
      <c r="P27" s="8" t="s">
        <v>100</v>
      </c>
      <c r="Q27" s="1">
        <f>IF(O27&lt;=$D$3,1,0)</f>
        <v>1</v>
      </c>
      <c r="R27" s="1" t="s">
        <v>699</v>
      </c>
      <c r="S27" s="1">
        <v>8</v>
      </c>
      <c r="T27">
        <v>196853</v>
      </c>
      <c r="U27" t="s">
        <v>882</v>
      </c>
      <c r="V27" t="s">
        <v>887</v>
      </c>
    </row>
    <row r="28" spans="1:22" x14ac:dyDescent="0.25">
      <c r="A28" s="1">
        <v>21</v>
      </c>
      <c r="C28" s="7" t="s">
        <v>386</v>
      </c>
      <c r="D28" s="17">
        <v>24470</v>
      </c>
      <c r="E28" s="7" t="s">
        <v>12</v>
      </c>
      <c r="F28" s="7" t="s">
        <v>349</v>
      </c>
      <c r="G28" s="7" t="s">
        <v>235</v>
      </c>
      <c r="H28" s="7" t="s">
        <v>35</v>
      </c>
      <c r="I28" s="8">
        <v>372624</v>
      </c>
      <c r="J28" s="7" t="s">
        <v>392</v>
      </c>
      <c r="K28" s="40">
        <v>8</v>
      </c>
      <c r="L28" s="40">
        <v>1</v>
      </c>
      <c r="M28" s="40">
        <v>7</v>
      </c>
      <c r="N28" s="8" t="s">
        <v>290</v>
      </c>
      <c r="O28" s="18">
        <v>44351</v>
      </c>
      <c r="P28" s="8" t="s">
        <v>100</v>
      </c>
      <c r="Q28" s="1">
        <f>IF(O28&lt;=$D$3,1,0)</f>
        <v>1</v>
      </c>
      <c r="R28" s="1" t="s">
        <v>699</v>
      </c>
      <c r="S28" s="1">
        <v>10</v>
      </c>
      <c r="T28">
        <v>372624</v>
      </c>
      <c r="U28" t="s">
        <v>880</v>
      </c>
      <c r="V28" t="s">
        <v>888</v>
      </c>
    </row>
    <row r="29" spans="1:22" x14ac:dyDescent="0.25">
      <c r="A29" s="1">
        <v>22</v>
      </c>
      <c r="C29" s="7" t="s">
        <v>386</v>
      </c>
      <c r="D29" s="17">
        <v>24433</v>
      </c>
      <c r="E29" s="7" t="s">
        <v>12</v>
      </c>
      <c r="F29" s="7" t="s">
        <v>349</v>
      </c>
      <c r="G29" s="7" t="s">
        <v>294</v>
      </c>
      <c r="H29" s="7" t="s">
        <v>35</v>
      </c>
      <c r="I29" s="8">
        <v>372624</v>
      </c>
      <c r="J29" s="7" t="s">
        <v>392</v>
      </c>
      <c r="K29" s="40">
        <v>8</v>
      </c>
      <c r="L29" s="40">
        <v>1</v>
      </c>
      <c r="M29" s="40">
        <v>6</v>
      </c>
      <c r="N29" s="8" t="s">
        <v>303</v>
      </c>
      <c r="O29" s="18">
        <v>44365</v>
      </c>
      <c r="P29" s="8" t="s">
        <v>100</v>
      </c>
      <c r="Q29" s="1">
        <f>IF(O29&lt;=$D$3,1,0)</f>
        <v>1</v>
      </c>
      <c r="R29" s="1" t="s">
        <v>699</v>
      </c>
      <c r="S29" s="1">
        <v>8</v>
      </c>
      <c r="T29">
        <v>196853</v>
      </c>
      <c r="U29" t="s">
        <v>880</v>
      </c>
    </row>
    <row r="30" spans="1:22" x14ac:dyDescent="0.25">
      <c r="A30" s="1">
        <v>23</v>
      </c>
      <c r="C30" s="7" t="s">
        <v>388</v>
      </c>
      <c r="D30" s="17">
        <v>23730</v>
      </c>
      <c r="E30" s="7" t="s">
        <v>15</v>
      </c>
      <c r="F30" s="7" t="s">
        <v>74</v>
      </c>
      <c r="G30" s="7" t="s">
        <v>40</v>
      </c>
      <c r="H30" s="7" t="s">
        <v>35</v>
      </c>
      <c r="I30" s="8">
        <v>352720</v>
      </c>
      <c r="J30" s="7" t="s">
        <v>373</v>
      </c>
      <c r="K30" s="40">
        <v>24</v>
      </c>
      <c r="L30" s="40">
        <v>3</v>
      </c>
      <c r="M30" s="40">
        <v>11</v>
      </c>
      <c r="N30" s="8" t="s">
        <v>306</v>
      </c>
      <c r="O30" s="18">
        <v>44377</v>
      </c>
      <c r="P30" s="8" t="s">
        <v>100</v>
      </c>
      <c r="Q30" s="1">
        <f t="shared" ref="Q30:Q35" si="2">IF(O30&lt;=$D$3,1,0)</f>
        <v>1</v>
      </c>
      <c r="R30" s="1" t="s">
        <v>699</v>
      </c>
      <c r="S30" s="1">
        <v>9</v>
      </c>
      <c r="T30">
        <v>352720</v>
      </c>
      <c r="U30" t="s">
        <v>849</v>
      </c>
    </row>
    <row r="31" spans="1:22" x14ac:dyDescent="0.25">
      <c r="A31" s="1">
        <v>24</v>
      </c>
      <c r="C31" s="7" t="s">
        <v>388</v>
      </c>
      <c r="D31" s="17">
        <v>24396</v>
      </c>
      <c r="E31" s="7" t="s">
        <v>12</v>
      </c>
      <c r="F31" s="7" t="s">
        <v>349</v>
      </c>
      <c r="G31" s="7" t="s">
        <v>62</v>
      </c>
      <c r="H31" s="7" t="s">
        <v>35</v>
      </c>
      <c r="I31" s="8">
        <v>196853</v>
      </c>
      <c r="J31" s="7" t="s">
        <v>353</v>
      </c>
      <c r="K31" s="40">
        <v>24</v>
      </c>
      <c r="L31" s="40">
        <v>3</v>
      </c>
      <c r="M31" s="40">
        <v>8</v>
      </c>
      <c r="N31" s="8" t="s">
        <v>306</v>
      </c>
      <c r="O31" s="18">
        <v>44377</v>
      </c>
      <c r="P31" s="8" t="s">
        <v>100</v>
      </c>
      <c r="Q31" s="1">
        <f t="shared" si="2"/>
        <v>1</v>
      </c>
      <c r="R31" s="1" t="s">
        <v>699</v>
      </c>
      <c r="S31" s="1">
        <v>8</v>
      </c>
      <c r="T31">
        <v>196853</v>
      </c>
      <c r="U31" t="s">
        <v>882</v>
      </c>
    </row>
    <row r="32" spans="1:22" x14ac:dyDescent="0.25">
      <c r="A32" s="1">
        <v>25</v>
      </c>
      <c r="C32" s="7" t="s">
        <v>386</v>
      </c>
      <c r="D32" s="17">
        <v>24440</v>
      </c>
      <c r="E32" s="7" t="s">
        <v>12</v>
      </c>
      <c r="F32" s="7" t="s">
        <v>349</v>
      </c>
      <c r="G32" s="7" t="s">
        <v>84</v>
      </c>
      <c r="H32" s="7" t="s">
        <v>35</v>
      </c>
      <c r="I32" s="8">
        <v>196853</v>
      </c>
      <c r="J32" s="7" t="s">
        <v>353</v>
      </c>
      <c r="K32" s="40">
        <v>16</v>
      </c>
      <c r="L32" s="40">
        <v>2</v>
      </c>
      <c r="M32" s="40">
        <v>10</v>
      </c>
      <c r="N32" s="8" t="s">
        <v>308</v>
      </c>
      <c r="O32" s="18">
        <v>44379</v>
      </c>
      <c r="P32" s="8" t="s">
        <v>119</v>
      </c>
      <c r="Q32" s="1">
        <f t="shared" si="2"/>
        <v>1</v>
      </c>
      <c r="R32" s="1" t="s">
        <v>699</v>
      </c>
      <c r="S32" s="1">
        <v>5</v>
      </c>
      <c r="T32">
        <v>196853</v>
      </c>
      <c r="U32" t="s">
        <v>882</v>
      </c>
    </row>
    <row r="33" spans="1:21" x14ac:dyDescent="0.25">
      <c r="A33" s="1">
        <v>26</v>
      </c>
      <c r="C33" s="7" t="s">
        <v>388</v>
      </c>
      <c r="D33" s="17">
        <v>24405</v>
      </c>
      <c r="E33" s="7" t="s">
        <v>12</v>
      </c>
      <c r="F33" s="7" t="s">
        <v>349</v>
      </c>
      <c r="G33" s="7" t="s">
        <v>159</v>
      </c>
      <c r="H33" s="7" t="s">
        <v>35</v>
      </c>
      <c r="I33" s="8">
        <v>196853</v>
      </c>
      <c r="J33" s="7" t="s">
        <v>353</v>
      </c>
      <c r="K33" s="40">
        <v>16</v>
      </c>
      <c r="L33" s="40">
        <v>2</v>
      </c>
      <c r="M33" s="40">
        <v>7</v>
      </c>
      <c r="N33" s="8" t="s">
        <v>311</v>
      </c>
      <c r="O33" s="18">
        <v>44384</v>
      </c>
      <c r="P33" s="8" t="s">
        <v>119</v>
      </c>
      <c r="Q33" s="1">
        <f t="shared" si="2"/>
        <v>1</v>
      </c>
      <c r="R33" s="1" t="s">
        <v>699</v>
      </c>
      <c r="S33" s="1">
        <v>6</v>
      </c>
      <c r="T33">
        <v>196853</v>
      </c>
      <c r="U33" t="s">
        <v>882</v>
      </c>
    </row>
    <row r="34" spans="1:21" x14ac:dyDescent="0.25">
      <c r="A34" s="1">
        <v>27</v>
      </c>
      <c r="C34" s="7" t="s">
        <v>388</v>
      </c>
      <c r="D34" s="17">
        <v>24406</v>
      </c>
      <c r="E34" s="7" t="s">
        <v>12</v>
      </c>
      <c r="F34" s="7" t="s">
        <v>349</v>
      </c>
      <c r="G34" s="7" t="s">
        <v>159</v>
      </c>
      <c r="H34" s="7" t="s">
        <v>35</v>
      </c>
      <c r="I34" s="8">
        <v>372624</v>
      </c>
      <c r="J34" s="7" t="s">
        <v>392</v>
      </c>
      <c r="K34" s="40">
        <v>16</v>
      </c>
      <c r="L34" s="40">
        <v>2</v>
      </c>
      <c r="M34" s="40">
        <v>5</v>
      </c>
      <c r="N34" s="8" t="s">
        <v>120</v>
      </c>
      <c r="O34" s="18">
        <v>44386</v>
      </c>
      <c r="P34" s="8" t="s">
        <v>119</v>
      </c>
      <c r="Q34" s="1">
        <f t="shared" si="2"/>
        <v>1</v>
      </c>
      <c r="R34" s="1" t="s">
        <v>699</v>
      </c>
      <c r="S34" s="1">
        <v>4</v>
      </c>
      <c r="T34">
        <v>372624</v>
      </c>
      <c r="U34" t="s">
        <v>880</v>
      </c>
    </row>
    <row r="35" spans="1:21" x14ac:dyDescent="0.25">
      <c r="A35" s="184">
        <v>28</v>
      </c>
      <c r="C35" s="7" t="s">
        <v>386</v>
      </c>
      <c r="D35" s="17">
        <v>24442</v>
      </c>
      <c r="E35" s="7" t="s">
        <v>12</v>
      </c>
      <c r="F35" s="7" t="s">
        <v>349</v>
      </c>
      <c r="G35" s="7" t="s">
        <v>84</v>
      </c>
      <c r="H35" s="7" t="s">
        <v>35</v>
      </c>
      <c r="I35" s="8">
        <v>372624</v>
      </c>
      <c r="J35" s="7" t="s">
        <v>392</v>
      </c>
      <c r="K35" s="40">
        <v>16</v>
      </c>
      <c r="L35" s="40">
        <v>2</v>
      </c>
      <c r="M35" s="40">
        <v>9</v>
      </c>
      <c r="N35" s="8" t="s">
        <v>315</v>
      </c>
      <c r="O35" s="18">
        <v>44391</v>
      </c>
      <c r="P35" s="8" t="s">
        <v>119</v>
      </c>
      <c r="Q35" s="1">
        <f t="shared" si="2"/>
        <v>1</v>
      </c>
      <c r="R35" s="1" t="s">
        <v>699</v>
      </c>
      <c r="S35" s="1">
        <v>7</v>
      </c>
      <c r="T35">
        <v>372624</v>
      </c>
      <c r="U35" t="s">
        <v>880</v>
      </c>
    </row>
    <row r="36" spans="1:21" x14ac:dyDescent="0.25">
      <c r="A36" s="184">
        <v>29</v>
      </c>
      <c r="C36" s="7" t="s">
        <v>386</v>
      </c>
      <c r="D36" s="17">
        <v>24443</v>
      </c>
      <c r="E36" s="7" t="s">
        <v>12</v>
      </c>
      <c r="F36" s="7" t="s">
        <v>349</v>
      </c>
      <c r="G36" s="7" t="s">
        <v>84</v>
      </c>
      <c r="H36" s="7" t="s">
        <v>35</v>
      </c>
      <c r="I36" s="8">
        <v>372624</v>
      </c>
      <c r="J36" s="7" t="s">
        <v>392</v>
      </c>
      <c r="K36" s="40">
        <v>16</v>
      </c>
      <c r="L36" s="40">
        <v>2</v>
      </c>
      <c r="M36" s="40">
        <v>8</v>
      </c>
      <c r="N36" s="8" t="s">
        <v>318</v>
      </c>
      <c r="O36" s="18">
        <v>44393</v>
      </c>
      <c r="P36" s="8" t="s">
        <v>119</v>
      </c>
      <c r="Q36" s="1">
        <v>1</v>
      </c>
      <c r="R36" s="1" t="s">
        <v>699</v>
      </c>
      <c r="S36" s="1">
        <v>5</v>
      </c>
      <c r="T36">
        <v>372624</v>
      </c>
      <c r="U36" t="s">
        <v>880</v>
      </c>
    </row>
  </sheetData>
  <autoFilter ref="A7:V36" xr:uid="{00000000-0009-0000-0000-00000C000000}">
    <filterColumn colId="17">
      <filters>
        <filter val="Realizado"/>
      </filters>
    </filterColumn>
    <sortState xmlns:xlrd2="http://schemas.microsoft.com/office/spreadsheetml/2017/richdata2" ref="A8:V36">
      <sortCondition descending="1" ref="Q7:Q36"/>
    </sortState>
  </autoFilter>
  <sortState xmlns:xlrd2="http://schemas.microsoft.com/office/spreadsheetml/2017/richdata2" ref="A8:P36">
    <sortCondition ref="O8:O36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Catalogo!$B$5:$B$6</xm:f>
          </x14:formula1>
          <xm:sqref>R8:R12 R14:R36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>
    <tabColor theme="9" tint="0.79998168889431442"/>
  </sheetPr>
  <dimension ref="A1:W38"/>
  <sheetViews>
    <sheetView workbookViewId="0">
      <pane xSplit="4" ySplit="7" topLeftCell="G28" activePane="bottomRight" state="frozenSplit"/>
      <selection pane="topRight" activeCell="G1" sqref="G1"/>
      <selection pane="bottomLeft" activeCell="A23" sqref="A23"/>
      <selection pane="bottomRight" activeCell="G41" sqref="G41"/>
    </sheetView>
  </sheetViews>
  <sheetFormatPr baseColWidth="10" defaultColWidth="11.42578125" defaultRowHeight="15" x14ac:dyDescent="0.25"/>
  <cols>
    <col min="1" max="1" width="8" customWidth="1"/>
    <col min="3" max="3" width="15.42578125" customWidth="1"/>
    <col min="5" max="5" width="34.85546875" customWidth="1"/>
    <col min="6" max="6" width="30.140625" customWidth="1"/>
    <col min="7" max="7" width="44" customWidth="1"/>
    <col min="8" max="8" width="14.28515625" style="43" customWidth="1"/>
    <col min="9" max="9" width="0" style="1" hidden="1" customWidth="1"/>
    <col min="10" max="10" width="19.7109375" hidden="1" customWidth="1"/>
    <col min="11" max="13" width="11.42578125" style="43"/>
    <col min="18" max="18" width="11.42578125" style="99"/>
    <col min="19" max="19" width="15.7109375" style="2" customWidth="1"/>
    <col min="20" max="20" width="11.42578125" style="2"/>
    <col min="21" max="21" width="26.28515625" style="2" customWidth="1"/>
    <col min="22" max="22" width="20.7109375" customWidth="1"/>
    <col min="23" max="23" width="11.42578125" style="1"/>
  </cols>
  <sheetData>
    <row r="1" spans="1:23" s="28" customFormat="1" ht="14.25" customHeight="1" x14ac:dyDescent="0.3">
      <c r="B1" s="29"/>
      <c r="C1" s="29"/>
      <c r="D1" s="29"/>
      <c r="G1" s="34" t="s">
        <v>713</v>
      </c>
      <c r="H1" s="29">
        <f>COUNT(M8:M14)</f>
        <v>7</v>
      </c>
      <c r="I1" s="30"/>
      <c r="J1" s="29"/>
      <c r="K1" s="28" t="s">
        <v>717</v>
      </c>
      <c r="L1" s="30">
        <f>COUNT(M15:M16)</f>
        <v>2</v>
      </c>
      <c r="M1" s="30"/>
      <c r="O1" s="31"/>
      <c r="P1" s="32"/>
      <c r="Q1" s="32"/>
      <c r="R1" s="98"/>
      <c r="S1" s="30"/>
      <c r="T1" s="30"/>
      <c r="U1" s="30"/>
      <c r="W1" s="29"/>
    </row>
    <row r="2" spans="1:23" s="28" customFormat="1" x14ac:dyDescent="0.3">
      <c r="B2" s="29"/>
      <c r="C2" s="32"/>
      <c r="D2" s="29"/>
      <c r="E2" s="34" t="s">
        <v>715</v>
      </c>
      <c r="F2" s="29">
        <f>COUNT(D8:D169)</f>
        <v>30</v>
      </c>
      <c r="G2" s="34" t="s">
        <v>716</v>
      </c>
      <c r="H2" s="29">
        <f>SUM(M8:M14)</f>
        <v>76</v>
      </c>
      <c r="I2" s="41"/>
      <c r="J2" s="29"/>
      <c r="K2" s="28" t="s">
        <v>717</v>
      </c>
      <c r="L2" s="30">
        <f>SUM(M15:M16)</f>
        <v>9</v>
      </c>
      <c r="M2" s="30"/>
      <c r="O2" s="35"/>
      <c r="P2" s="29"/>
      <c r="Q2" s="32"/>
      <c r="R2" s="98"/>
      <c r="S2" s="30"/>
      <c r="T2" s="30"/>
      <c r="U2" s="30"/>
      <c r="W2" s="29"/>
    </row>
    <row r="3" spans="1:23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SUM(M8:M169)</f>
        <v>296</v>
      </c>
      <c r="G3" s="34" t="s">
        <v>719</v>
      </c>
      <c r="H3" s="29">
        <f>COUNTIFS($Q$17:$Q$169,1,$R$17:$R$169,"Realizado")</f>
        <v>17</v>
      </c>
      <c r="I3" s="41"/>
      <c r="J3" s="29"/>
      <c r="K3" s="30" t="s">
        <v>720</v>
      </c>
      <c r="L3" s="121">
        <f>SUM(M17:M37)</f>
        <v>211</v>
      </c>
      <c r="M3" s="30"/>
      <c r="O3" s="35"/>
      <c r="P3" s="29"/>
      <c r="Q3" s="29"/>
      <c r="R3" s="99"/>
      <c r="S3" s="30"/>
      <c r="T3" s="30"/>
      <c r="U3" s="30"/>
      <c r="W3" s="29"/>
    </row>
    <row r="4" spans="1:23" s="28" customFormat="1" x14ac:dyDescent="0.3">
      <c r="B4" s="29"/>
      <c r="C4" s="32"/>
      <c r="D4" s="29"/>
      <c r="E4" s="34" t="s">
        <v>721</v>
      </c>
      <c r="F4" s="29">
        <f>COUNTIF($Q$17:$Q$169,1)</f>
        <v>21</v>
      </c>
      <c r="G4" s="34" t="s">
        <v>722</v>
      </c>
      <c r="H4" s="29">
        <f>SUMIF($R$17:$R$169,"Realizado",$S$17:$S$169)</f>
        <v>119</v>
      </c>
      <c r="I4" s="41"/>
      <c r="J4" s="29"/>
      <c r="K4" s="30" t="s">
        <v>723</v>
      </c>
      <c r="L4" s="121">
        <f>COUNT(M17:M37)</f>
        <v>21</v>
      </c>
      <c r="M4" s="30"/>
      <c r="O4" s="35"/>
      <c r="P4" s="29"/>
      <c r="Q4" s="29"/>
      <c r="R4" s="99"/>
      <c r="S4" s="30"/>
      <c r="T4" s="30"/>
      <c r="U4" s="30"/>
      <c r="W4" s="29"/>
    </row>
    <row r="5" spans="1:23" s="28" customFormat="1" x14ac:dyDescent="0.3">
      <c r="B5" s="29"/>
      <c r="C5" s="32"/>
      <c r="D5" s="29"/>
      <c r="E5" s="34" t="s">
        <v>724</v>
      </c>
      <c r="F5" s="29">
        <f>SUMIF(Q17:Q169,1,M17:M169)</f>
        <v>211</v>
      </c>
      <c r="G5" s="34" t="s">
        <v>725</v>
      </c>
      <c r="H5" s="29">
        <f>COUNTIFS($Q$17:$Q$169,1,$R$17:$R$169,"Cancelado")</f>
        <v>4</v>
      </c>
      <c r="I5" s="41"/>
      <c r="J5" s="29"/>
      <c r="K5" s="30"/>
      <c r="L5" s="30"/>
      <c r="M5" s="30"/>
      <c r="O5" s="35"/>
      <c r="P5" s="29"/>
      <c r="Q5" s="29"/>
      <c r="R5" s="99"/>
      <c r="S5" s="30"/>
      <c r="T5" s="30"/>
      <c r="U5" s="30"/>
      <c r="W5" s="29"/>
    </row>
    <row r="6" spans="1:23" x14ac:dyDescent="0.25">
      <c r="B6" s="1"/>
      <c r="C6" s="1"/>
      <c r="D6" s="1"/>
      <c r="H6" s="1"/>
      <c r="I6" s="2"/>
      <c r="J6" s="1"/>
      <c r="K6" s="2"/>
      <c r="L6" s="2"/>
      <c r="M6" s="2"/>
      <c r="O6" s="19"/>
      <c r="P6" s="1"/>
      <c r="Q6" s="1"/>
    </row>
    <row r="7" spans="1:23" s="103" customFormat="1" ht="25.5" x14ac:dyDescent="0.25">
      <c r="A7" s="103" t="s">
        <v>20</v>
      </c>
      <c r="B7" s="103" t="s">
        <v>21</v>
      </c>
      <c r="C7" s="102" t="s">
        <v>2</v>
      </c>
      <c r="D7" s="105" t="s">
        <v>22</v>
      </c>
      <c r="E7" s="103" t="s">
        <v>23</v>
      </c>
      <c r="F7" s="103" t="s">
        <v>24</v>
      </c>
      <c r="G7" s="102" t="s">
        <v>25</v>
      </c>
      <c r="H7" s="100" t="s">
        <v>26</v>
      </c>
      <c r="I7" s="102" t="s">
        <v>27</v>
      </c>
      <c r="J7" s="102" t="s">
        <v>28</v>
      </c>
      <c r="K7" s="100" t="s">
        <v>29</v>
      </c>
      <c r="L7" s="100" t="s">
        <v>30</v>
      </c>
      <c r="M7" s="100" t="s">
        <v>31</v>
      </c>
      <c r="N7" s="100" t="s">
        <v>0</v>
      </c>
      <c r="O7" s="100" t="s">
        <v>19</v>
      </c>
      <c r="P7" s="102" t="s">
        <v>17</v>
      </c>
      <c r="Q7" s="102" t="s">
        <v>516</v>
      </c>
      <c r="R7" s="100" t="s">
        <v>727</v>
      </c>
      <c r="S7" s="102" t="s">
        <v>523</v>
      </c>
      <c r="T7" s="102" t="s">
        <v>728</v>
      </c>
      <c r="U7" s="102" t="s">
        <v>28</v>
      </c>
      <c r="V7" s="102" t="s">
        <v>599</v>
      </c>
      <c r="W7" s="100" t="s">
        <v>889</v>
      </c>
    </row>
    <row r="8" spans="1:23" hidden="1" x14ac:dyDescent="0.25">
      <c r="A8" s="1">
        <v>1</v>
      </c>
      <c r="C8" s="7" t="s">
        <v>475</v>
      </c>
      <c r="D8" s="17">
        <v>27747</v>
      </c>
      <c r="E8" s="7" t="s">
        <v>11</v>
      </c>
      <c r="F8" s="7" t="s">
        <v>476</v>
      </c>
      <c r="G8" s="7" t="s">
        <v>89</v>
      </c>
      <c r="H8" s="45" t="s">
        <v>35</v>
      </c>
      <c r="I8" s="8">
        <v>432309</v>
      </c>
      <c r="J8" s="7" t="s">
        <v>467</v>
      </c>
      <c r="K8" s="44">
        <v>16</v>
      </c>
      <c r="L8" s="44">
        <v>2</v>
      </c>
      <c r="M8" s="44">
        <v>10</v>
      </c>
      <c r="N8" s="8" t="s">
        <v>51</v>
      </c>
      <c r="O8" s="18">
        <v>44260</v>
      </c>
      <c r="P8" s="8" t="s">
        <v>50</v>
      </c>
      <c r="Q8" s="1">
        <f t="shared" ref="Q8:Q36" si="0">IF(O8&lt;=$D$3,1,0)</f>
        <v>1</v>
      </c>
      <c r="R8" s="99" t="s">
        <v>701</v>
      </c>
      <c r="W8" s="1" t="s">
        <v>890</v>
      </c>
    </row>
    <row r="9" spans="1:23" hidden="1" x14ac:dyDescent="0.25">
      <c r="A9" s="1">
        <v>2</v>
      </c>
      <c r="C9" s="7" t="s">
        <v>475</v>
      </c>
      <c r="D9" s="17">
        <v>27597</v>
      </c>
      <c r="E9" s="7" t="s">
        <v>11</v>
      </c>
      <c r="F9" s="7" t="s">
        <v>476</v>
      </c>
      <c r="G9" s="7" t="s">
        <v>264</v>
      </c>
      <c r="H9" s="45" t="s">
        <v>35</v>
      </c>
      <c r="I9" s="8">
        <v>570530</v>
      </c>
      <c r="J9" s="7" t="s">
        <v>446</v>
      </c>
      <c r="K9" s="44">
        <v>8</v>
      </c>
      <c r="L9" s="44">
        <v>1</v>
      </c>
      <c r="M9" s="44">
        <v>11</v>
      </c>
      <c r="N9" s="8" t="s">
        <v>339</v>
      </c>
      <c r="O9" s="18">
        <v>44263</v>
      </c>
      <c r="P9" s="8" t="s">
        <v>50</v>
      </c>
      <c r="Q9" s="1">
        <f t="shared" si="0"/>
        <v>1</v>
      </c>
      <c r="R9" s="99" t="s">
        <v>701</v>
      </c>
      <c r="W9" s="1" t="s">
        <v>890</v>
      </c>
    </row>
    <row r="10" spans="1:23" hidden="1" x14ac:dyDescent="0.25">
      <c r="A10" s="1">
        <v>3</v>
      </c>
      <c r="C10" s="7" t="s">
        <v>475</v>
      </c>
      <c r="D10" s="17">
        <v>24088</v>
      </c>
      <c r="E10" s="7" t="s">
        <v>11</v>
      </c>
      <c r="F10" s="7" t="s">
        <v>476</v>
      </c>
      <c r="G10" s="7" t="s">
        <v>34</v>
      </c>
      <c r="H10" s="45" t="s">
        <v>35</v>
      </c>
      <c r="I10" s="8">
        <v>514091</v>
      </c>
      <c r="J10" s="7" t="s">
        <v>477</v>
      </c>
      <c r="K10" s="44">
        <v>8</v>
      </c>
      <c r="L10" s="44">
        <v>1</v>
      </c>
      <c r="M10" s="44">
        <v>11</v>
      </c>
      <c r="N10" s="8" t="s">
        <v>53</v>
      </c>
      <c r="O10" s="18">
        <v>44271</v>
      </c>
      <c r="P10" s="8" t="s">
        <v>50</v>
      </c>
      <c r="Q10" s="1">
        <f t="shared" si="0"/>
        <v>1</v>
      </c>
      <c r="R10" s="99" t="s">
        <v>701</v>
      </c>
      <c r="W10" s="1" t="s">
        <v>890</v>
      </c>
    </row>
    <row r="11" spans="1:23" hidden="1" x14ac:dyDescent="0.25">
      <c r="A11" s="1">
        <v>4</v>
      </c>
      <c r="C11" s="7" t="s">
        <v>475</v>
      </c>
      <c r="D11" s="17">
        <v>27746</v>
      </c>
      <c r="E11" s="7" t="s">
        <v>11</v>
      </c>
      <c r="F11" s="7" t="s">
        <v>476</v>
      </c>
      <c r="G11" s="7" t="s">
        <v>89</v>
      </c>
      <c r="H11" s="45" t="s">
        <v>35</v>
      </c>
      <c r="I11" s="8">
        <v>432309</v>
      </c>
      <c r="J11" s="7" t="s">
        <v>467</v>
      </c>
      <c r="K11" s="44">
        <v>16</v>
      </c>
      <c r="L11" s="44">
        <v>2</v>
      </c>
      <c r="M11" s="44">
        <v>10</v>
      </c>
      <c r="N11" s="8" t="s">
        <v>478</v>
      </c>
      <c r="O11" s="18">
        <v>44281</v>
      </c>
      <c r="P11" s="8" t="s">
        <v>50</v>
      </c>
      <c r="Q11" s="1">
        <f t="shared" si="0"/>
        <v>1</v>
      </c>
      <c r="R11" s="99" t="s">
        <v>701</v>
      </c>
      <c r="W11" s="1" t="s">
        <v>890</v>
      </c>
    </row>
    <row r="12" spans="1:23" hidden="1" x14ac:dyDescent="0.25">
      <c r="A12" s="1">
        <v>5</v>
      </c>
      <c r="C12" s="7" t="s">
        <v>475</v>
      </c>
      <c r="D12" s="17">
        <v>27596</v>
      </c>
      <c r="E12" s="7" t="s">
        <v>11</v>
      </c>
      <c r="F12" s="7" t="s">
        <v>476</v>
      </c>
      <c r="G12" s="7" t="s">
        <v>264</v>
      </c>
      <c r="H12" s="45" t="s">
        <v>35</v>
      </c>
      <c r="I12" s="8">
        <v>570530</v>
      </c>
      <c r="J12" s="7" t="s">
        <v>446</v>
      </c>
      <c r="K12" s="44">
        <v>8</v>
      </c>
      <c r="L12" s="44">
        <v>1</v>
      </c>
      <c r="M12" s="44">
        <v>12</v>
      </c>
      <c r="N12" s="8" t="s">
        <v>342</v>
      </c>
      <c r="O12" s="18">
        <v>44284</v>
      </c>
      <c r="P12" s="8" t="s">
        <v>50</v>
      </c>
      <c r="Q12" s="1">
        <f t="shared" si="0"/>
        <v>1</v>
      </c>
      <c r="R12" s="99" t="s">
        <v>701</v>
      </c>
      <c r="W12" s="1" t="s">
        <v>890</v>
      </c>
    </row>
    <row r="13" spans="1:23" hidden="1" x14ac:dyDescent="0.25">
      <c r="A13" s="1">
        <v>6</v>
      </c>
      <c r="C13" s="7" t="s">
        <v>475</v>
      </c>
      <c r="D13" s="17">
        <v>27595</v>
      </c>
      <c r="E13" s="7" t="s">
        <v>11</v>
      </c>
      <c r="F13" s="7" t="s">
        <v>476</v>
      </c>
      <c r="G13" s="7" t="s">
        <v>264</v>
      </c>
      <c r="H13" s="45" t="s">
        <v>35</v>
      </c>
      <c r="I13" s="8">
        <v>570530</v>
      </c>
      <c r="J13" s="7" t="s">
        <v>446</v>
      </c>
      <c r="K13" s="44">
        <v>8</v>
      </c>
      <c r="L13" s="44">
        <v>1</v>
      </c>
      <c r="M13" s="44">
        <v>12</v>
      </c>
      <c r="N13" s="8" t="s">
        <v>266</v>
      </c>
      <c r="O13" s="18">
        <v>44291</v>
      </c>
      <c r="P13" s="8" t="s">
        <v>60</v>
      </c>
      <c r="Q13" s="1">
        <f t="shared" si="0"/>
        <v>1</v>
      </c>
      <c r="R13" s="99" t="s">
        <v>701</v>
      </c>
      <c r="W13" s="1" t="s">
        <v>890</v>
      </c>
    </row>
    <row r="14" spans="1:23" hidden="1" x14ac:dyDescent="0.25">
      <c r="A14" s="1">
        <v>7</v>
      </c>
      <c r="C14" s="7" t="s">
        <v>475</v>
      </c>
      <c r="D14" s="17">
        <v>27745</v>
      </c>
      <c r="E14" s="7" t="s">
        <v>11</v>
      </c>
      <c r="F14" s="7" t="s">
        <v>476</v>
      </c>
      <c r="G14" s="7" t="s">
        <v>89</v>
      </c>
      <c r="H14" s="45" t="s">
        <v>35</v>
      </c>
      <c r="I14" s="8">
        <v>432309</v>
      </c>
      <c r="J14" s="7" t="s">
        <v>467</v>
      </c>
      <c r="K14" s="44">
        <v>16</v>
      </c>
      <c r="L14" s="44">
        <v>2</v>
      </c>
      <c r="M14" s="44">
        <v>10</v>
      </c>
      <c r="N14" s="8" t="s">
        <v>343</v>
      </c>
      <c r="O14" s="18">
        <v>44295</v>
      </c>
      <c r="P14" s="8" t="s">
        <v>60</v>
      </c>
      <c r="Q14" s="1">
        <f t="shared" si="0"/>
        <v>1</v>
      </c>
      <c r="R14" s="99" t="s">
        <v>701</v>
      </c>
      <c r="W14" s="1" t="s">
        <v>890</v>
      </c>
    </row>
    <row r="15" spans="1:23" s="110" customFormat="1" hidden="1" x14ac:dyDescent="0.25">
      <c r="A15" s="106">
        <v>16</v>
      </c>
      <c r="C15" s="107" t="s">
        <v>475</v>
      </c>
      <c r="D15" s="108">
        <v>29327</v>
      </c>
      <c r="E15" s="107" t="s">
        <v>11</v>
      </c>
      <c r="F15" s="107" t="s">
        <v>476</v>
      </c>
      <c r="G15" s="107" t="s">
        <v>105</v>
      </c>
      <c r="H15" s="123" t="s">
        <v>35</v>
      </c>
      <c r="I15" s="46">
        <v>338549</v>
      </c>
      <c r="J15" s="107" t="s">
        <v>479</v>
      </c>
      <c r="K15" s="124">
        <v>16</v>
      </c>
      <c r="L15" s="124">
        <v>2</v>
      </c>
      <c r="M15" s="124">
        <v>4</v>
      </c>
      <c r="N15" s="46" t="s">
        <v>308</v>
      </c>
      <c r="O15" s="47" t="s">
        <v>117</v>
      </c>
      <c r="P15" s="46" t="s">
        <v>119</v>
      </c>
      <c r="Q15" s="106">
        <v>1</v>
      </c>
      <c r="R15" s="125" t="s">
        <v>701</v>
      </c>
      <c r="S15" s="128"/>
      <c r="T15" s="128"/>
      <c r="U15" s="128"/>
      <c r="W15" s="1" t="s">
        <v>890</v>
      </c>
    </row>
    <row r="16" spans="1:23" hidden="1" x14ac:dyDescent="0.25">
      <c r="A16" s="1">
        <v>17</v>
      </c>
      <c r="C16" s="7" t="s">
        <v>475</v>
      </c>
      <c r="D16" s="17">
        <v>29326</v>
      </c>
      <c r="E16" s="7" t="s">
        <v>11</v>
      </c>
      <c r="F16" s="7" t="s">
        <v>476</v>
      </c>
      <c r="G16" s="7" t="s">
        <v>105</v>
      </c>
      <c r="H16" s="45" t="s">
        <v>35</v>
      </c>
      <c r="I16" s="8">
        <v>338549</v>
      </c>
      <c r="J16" s="7" t="s">
        <v>479</v>
      </c>
      <c r="K16" s="44">
        <v>16</v>
      </c>
      <c r="L16" s="44">
        <v>2</v>
      </c>
      <c r="M16" s="44">
        <v>5</v>
      </c>
      <c r="N16" s="8" t="s">
        <v>310</v>
      </c>
      <c r="O16" s="8" t="s">
        <v>311</v>
      </c>
      <c r="P16" s="8" t="s">
        <v>119</v>
      </c>
      <c r="Q16" s="1">
        <v>1</v>
      </c>
      <c r="R16" s="99" t="s">
        <v>701</v>
      </c>
      <c r="W16" s="1" t="s">
        <v>890</v>
      </c>
    </row>
    <row r="17" spans="1:23" s="131" customFormat="1" x14ac:dyDescent="0.25">
      <c r="A17" s="130">
        <v>8</v>
      </c>
      <c r="C17" s="132" t="s">
        <v>475</v>
      </c>
      <c r="D17" s="133">
        <v>27594</v>
      </c>
      <c r="E17" s="132" t="s">
        <v>11</v>
      </c>
      <c r="F17" s="132" t="s">
        <v>476</v>
      </c>
      <c r="G17" s="132" t="s">
        <v>264</v>
      </c>
      <c r="H17" s="138" t="s">
        <v>35</v>
      </c>
      <c r="I17" s="134">
        <v>570530</v>
      </c>
      <c r="J17" s="132" t="s">
        <v>446</v>
      </c>
      <c r="K17" s="135">
        <v>8</v>
      </c>
      <c r="L17" s="135">
        <v>1</v>
      </c>
      <c r="M17" s="135">
        <v>12</v>
      </c>
      <c r="N17" s="134" t="s">
        <v>67</v>
      </c>
      <c r="O17" s="136">
        <v>44305</v>
      </c>
      <c r="P17" s="134" t="s">
        <v>60</v>
      </c>
      <c r="Q17" s="130">
        <f t="shared" si="0"/>
        <v>1</v>
      </c>
      <c r="R17" s="139" t="s">
        <v>699</v>
      </c>
      <c r="S17" s="140">
        <v>8</v>
      </c>
      <c r="T17" s="141">
        <v>570530</v>
      </c>
      <c r="U17" s="141" t="s">
        <v>446</v>
      </c>
      <c r="W17" s="130" t="s">
        <v>891</v>
      </c>
    </row>
    <row r="18" spans="1:23" x14ac:dyDescent="0.25">
      <c r="A18" s="1">
        <v>9</v>
      </c>
      <c r="C18" s="7" t="s">
        <v>475</v>
      </c>
      <c r="D18" s="17">
        <v>27744</v>
      </c>
      <c r="E18" s="7" t="s">
        <v>11</v>
      </c>
      <c r="F18" s="7" t="s">
        <v>476</v>
      </c>
      <c r="G18" s="7" t="s">
        <v>89</v>
      </c>
      <c r="H18" s="45" t="s">
        <v>35</v>
      </c>
      <c r="I18" s="8">
        <v>432309</v>
      </c>
      <c r="J18" s="7" t="s">
        <v>467</v>
      </c>
      <c r="K18" s="44">
        <v>16</v>
      </c>
      <c r="L18" s="44">
        <v>2</v>
      </c>
      <c r="M18" s="44">
        <v>11</v>
      </c>
      <c r="N18" s="8" t="s">
        <v>423</v>
      </c>
      <c r="O18" s="18">
        <v>44309</v>
      </c>
      <c r="P18" s="8" t="s">
        <v>60</v>
      </c>
      <c r="Q18" s="1">
        <f t="shared" si="0"/>
        <v>1</v>
      </c>
      <c r="R18" s="99" t="s">
        <v>699</v>
      </c>
      <c r="S18" s="2">
        <v>8</v>
      </c>
      <c r="T18" s="42">
        <v>432309</v>
      </c>
      <c r="U18" s="42" t="s">
        <v>892</v>
      </c>
      <c r="W18" s="1" t="s">
        <v>891</v>
      </c>
    </row>
    <row r="19" spans="1:23" x14ac:dyDescent="0.25">
      <c r="A19" s="1">
        <v>10</v>
      </c>
      <c r="C19" s="7" t="s">
        <v>475</v>
      </c>
      <c r="D19" s="17">
        <v>27743</v>
      </c>
      <c r="E19" s="7" t="s">
        <v>11</v>
      </c>
      <c r="F19" s="7" t="s">
        <v>476</v>
      </c>
      <c r="G19" s="7" t="s">
        <v>89</v>
      </c>
      <c r="H19" s="45" t="s">
        <v>35</v>
      </c>
      <c r="I19" s="8">
        <v>432309</v>
      </c>
      <c r="J19" s="7" t="s">
        <v>467</v>
      </c>
      <c r="K19" s="44">
        <v>16</v>
      </c>
      <c r="L19" s="44">
        <v>2</v>
      </c>
      <c r="M19" s="44">
        <v>11</v>
      </c>
      <c r="N19" s="8" t="s">
        <v>275</v>
      </c>
      <c r="O19" s="18">
        <v>44323</v>
      </c>
      <c r="P19" s="8" t="s">
        <v>77</v>
      </c>
      <c r="Q19" s="1">
        <f t="shared" si="0"/>
        <v>1</v>
      </c>
      <c r="R19" s="99" t="s">
        <v>699</v>
      </c>
      <c r="S19" s="2">
        <v>6</v>
      </c>
      <c r="T19" s="42">
        <v>432309</v>
      </c>
      <c r="U19" s="42" t="s">
        <v>892</v>
      </c>
      <c r="W19" s="1" t="s">
        <v>891</v>
      </c>
    </row>
    <row r="20" spans="1:23" x14ac:dyDescent="0.25">
      <c r="A20" s="1">
        <v>11</v>
      </c>
      <c r="C20" s="7" t="s">
        <v>475</v>
      </c>
      <c r="D20" s="17">
        <v>24068</v>
      </c>
      <c r="E20" s="7" t="s">
        <v>11</v>
      </c>
      <c r="F20" s="7" t="s">
        <v>476</v>
      </c>
      <c r="G20" s="7" t="s">
        <v>68</v>
      </c>
      <c r="H20" s="45" t="s">
        <v>35</v>
      </c>
      <c r="I20" s="8">
        <v>514091</v>
      </c>
      <c r="J20" s="7" t="s">
        <v>477</v>
      </c>
      <c r="K20" s="44">
        <v>24</v>
      </c>
      <c r="L20" s="44">
        <v>3</v>
      </c>
      <c r="M20" s="44">
        <v>7</v>
      </c>
      <c r="N20" s="8" t="s">
        <v>76</v>
      </c>
      <c r="O20" s="18">
        <v>44330</v>
      </c>
      <c r="P20" s="8" t="s">
        <v>77</v>
      </c>
      <c r="Q20" s="1">
        <f t="shared" si="0"/>
        <v>1</v>
      </c>
      <c r="R20" s="99" t="s">
        <v>699</v>
      </c>
      <c r="S20" s="2">
        <v>6</v>
      </c>
      <c r="T20" s="42">
        <v>514091</v>
      </c>
      <c r="U20" s="42" t="s">
        <v>674</v>
      </c>
      <c r="W20" s="1" t="s">
        <v>891</v>
      </c>
    </row>
    <row r="21" spans="1:23" x14ac:dyDescent="0.25">
      <c r="A21" s="1">
        <v>12</v>
      </c>
      <c r="C21" s="7" t="s">
        <v>475</v>
      </c>
      <c r="D21" s="17">
        <v>27742</v>
      </c>
      <c r="E21" s="7" t="s">
        <v>11</v>
      </c>
      <c r="F21" s="7" t="s">
        <v>476</v>
      </c>
      <c r="G21" s="7" t="s">
        <v>89</v>
      </c>
      <c r="H21" s="45" t="s">
        <v>35</v>
      </c>
      <c r="I21" s="8">
        <v>432309</v>
      </c>
      <c r="J21" s="7" t="s">
        <v>467</v>
      </c>
      <c r="K21" s="44">
        <v>16</v>
      </c>
      <c r="L21" s="44">
        <v>2</v>
      </c>
      <c r="M21" s="44">
        <v>11</v>
      </c>
      <c r="N21" s="8" t="s">
        <v>284</v>
      </c>
      <c r="O21" s="18">
        <v>44337</v>
      </c>
      <c r="P21" s="8" t="s">
        <v>77</v>
      </c>
      <c r="Q21" s="1">
        <f t="shared" si="0"/>
        <v>1</v>
      </c>
      <c r="R21" s="99" t="s">
        <v>699</v>
      </c>
      <c r="S21" s="2">
        <v>9</v>
      </c>
      <c r="T21" s="42">
        <v>432309</v>
      </c>
      <c r="U21" s="42" t="s">
        <v>892</v>
      </c>
      <c r="W21" s="1" t="s">
        <v>891</v>
      </c>
    </row>
    <row r="22" spans="1:23" hidden="1" x14ac:dyDescent="0.25">
      <c r="A22" s="1">
        <v>13</v>
      </c>
      <c r="C22" s="7" t="s">
        <v>475</v>
      </c>
      <c r="D22" s="17">
        <v>28192</v>
      </c>
      <c r="E22" s="7" t="s">
        <v>11</v>
      </c>
      <c r="F22" s="7" t="s">
        <v>476</v>
      </c>
      <c r="G22" s="7" t="s">
        <v>279</v>
      </c>
      <c r="H22" s="45" t="s">
        <v>35</v>
      </c>
      <c r="I22" s="8">
        <v>432309</v>
      </c>
      <c r="J22" s="7" t="s">
        <v>467</v>
      </c>
      <c r="K22" s="44">
        <v>16</v>
      </c>
      <c r="L22" s="44">
        <v>2</v>
      </c>
      <c r="M22" s="44">
        <v>9</v>
      </c>
      <c r="N22" s="8" t="s">
        <v>289</v>
      </c>
      <c r="O22" s="18">
        <v>44351</v>
      </c>
      <c r="P22" s="8" t="s">
        <v>100</v>
      </c>
      <c r="Q22" s="1">
        <f t="shared" si="0"/>
        <v>1</v>
      </c>
      <c r="R22" s="216" t="s">
        <v>701</v>
      </c>
      <c r="S22" s="2">
        <v>0</v>
      </c>
      <c r="T22" s="42"/>
      <c r="U22" s="42"/>
      <c r="V22" t="s">
        <v>893</v>
      </c>
      <c r="W22" s="1" t="s">
        <v>891</v>
      </c>
    </row>
    <row r="23" spans="1:23" x14ac:dyDescent="0.25">
      <c r="A23" s="1">
        <v>14</v>
      </c>
      <c r="C23" s="7" t="s">
        <v>475</v>
      </c>
      <c r="D23" s="17">
        <v>24079</v>
      </c>
      <c r="E23" s="7" t="s">
        <v>11</v>
      </c>
      <c r="F23" s="7" t="s">
        <v>476</v>
      </c>
      <c r="G23" s="7" t="s">
        <v>159</v>
      </c>
      <c r="H23" s="45" t="s">
        <v>35</v>
      </c>
      <c r="I23" s="8">
        <v>570530</v>
      </c>
      <c r="J23" s="7" t="s">
        <v>446</v>
      </c>
      <c r="K23" s="44">
        <v>16</v>
      </c>
      <c r="L23" s="44">
        <v>2</v>
      </c>
      <c r="M23" s="44">
        <v>9</v>
      </c>
      <c r="N23" s="8" t="s">
        <v>295</v>
      </c>
      <c r="O23" s="8" t="s">
        <v>102</v>
      </c>
      <c r="P23" s="8" t="s">
        <v>100</v>
      </c>
      <c r="Q23" s="1">
        <v>1</v>
      </c>
      <c r="R23" s="99" t="s">
        <v>699</v>
      </c>
      <c r="S23" s="2">
        <v>10</v>
      </c>
      <c r="T23" s="42">
        <v>570530</v>
      </c>
      <c r="U23" s="42" t="s">
        <v>446</v>
      </c>
      <c r="W23" s="1" t="s">
        <v>891</v>
      </c>
    </row>
    <row r="24" spans="1:23" x14ac:dyDescent="0.25">
      <c r="A24" s="1">
        <v>15</v>
      </c>
      <c r="C24" s="7" t="s">
        <v>475</v>
      </c>
      <c r="D24" s="17">
        <v>24067</v>
      </c>
      <c r="E24" s="7" t="s">
        <v>11</v>
      </c>
      <c r="F24" s="7" t="s">
        <v>476</v>
      </c>
      <c r="G24" s="7" t="s">
        <v>68</v>
      </c>
      <c r="H24" s="45" t="s">
        <v>35</v>
      </c>
      <c r="I24" s="8">
        <v>514091</v>
      </c>
      <c r="J24" s="7" t="s">
        <v>477</v>
      </c>
      <c r="K24" s="44">
        <v>24</v>
      </c>
      <c r="L24" s="44">
        <v>3</v>
      </c>
      <c r="M24" s="44">
        <v>8</v>
      </c>
      <c r="N24" s="8" t="s">
        <v>306</v>
      </c>
      <c r="O24" s="18">
        <v>44377</v>
      </c>
      <c r="P24" s="8" t="s">
        <v>100</v>
      </c>
      <c r="Q24" s="1">
        <f t="shared" si="0"/>
        <v>1</v>
      </c>
      <c r="R24" s="99" t="s">
        <v>699</v>
      </c>
      <c r="S24" s="2">
        <v>9</v>
      </c>
      <c r="T24" s="42">
        <v>514091</v>
      </c>
      <c r="U24" s="42" t="s">
        <v>674</v>
      </c>
      <c r="W24" s="1" t="s">
        <v>891</v>
      </c>
    </row>
    <row r="25" spans="1:23" x14ac:dyDescent="0.25">
      <c r="A25" s="1">
        <v>18</v>
      </c>
      <c r="C25" s="7" t="s">
        <v>475</v>
      </c>
      <c r="D25" s="17">
        <v>24066</v>
      </c>
      <c r="E25" s="7" t="s">
        <v>11</v>
      </c>
      <c r="F25" s="7" t="s">
        <v>476</v>
      </c>
      <c r="G25" s="7" t="s">
        <v>68</v>
      </c>
      <c r="H25" s="45" t="s">
        <v>35</v>
      </c>
      <c r="I25" s="8">
        <v>514091</v>
      </c>
      <c r="J25" s="7" t="s">
        <v>477</v>
      </c>
      <c r="K25" s="44">
        <v>24</v>
      </c>
      <c r="L25" s="44">
        <v>3</v>
      </c>
      <c r="M25" s="44">
        <v>8</v>
      </c>
      <c r="N25" s="8" t="s">
        <v>310</v>
      </c>
      <c r="O25" s="18">
        <v>44384</v>
      </c>
      <c r="P25" s="8" t="s">
        <v>119</v>
      </c>
      <c r="Q25" s="1">
        <f>IF(O25&lt;=$D$3,1,0)</f>
        <v>1</v>
      </c>
      <c r="R25" s="99" t="s">
        <v>699</v>
      </c>
      <c r="S25" s="2">
        <v>6</v>
      </c>
      <c r="T25" s="42">
        <v>514091</v>
      </c>
      <c r="U25" s="42" t="s">
        <v>674</v>
      </c>
      <c r="W25" s="1" t="s">
        <v>891</v>
      </c>
    </row>
    <row r="26" spans="1:23" x14ac:dyDescent="0.25">
      <c r="A26" s="1">
        <v>19</v>
      </c>
      <c r="C26" s="7" t="s">
        <v>475</v>
      </c>
      <c r="D26" s="17">
        <v>27562</v>
      </c>
      <c r="E26" s="7" t="s">
        <v>11</v>
      </c>
      <c r="F26" s="7" t="s">
        <v>476</v>
      </c>
      <c r="G26" s="7" t="s">
        <v>199</v>
      </c>
      <c r="H26" s="45" t="s">
        <v>35</v>
      </c>
      <c r="I26" s="8">
        <v>570441</v>
      </c>
      <c r="J26" s="7" t="s">
        <v>480</v>
      </c>
      <c r="K26" s="44">
        <v>8</v>
      </c>
      <c r="L26" s="44">
        <v>1</v>
      </c>
      <c r="M26" s="44">
        <v>10</v>
      </c>
      <c r="N26" s="8" t="s">
        <v>129</v>
      </c>
      <c r="O26" s="18">
        <v>44393</v>
      </c>
      <c r="P26" s="8" t="s">
        <v>119</v>
      </c>
      <c r="Q26" s="1">
        <v>1</v>
      </c>
      <c r="R26" s="99" t="s">
        <v>699</v>
      </c>
      <c r="S26" s="2">
        <v>7</v>
      </c>
      <c r="T26" s="42">
        <v>514091</v>
      </c>
      <c r="U26" s="42" t="s">
        <v>674</v>
      </c>
      <c r="W26" s="1" t="s">
        <v>891</v>
      </c>
    </row>
    <row r="27" spans="1:23" hidden="1" x14ac:dyDescent="0.25">
      <c r="A27" s="1">
        <v>20</v>
      </c>
      <c r="C27" s="7" t="s">
        <v>475</v>
      </c>
      <c r="D27" s="17">
        <v>29328</v>
      </c>
      <c r="E27" s="7" t="s">
        <v>11</v>
      </c>
      <c r="F27" s="7" t="s">
        <v>476</v>
      </c>
      <c r="G27" s="7" t="s">
        <v>302</v>
      </c>
      <c r="H27" s="45" t="s">
        <v>35</v>
      </c>
      <c r="I27" s="8">
        <v>338549</v>
      </c>
      <c r="J27" s="7" t="s">
        <v>479</v>
      </c>
      <c r="K27" s="44">
        <v>8</v>
      </c>
      <c r="L27" s="44">
        <v>1</v>
      </c>
      <c r="M27" s="44">
        <v>9</v>
      </c>
      <c r="N27" s="8" t="s">
        <v>357</v>
      </c>
      <c r="O27" s="18">
        <v>44396</v>
      </c>
      <c r="P27" s="8" t="s">
        <v>119</v>
      </c>
      <c r="Q27" s="1">
        <f t="shared" si="0"/>
        <v>1</v>
      </c>
      <c r="R27" s="216" t="s">
        <v>701</v>
      </c>
      <c r="S27" s="2">
        <v>0</v>
      </c>
      <c r="V27" t="s">
        <v>893</v>
      </c>
      <c r="W27" s="1" t="s">
        <v>891</v>
      </c>
    </row>
    <row r="28" spans="1:23" x14ac:dyDescent="0.25">
      <c r="A28" s="1">
        <v>21</v>
      </c>
      <c r="C28" s="7" t="s">
        <v>475</v>
      </c>
      <c r="D28" s="17">
        <v>24087</v>
      </c>
      <c r="E28" s="7" t="s">
        <v>11</v>
      </c>
      <c r="F28" s="7" t="s">
        <v>476</v>
      </c>
      <c r="G28" s="7" t="s">
        <v>34</v>
      </c>
      <c r="H28" s="45" t="s">
        <v>35</v>
      </c>
      <c r="I28" s="8">
        <v>514091</v>
      </c>
      <c r="J28" s="7" t="s">
        <v>477</v>
      </c>
      <c r="K28" s="44">
        <v>8</v>
      </c>
      <c r="L28" s="44">
        <v>1</v>
      </c>
      <c r="M28" s="44">
        <v>10</v>
      </c>
      <c r="N28" s="8" t="s">
        <v>444</v>
      </c>
      <c r="O28" s="18">
        <v>44400</v>
      </c>
      <c r="P28" s="8" t="s">
        <v>119</v>
      </c>
      <c r="Q28" s="1">
        <f t="shared" si="0"/>
        <v>1</v>
      </c>
      <c r="R28" s="99" t="s">
        <v>699</v>
      </c>
      <c r="S28" s="2">
        <v>6</v>
      </c>
      <c r="T28" s="42">
        <v>514091</v>
      </c>
      <c r="U28" s="42" t="s">
        <v>674</v>
      </c>
      <c r="W28" s="1" t="s">
        <v>891</v>
      </c>
    </row>
    <row r="29" spans="1:23" x14ac:dyDescent="0.25">
      <c r="A29" s="1">
        <v>22</v>
      </c>
      <c r="C29" s="7" t="s">
        <v>475</v>
      </c>
      <c r="D29" s="17">
        <v>27561</v>
      </c>
      <c r="E29" s="7" t="s">
        <v>11</v>
      </c>
      <c r="F29" s="7" t="s">
        <v>476</v>
      </c>
      <c r="G29" s="7" t="s">
        <v>199</v>
      </c>
      <c r="H29" s="45" t="s">
        <v>35</v>
      </c>
      <c r="I29" s="8">
        <v>570441</v>
      </c>
      <c r="J29" s="7" t="s">
        <v>480</v>
      </c>
      <c r="K29" s="44">
        <v>8</v>
      </c>
      <c r="L29" s="44">
        <v>1</v>
      </c>
      <c r="M29" s="44">
        <v>11</v>
      </c>
      <c r="N29" s="8" t="s">
        <v>429</v>
      </c>
      <c r="O29" s="18">
        <v>44421</v>
      </c>
      <c r="P29" s="8" t="s">
        <v>141</v>
      </c>
      <c r="Q29" s="1">
        <f t="shared" si="0"/>
        <v>1</v>
      </c>
      <c r="R29" s="99" t="s">
        <v>699</v>
      </c>
      <c r="S29" s="2">
        <v>6</v>
      </c>
      <c r="T29" s="42">
        <v>514091</v>
      </c>
      <c r="U29" s="42" t="s">
        <v>674</v>
      </c>
      <c r="W29" s="1" t="s">
        <v>891</v>
      </c>
    </row>
    <row r="30" spans="1:23" x14ac:dyDescent="0.25">
      <c r="A30" s="1">
        <v>23</v>
      </c>
      <c r="C30" s="7" t="s">
        <v>475</v>
      </c>
      <c r="D30" s="17">
        <v>28190</v>
      </c>
      <c r="E30" s="7" t="s">
        <v>11</v>
      </c>
      <c r="F30" s="7" t="s">
        <v>476</v>
      </c>
      <c r="G30" s="7" t="s">
        <v>40</v>
      </c>
      <c r="H30" s="45" t="s">
        <v>35</v>
      </c>
      <c r="I30" s="8">
        <v>514091</v>
      </c>
      <c r="J30" s="7" t="s">
        <v>477</v>
      </c>
      <c r="K30" s="44">
        <v>24</v>
      </c>
      <c r="L30" s="44">
        <v>3</v>
      </c>
      <c r="M30" s="44">
        <v>12</v>
      </c>
      <c r="N30" s="8" t="s">
        <v>154</v>
      </c>
      <c r="O30" s="18">
        <v>44426</v>
      </c>
      <c r="P30" s="8" t="s">
        <v>141</v>
      </c>
      <c r="Q30" s="1">
        <f t="shared" si="0"/>
        <v>1</v>
      </c>
      <c r="R30" s="99" t="s">
        <v>699</v>
      </c>
      <c r="S30" s="2">
        <v>6</v>
      </c>
      <c r="T30" s="42">
        <v>514091</v>
      </c>
      <c r="U30" s="42" t="s">
        <v>674</v>
      </c>
      <c r="W30" s="1" t="s">
        <v>891</v>
      </c>
    </row>
    <row r="31" spans="1:23" hidden="1" x14ac:dyDescent="0.25">
      <c r="A31" s="1">
        <v>24</v>
      </c>
      <c r="C31" s="7" t="s">
        <v>475</v>
      </c>
      <c r="D31" s="17">
        <v>24078</v>
      </c>
      <c r="E31" s="7" t="s">
        <v>11</v>
      </c>
      <c r="F31" s="7" t="s">
        <v>476</v>
      </c>
      <c r="G31" s="7" t="s">
        <v>159</v>
      </c>
      <c r="H31" s="45" t="s">
        <v>35</v>
      </c>
      <c r="I31" s="8">
        <v>570530</v>
      </c>
      <c r="J31" s="7" t="s">
        <v>446</v>
      </c>
      <c r="K31" s="44">
        <v>16</v>
      </c>
      <c r="L31" s="44">
        <v>2</v>
      </c>
      <c r="M31" s="44">
        <v>9</v>
      </c>
      <c r="N31" s="8" t="s">
        <v>172</v>
      </c>
      <c r="O31" s="18">
        <v>44442</v>
      </c>
      <c r="P31" s="8" t="s">
        <v>173</v>
      </c>
      <c r="Q31" s="1">
        <f t="shared" si="0"/>
        <v>1</v>
      </c>
      <c r="R31" s="216" t="s">
        <v>701</v>
      </c>
      <c r="S31" s="2">
        <v>0</v>
      </c>
      <c r="V31" t="s">
        <v>894</v>
      </c>
      <c r="W31" s="1" t="s">
        <v>891</v>
      </c>
    </row>
    <row r="32" spans="1:23" x14ac:dyDescent="0.25">
      <c r="A32" s="1">
        <v>25</v>
      </c>
      <c r="C32" s="7" t="s">
        <v>475</v>
      </c>
      <c r="D32" s="17">
        <v>24086</v>
      </c>
      <c r="E32" s="7" t="s">
        <v>11</v>
      </c>
      <c r="F32" s="7" t="s">
        <v>476</v>
      </c>
      <c r="G32" s="7" t="s">
        <v>34</v>
      </c>
      <c r="H32" s="45" t="s">
        <v>35</v>
      </c>
      <c r="I32" s="8">
        <v>514091</v>
      </c>
      <c r="J32" s="7" t="s">
        <v>477</v>
      </c>
      <c r="K32" s="44">
        <v>8</v>
      </c>
      <c r="L32" s="44">
        <v>1</v>
      </c>
      <c r="M32" s="44">
        <v>10</v>
      </c>
      <c r="N32" s="8" t="s">
        <v>177</v>
      </c>
      <c r="O32" s="18">
        <v>44445</v>
      </c>
      <c r="P32" s="8" t="s">
        <v>173</v>
      </c>
      <c r="Q32" s="1">
        <f t="shared" si="0"/>
        <v>1</v>
      </c>
      <c r="R32" s="99" t="s">
        <v>699</v>
      </c>
      <c r="S32" s="2">
        <v>8</v>
      </c>
      <c r="V32" t="s">
        <v>895</v>
      </c>
      <c r="W32" s="1" t="s">
        <v>891</v>
      </c>
    </row>
    <row r="33" spans="1:23" x14ac:dyDescent="0.25">
      <c r="A33" s="1">
        <v>26</v>
      </c>
      <c r="C33" s="7" t="s">
        <v>475</v>
      </c>
      <c r="D33" s="17">
        <v>27560</v>
      </c>
      <c r="E33" s="7" t="s">
        <v>11</v>
      </c>
      <c r="F33" s="7" t="s">
        <v>476</v>
      </c>
      <c r="G33" s="7" t="s">
        <v>199</v>
      </c>
      <c r="H33" s="45" t="s">
        <v>35</v>
      </c>
      <c r="I33" s="8">
        <v>570441</v>
      </c>
      <c r="J33" s="7" t="s">
        <v>480</v>
      </c>
      <c r="K33" s="44">
        <v>8</v>
      </c>
      <c r="L33" s="44">
        <v>1</v>
      </c>
      <c r="M33" s="44">
        <v>11</v>
      </c>
      <c r="N33" s="8" t="s">
        <v>182</v>
      </c>
      <c r="O33" s="18">
        <v>44449</v>
      </c>
      <c r="P33" s="8" t="s">
        <v>173</v>
      </c>
      <c r="Q33" s="1">
        <f t="shared" si="0"/>
        <v>1</v>
      </c>
      <c r="R33" s="99" t="s">
        <v>699</v>
      </c>
      <c r="S33" s="2">
        <v>4</v>
      </c>
      <c r="V33" t="s">
        <v>896</v>
      </c>
      <c r="W33" s="1" t="s">
        <v>891</v>
      </c>
    </row>
    <row r="34" spans="1:23" x14ac:dyDescent="0.25">
      <c r="A34" s="1">
        <v>27</v>
      </c>
      <c r="C34" s="7" t="s">
        <v>475</v>
      </c>
      <c r="D34" s="17">
        <v>27593</v>
      </c>
      <c r="E34" s="7" t="s">
        <v>11</v>
      </c>
      <c r="F34" s="7" t="s">
        <v>476</v>
      </c>
      <c r="G34" s="7" t="s">
        <v>264</v>
      </c>
      <c r="H34" s="45" t="s">
        <v>35</v>
      </c>
      <c r="I34" s="8">
        <v>570530</v>
      </c>
      <c r="J34" s="7" t="s">
        <v>446</v>
      </c>
      <c r="K34" s="44">
        <v>8</v>
      </c>
      <c r="L34" s="44">
        <v>1</v>
      </c>
      <c r="M34" s="44">
        <v>12</v>
      </c>
      <c r="N34" s="8" t="s">
        <v>195</v>
      </c>
      <c r="O34" s="18">
        <v>44466</v>
      </c>
      <c r="P34" s="8" t="s">
        <v>173</v>
      </c>
      <c r="Q34" s="1">
        <f t="shared" si="0"/>
        <v>1</v>
      </c>
      <c r="R34" s="99" t="s">
        <v>699</v>
      </c>
      <c r="S34" s="2">
        <v>8</v>
      </c>
      <c r="V34" t="s">
        <v>897</v>
      </c>
      <c r="W34" s="1" t="s">
        <v>891</v>
      </c>
    </row>
    <row r="35" spans="1:23" hidden="1" x14ac:dyDescent="0.25">
      <c r="A35" s="1">
        <v>28</v>
      </c>
      <c r="C35" s="7" t="s">
        <v>475</v>
      </c>
      <c r="D35" s="17">
        <v>24077</v>
      </c>
      <c r="E35" s="7" t="s">
        <v>11</v>
      </c>
      <c r="F35" s="7" t="s">
        <v>476</v>
      </c>
      <c r="G35" s="7" t="s">
        <v>159</v>
      </c>
      <c r="H35" s="45" t="s">
        <v>35</v>
      </c>
      <c r="I35" s="8">
        <v>570530</v>
      </c>
      <c r="J35" s="7" t="s">
        <v>446</v>
      </c>
      <c r="K35" s="44">
        <v>16</v>
      </c>
      <c r="L35" s="44">
        <v>2</v>
      </c>
      <c r="M35" s="44">
        <v>9</v>
      </c>
      <c r="N35" s="8" t="s">
        <v>365</v>
      </c>
      <c r="O35" s="18">
        <v>44505</v>
      </c>
      <c r="P35" s="8" t="s">
        <v>227</v>
      </c>
      <c r="Q35" s="1">
        <f t="shared" si="0"/>
        <v>1</v>
      </c>
      <c r="R35" s="216" t="s">
        <v>701</v>
      </c>
      <c r="V35" t="s">
        <v>893</v>
      </c>
      <c r="W35" s="1" t="s">
        <v>891</v>
      </c>
    </row>
    <row r="36" spans="1:23" x14ac:dyDescent="0.25">
      <c r="A36" s="1">
        <v>29</v>
      </c>
      <c r="C36" s="7" t="s">
        <v>475</v>
      </c>
      <c r="D36" s="17">
        <v>27559</v>
      </c>
      <c r="E36" s="7" t="s">
        <v>11</v>
      </c>
      <c r="F36" s="7" t="s">
        <v>476</v>
      </c>
      <c r="G36" s="7" t="s">
        <v>199</v>
      </c>
      <c r="H36" s="45" t="s">
        <v>35</v>
      </c>
      <c r="I36" s="8">
        <v>570441</v>
      </c>
      <c r="J36" s="7" t="s">
        <v>480</v>
      </c>
      <c r="K36" s="44">
        <v>8</v>
      </c>
      <c r="L36" s="44">
        <v>1</v>
      </c>
      <c r="M36" s="44">
        <v>11</v>
      </c>
      <c r="N36" s="18">
        <v>44529</v>
      </c>
      <c r="O36" s="18">
        <v>44529</v>
      </c>
      <c r="P36" s="8" t="s">
        <v>227</v>
      </c>
      <c r="Q36" s="1">
        <f t="shared" si="0"/>
        <v>1</v>
      </c>
      <c r="R36" s="99" t="s">
        <v>699</v>
      </c>
      <c r="S36" s="2">
        <v>7</v>
      </c>
      <c r="V36" t="s">
        <v>898</v>
      </c>
      <c r="W36" s="1" t="s">
        <v>891</v>
      </c>
    </row>
    <row r="37" spans="1:23" x14ac:dyDescent="0.25">
      <c r="A37" s="1">
        <v>30</v>
      </c>
      <c r="C37" s="7" t="s">
        <v>475</v>
      </c>
      <c r="D37" s="17">
        <v>27558</v>
      </c>
      <c r="E37" s="7" t="s">
        <v>11</v>
      </c>
      <c r="F37" s="7" t="s">
        <v>476</v>
      </c>
      <c r="G37" s="7" t="s">
        <v>199</v>
      </c>
      <c r="H37" s="45" t="s">
        <v>35</v>
      </c>
      <c r="I37" s="8">
        <v>570441</v>
      </c>
      <c r="J37" s="7" t="s">
        <v>480</v>
      </c>
      <c r="K37" s="44">
        <v>8</v>
      </c>
      <c r="L37" s="44">
        <v>1</v>
      </c>
      <c r="M37" s="44">
        <v>11</v>
      </c>
      <c r="N37" s="18">
        <v>44533</v>
      </c>
      <c r="O37" s="18">
        <v>44533</v>
      </c>
      <c r="P37" s="8" t="s">
        <v>249</v>
      </c>
      <c r="Q37" s="1">
        <v>1</v>
      </c>
      <c r="R37" s="99" t="s">
        <v>699</v>
      </c>
      <c r="S37" s="2">
        <v>5</v>
      </c>
      <c r="W37" s="1" t="s">
        <v>891</v>
      </c>
    </row>
    <row r="38" spans="1:23" x14ac:dyDescent="0.25">
      <c r="A38" s="1"/>
      <c r="C38" s="7"/>
      <c r="E38" s="7"/>
      <c r="F38" s="7"/>
      <c r="G38" s="7"/>
      <c r="H38" s="45"/>
      <c r="I38" s="8"/>
      <c r="J38" s="7"/>
      <c r="K38" s="44"/>
      <c r="L38" s="44"/>
      <c r="M38" s="44"/>
      <c r="N38" s="18"/>
      <c r="O38" s="18"/>
      <c r="P38" s="8"/>
      <c r="Q38" s="1"/>
      <c r="T38" s="42"/>
      <c r="U38" s="42"/>
    </row>
  </sheetData>
  <autoFilter ref="A7:W37" xr:uid="{00000000-0001-0000-1200-000000000000}">
    <filterColumn colId="17">
      <filters>
        <filter val="Realizado"/>
      </filters>
    </filterColumn>
  </autoFilter>
  <sortState xmlns:xlrd2="http://schemas.microsoft.com/office/spreadsheetml/2017/richdata2" ref="A8:P37">
    <sortCondition ref="O8:O37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0000000}">
          <x14:formula1>
            <xm:f>Catalogo!$B$5:$B$6</xm:f>
          </x14:formula1>
          <xm:sqref>R8:R38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79998168889431442"/>
  </sheetPr>
  <dimension ref="A1:W116"/>
  <sheetViews>
    <sheetView zoomScaleNormal="100" workbookViewId="0">
      <pane xSplit="4" ySplit="7" topLeftCell="E8" activePane="bottomRight" state="frozenSplit"/>
      <selection pane="topRight" activeCell="E1" sqref="E1"/>
      <selection pane="bottomLeft" activeCell="A13" sqref="A13"/>
      <selection pane="bottomRight" activeCell="G118" sqref="G118"/>
    </sheetView>
  </sheetViews>
  <sheetFormatPr baseColWidth="10" defaultColWidth="11.42578125" defaultRowHeight="15" x14ac:dyDescent="0.25"/>
  <cols>
    <col min="1" max="1" width="7.5703125" customWidth="1"/>
    <col min="5" max="5" width="36.140625" customWidth="1"/>
    <col min="6" max="6" width="30" customWidth="1"/>
    <col min="7" max="7" width="45.5703125" customWidth="1"/>
    <col min="8" max="8" width="12.5703125" customWidth="1"/>
    <col min="9" max="9" width="11.42578125" style="1" hidden="1" customWidth="1"/>
    <col min="10" max="10" width="15.7109375" hidden="1" customWidth="1"/>
    <col min="11" max="11" width="12.7109375" style="43" customWidth="1"/>
    <col min="12" max="12" width="8.5703125" style="43" customWidth="1"/>
    <col min="13" max="13" width="11.42578125" style="43" customWidth="1"/>
    <col min="19" max="19" width="15.5703125" style="1" customWidth="1"/>
    <col min="22" max="22" width="31.140625" customWidth="1"/>
    <col min="23" max="23" width="14" customWidth="1"/>
  </cols>
  <sheetData>
    <row r="1" spans="1:23" s="28" customFormat="1" ht="14.25" customHeight="1" x14ac:dyDescent="0.3">
      <c r="B1" s="29"/>
      <c r="C1" s="29"/>
      <c r="D1" s="29"/>
      <c r="E1" s="29"/>
      <c r="G1" s="34" t="s">
        <v>713</v>
      </c>
      <c r="H1" s="29">
        <f>COUNT(M8:M11)</f>
        <v>4</v>
      </c>
      <c r="I1" s="30"/>
      <c r="J1" s="29"/>
      <c r="K1" s="28" t="s">
        <v>717</v>
      </c>
      <c r="L1" s="30">
        <f>COUNT(M12:M50)</f>
        <v>39</v>
      </c>
      <c r="M1" s="30"/>
      <c r="O1" s="31"/>
      <c r="P1" s="32"/>
      <c r="Q1" s="32"/>
      <c r="R1" s="32"/>
      <c r="S1" s="29"/>
      <c r="T1" s="29"/>
    </row>
    <row r="2" spans="1:23" s="28" customFormat="1" x14ac:dyDescent="0.3">
      <c r="B2" s="29"/>
      <c r="C2" s="32"/>
      <c r="D2" s="29"/>
      <c r="E2" s="34" t="s">
        <v>715</v>
      </c>
      <c r="F2" s="29">
        <f>COUNT(D8:D196)</f>
        <v>109</v>
      </c>
      <c r="G2" s="34" t="s">
        <v>716</v>
      </c>
      <c r="H2" s="29">
        <f>SUM(M8:M11)</f>
        <v>27</v>
      </c>
      <c r="I2" s="41"/>
      <c r="J2" s="29"/>
      <c r="K2" s="28" t="s">
        <v>717</v>
      </c>
      <c r="L2" s="30">
        <f>SUM(M12:M50)</f>
        <v>425</v>
      </c>
      <c r="M2" s="30"/>
      <c r="O2" s="35"/>
      <c r="P2" s="29"/>
      <c r="Q2" s="32"/>
      <c r="R2" s="32"/>
      <c r="S2" s="29"/>
      <c r="T2" s="29"/>
    </row>
    <row r="3" spans="1:23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SUM(M8:M196)</f>
        <v>1301</v>
      </c>
      <c r="G3" s="34" t="s">
        <v>719</v>
      </c>
      <c r="H3" s="29">
        <f>COUNTIFS($Q$8:$Q$196,1,$R$8:$R$196,"Realizado")</f>
        <v>18</v>
      </c>
      <c r="I3" s="41"/>
      <c r="J3" s="29"/>
      <c r="K3" s="143" t="s">
        <v>720</v>
      </c>
      <c r="L3" s="121">
        <f>SUM(M51:M116)</f>
        <v>849</v>
      </c>
      <c r="M3" s="30"/>
      <c r="O3" s="35"/>
      <c r="P3" s="29"/>
      <c r="Q3" s="29"/>
      <c r="R3" s="29"/>
      <c r="S3" s="29"/>
      <c r="T3" s="29"/>
    </row>
    <row r="4" spans="1:23" s="28" customFormat="1" x14ac:dyDescent="0.3">
      <c r="B4" s="29"/>
      <c r="C4" s="32"/>
      <c r="D4" s="29"/>
      <c r="E4" s="34" t="s">
        <v>721</v>
      </c>
      <c r="F4" s="29">
        <f>COUNTIF($Q$51:$Q$196,1)</f>
        <v>66</v>
      </c>
      <c r="G4" s="34" t="s">
        <v>722</v>
      </c>
      <c r="H4" s="29">
        <f>SUMIF($R$8:$R$196,"Realizado",$S$8:$S$196)</f>
        <v>172</v>
      </c>
      <c r="I4" s="41"/>
      <c r="J4" s="29"/>
      <c r="K4" s="143" t="s">
        <v>723</v>
      </c>
      <c r="L4" s="121">
        <f>COUNT(M51:M116)</f>
        <v>66</v>
      </c>
      <c r="M4" s="30"/>
      <c r="O4" s="35"/>
      <c r="P4" s="29"/>
      <c r="Q4" s="29"/>
      <c r="R4" s="29"/>
      <c r="S4" s="29"/>
      <c r="T4" s="29"/>
    </row>
    <row r="5" spans="1:23" s="28" customFormat="1" x14ac:dyDescent="0.3">
      <c r="B5" s="29"/>
      <c r="C5" s="32"/>
      <c r="D5" s="29"/>
      <c r="E5" s="34" t="s">
        <v>724</v>
      </c>
      <c r="F5" s="29">
        <f>SUMIF(Q51:Q196,1,M51:M196)</f>
        <v>849</v>
      </c>
      <c r="G5" s="34" t="s">
        <v>725</v>
      </c>
      <c r="H5" s="29">
        <f>COUNTIFS($Q$8:$Q$196,1,$R$8:$R$196,"Cancelado")</f>
        <v>79</v>
      </c>
      <c r="I5" s="41"/>
      <c r="J5" s="29"/>
      <c r="K5" s="30"/>
      <c r="L5" s="30"/>
      <c r="M5" s="30"/>
      <c r="O5" s="35"/>
      <c r="P5" s="29"/>
      <c r="Q5" s="29"/>
      <c r="R5" s="29"/>
      <c r="S5" s="29"/>
      <c r="T5" s="29"/>
    </row>
    <row r="6" spans="1:23" x14ac:dyDescent="0.25">
      <c r="B6" s="1"/>
      <c r="C6" s="1"/>
      <c r="D6" s="1"/>
      <c r="I6" s="2"/>
      <c r="J6" s="1"/>
      <c r="K6" s="2"/>
      <c r="L6" s="2"/>
      <c r="M6" s="2"/>
      <c r="O6" s="19"/>
      <c r="P6" s="1"/>
      <c r="Q6" s="1"/>
      <c r="R6" s="1"/>
      <c r="T6" s="1"/>
    </row>
    <row r="7" spans="1:23" s="103" customFormat="1" ht="25.5" x14ac:dyDescent="0.25">
      <c r="A7" s="102" t="s">
        <v>20</v>
      </c>
      <c r="B7" s="102" t="s">
        <v>21</v>
      </c>
      <c r="C7" s="102" t="s">
        <v>2</v>
      </c>
      <c r="D7" s="102" t="s">
        <v>22</v>
      </c>
      <c r="E7" s="102" t="s">
        <v>23</v>
      </c>
      <c r="F7" s="102" t="s">
        <v>24</v>
      </c>
      <c r="G7" s="102" t="s">
        <v>25</v>
      </c>
      <c r="H7" s="100" t="s">
        <v>26</v>
      </c>
      <c r="I7" s="102" t="s">
        <v>27</v>
      </c>
      <c r="J7" s="102" t="s">
        <v>28</v>
      </c>
      <c r="K7" s="104" t="s">
        <v>29</v>
      </c>
      <c r="L7" s="104" t="s">
        <v>30</v>
      </c>
      <c r="M7" s="104" t="s">
        <v>31</v>
      </c>
      <c r="N7" s="100" t="s">
        <v>0</v>
      </c>
      <c r="O7" s="100" t="s">
        <v>19</v>
      </c>
      <c r="P7" s="102" t="s">
        <v>17</v>
      </c>
      <c r="Q7" s="102" t="s">
        <v>516</v>
      </c>
      <c r="R7" s="100" t="s">
        <v>727</v>
      </c>
      <c r="S7" s="100" t="s">
        <v>523</v>
      </c>
      <c r="T7" s="100" t="s">
        <v>728</v>
      </c>
      <c r="U7" s="100" t="s">
        <v>28</v>
      </c>
      <c r="V7" s="100" t="s">
        <v>599</v>
      </c>
      <c r="W7" s="100" t="s">
        <v>889</v>
      </c>
    </row>
    <row r="8" spans="1:23" x14ac:dyDescent="0.25">
      <c r="A8" s="1">
        <v>1</v>
      </c>
      <c r="C8" s="7" t="s">
        <v>430</v>
      </c>
      <c r="D8" s="17">
        <v>25417</v>
      </c>
      <c r="E8" s="7" t="s">
        <v>11</v>
      </c>
      <c r="F8" s="7" t="s">
        <v>74</v>
      </c>
      <c r="G8" s="7" t="s">
        <v>89</v>
      </c>
      <c r="H8" s="7" t="s">
        <v>35</v>
      </c>
      <c r="I8" s="8">
        <v>536181</v>
      </c>
      <c r="J8" s="7" t="s">
        <v>431</v>
      </c>
      <c r="K8" s="44">
        <v>16</v>
      </c>
      <c r="L8" s="44">
        <v>2</v>
      </c>
      <c r="M8" s="44">
        <v>15</v>
      </c>
      <c r="N8" s="8" t="s">
        <v>432</v>
      </c>
      <c r="O8" s="18">
        <v>44222</v>
      </c>
      <c r="P8" s="8" t="s">
        <v>433</v>
      </c>
      <c r="Q8" s="1">
        <f>IF(O8&lt;=$D$3,1,0)</f>
        <v>1</v>
      </c>
      <c r="R8" t="s">
        <v>701</v>
      </c>
      <c r="W8" t="s">
        <v>890</v>
      </c>
    </row>
    <row r="9" spans="1:23" x14ac:dyDescent="0.25">
      <c r="A9" s="1">
        <v>2</v>
      </c>
      <c r="C9" s="7" t="s">
        <v>430</v>
      </c>
      <c r="D9" s="17">
        <v>24302</v>
      </c>
      <c r="E9" s="7" t="s">
        <v>11</v>
      </c>
      <c r="F9" s="7" t="s">
        <v>434</v>
      </c>
      <c r="G9" s="7" t="s">
        <v>294</v>
      </c>
      <c r="H9" s="7" t="s">
        <v>35</v>
      </c>
      <c r="I9" s="8">
        <v>266493</v>
      </c>
      <c r="J9" s="7" t="s">
        <v>435</v>
      </c>
      <c r="K9" s="44">
        <v>8</v>
      </c>
      <c r="L9" s="44">
        <v>1</v>
      </c>
      <c r="M9" s="44">
        <v>3</v>
      </c>
      <c r="N9" s="8" t="s">
        <v>47</v>
      </c>
      <c r="O9" s="18">
        <v>44249</v>
      </c>
      <c r="P9" s="8" t="s">
        <v>38</v>
      </c>
      <c r="Q9" s="1">
        <f t="shared" ref="Q9:Q16" si="0">IF(O9&lt;=$D$3,1,0)</f>
        <v>1</v>
      </c>
      <c r="R9" t="s">
        <v>701</v>
      </c>
      <c r="W9" t="s">
        <v>890</v>
      </c>
    </row>
    <row r="10" spans="1:23" x14ac:dyDescent="0.25">
      <c r="A10" s="1">
        <v>3</v>
      </c>
      <c r="C10" s="7" t="s">
        <v>430</v>
      </c>
      <c r="D10" s="17">
        <v>21888</v>
      </c>
      <c r="E10" s="7" t="s">
        <v>11</v>
      </c>
      <c r="F10" s="7" t="s">
        <v>434</v>
      </c>
      <c r="G10" s="7" t="s">
        <v>40</v>
      </c>
      <c r="H10" s="7" t="s">
        <v>35</v>
      </c>
      <c r="I10" s="8">
        <v>510960</v>
      </c>
      <c r="J10" s="7" t="s">
        <v>436</v>
      </c>
      <c r="K10" s="44">
        <v>24</v>
      </c>
      <c r="L10" s="44">
        <v>3</v>
      </c>
      <c r="M10" s="44">
        <v>1</v>
      </c>
      <c r="N10" s="243" t="s">
        <v>266</v>
      </c>
      <c r="O10" s="244">
        <v>44293</v>
      </c>
      <c r="P10" s="8" t="s">
        <v>60</v>
      </c>
      <c r="Q10" s="1">
        <f t="shared" si="0"/>
        <v>1</v>
      </c>
      <c r="R10" s="170" t="s">
        <v>699</v>
      </c>
      <c r="S10" s="1">
        <v>13</v>
      </c>
      <c r="W10" t="s">
        <v>890</v>
      </c>
    </row>
    <row r="11" spans="1:23" x14ac:dyDescent="0.25">
      <c r="A11" s="1">
        <v>4</v>
      </c>
      <c r="C11" s="7" t="s">
        <v>430</v>
      </c>
      <c r="D11" s="17">
        <v>23582</v>
      </c>
      <c r="E11" s="7" t="s">
        <v>11</v>
      </c>
      <c r="F11" s="7" t="s">
        <v>434</v>
      </c>
      <c r="G11" s="7" t="s">
        <v>68</v>
      </c>
      <c r="H11" s="7" t="s">
        <v>35</v>
      </c>
      <c r="I11" s="8">
        <v>510960</v>
      </c>
      <c r="J11" s="7" t="s">
        <v>436</v>
      </c>
      <c r="K11" s="44">
        <v>24</v>
      </c>
      <c r="L11" s="44">
        <v>3</v>
      </c>
      <c r="M11" s="44">
        <v>8</v>
      </c>
      <c r="N11" s="8" t="s">
        <v>344</v>
      </c>
      <c r="O11" s="18">
        <v>44300</v>
      </c>
      <c r="P11" s="8" t="s">
        <v>60</v>
      </c>
      <c r="Q11" s="1">
        <f t="shared" si="0"/>
        <v>1</v>
      </c>
      <c r="R11" t="s">
        <v>701</v>
      </c>
      <c r="W11" t="s">
        <v>890</v>
      </c>
    </row>
    <row r="12" spans="1:23" s="110" customFormat="1" x14ac:dyDescent="0.25">
      <c r="A12" s="106">
        <v>5</v>
      </c>
      <c r="C12" s="107" t="s">
        <v>430</v>
      </c>
      <c r="D12" s="108">
        <v>21829</v>
      </c>
      <c r="E12" s="107" t="s">
        <v>11</v>
      </c>
      <c r="F12" s="107" t="s">
        <v>434</v>
      </c>
      <c r="G12" s="107" t="s">
        <v>321</v>
      </c>
      <c r="H12" s="107" t="s">
        <v>35</v>
      </c>
      <c r="I12" s="46">
        <v>529808</v>
      </c>
      <c r="J12" s="107" t="s">
        <v>437</v>
      </c>
      <c r="K12" s="124">
        <v>16</v>
      </c>
      <c r="L12" s="124">
        <v>2</v>
      </c>
      <c r="M12" s="124">
        <v>1</v>
      </c>
      <c r="N12" s="46" t="s">
        <v>67</v>
      </c>
      <c r="O12" s="47">
        <v>44306</v>
      </c>
      <c r="P12" s="46" t="s">
        <v>60</v>
      </c>
      <c r="Q12" s="106">
        <f t="shared" si="0"/>
        <v>1</v>
      </c>
      <c r="R12" s="242" t="s">
        <v>701</v>
      </c>
      <c r="S12" s="106"/>
      <c r="W12" s="110" t="s">
        <v>890</v>
      </c>
    </row>
    <row r="13" spans="1:23" x14ac:dyDescent="0.25">
      <c r="A13" s="1">
        <v>6</v>
      </c>
      <c r="C13" s="7" t="s">
        <v>430</v>
      </c>
      <c r="D13" s="17">
        <v>23581</v>
      </c>
      <c r="E13" s="7" t="s">
        <v>11</v>
      </c>
      <c r="F13" s="7" t="s">
        <v>434</v>
      </c>
      <c r="G13" s="7" t="s">
        <v>68</v>
      </c>
      <c r="H13" s="7" t="s">
        <v>35</v>
      </c>
      <c r="I13" s="8">
        <v>510960</v>
      </c>
      <c r="J13" s="7" t="s">
        <v>436</v>
      </c>
      <c r="K13" s="44">
        <v>24</v>
      </c>
      <c r="L13" s="44">
        <v>3</v>
      </c>
      <c r="M13" s="44">
        <v>8</v>
      </c>
      <c r="N13" s="8" t="s">
        <v>67</v>
      </c>
      <c r="O13" s="18">
        <v>44307</v>
      </c>
      <c r="P13" s="8" t="s">
        <v>60</v>
      </c>
      <c r="Q13" s="1">
        <f t="shared" si="0"/>
        <v>1</v>
      </c>
      <c r="R13" s="16" t="s">
        <v>701</v>
      </c>
      <c r="W13" t="s">
        <v>890</v>
      </c>
    </row>
    <row r="14" spans="1:23" x14ac:dyDescent="0.25">
      <c r="A14" s="1">
        <v>7</v>
      </c>
      <c r="C14" s="7" t="s">
        <v>430</v>
      </c>
      <c r="D14" s="17">
        <v>23580</v>
      </c>
      <c r="E14" s="7" t="s">
        <v>11</v>
      </c>
      <c r="F14" s="7" t="s">
        <v>434</v>
      </c>
      <c r="G14" s="7" t="s">
        <v>68</v>
      </c>
      <c r="H14" s="7" t="s">
        <v>35</v>
      </c>
      <c r="I14" s="8">
        <v>510960</v>
      </c>
      <c r="J14" s="7" t="s">
        <v>436</v>
      </c>
      <c r="K14" s="44">
        <v>24</v>
      </c>
      <c r="L14" s="44">
        <v>3</v>
      </c>
      <c r="M14" s="44">
        <v>8</v>
      </c>
      <c r="N14" s="8" t="s">
        <v>377</v>
      </c>
      <c r="O14" s="18">
        <v>44314</v>
      </c>
      <c r="P14" s="8" t="s">
        <v>60</v>
      </c>
      <c r="Q14" s="1">
        <f t="shared" si="0"/>
        <v>1</v>
      </c>
      <c r="R14" s="16" t="s">
        <v>701</v>
      </c>
      <c r="W14" t="s">
        <v>890</v>
      </c>
    </row>
    <row r="15" spans="1:23" x14ac:dyDescent="0.25">
      <c r="A15" s="1">
        <v>8</v>
      </c>
      <c r="C15" s="7" t="s">
        <v>430</v>
      </c>
      <c r="D15" s="17">
        <v>25427</v>
      </c>
      <c r="E15" s="7" t="s">
        <v>11</v>
      </c>
      <c r="F15" s="7" t="s">
        <v>74</v>
      </c>
      <c r="G15" s="7" t="s">
        <v>89</v>
      </c>
      <c r="H15" s="7" t="s">
        <v>35</v>
      </c>
      <c r="I15" s="8">
        <v>536181</v>
      </c>
      <c r="J15" s="7" t="s">
        <v>431</v>
      </c>
      <c r="K15" s="44">
        <v>16</v>
      </c>
      <c r="L15" s="44">
        <v>2</v>
      </c>
      <c r="M15" s="44">
        <v>15</v>
      </c>
      <c r="N15" s="8" t="s">
        <v>438</v>
      </c>
      <c r="O15" s="18">
        <v>44315</v>
      </c>
      <c r="P15" s="8" t="s">
        <v>60</v>
      </c>
      <c r="Q15" s="1">
        <f t="shared" si="0"/>
        <v>1</v>
      </c>
      <c r="R15" s="16" t="s">
        <v>701</v>
      </c>
      <c r="V15" t="s">
        <v>899</v>
      </c>
      <c r="W15" t="s">
        <v>890</v>
      </c>
    </row>
    <row r="16" spans="1:23" x14ac:dyDescent="0.25">
      <c r="A16" s="1">
        <v>9</v>
      </c>
      <c r="C16" s="7" t="s">
        <v>430</v>
      </c>
      <c r="D16" s="17">
        <v>25418</v>
      </c>
      <c r="E16" s="7" t="s">
        <v>11</v>
      </c>
      <c r="F16" s="7" t="s">
        <v>74</v>
      </c>
      <c r="G16" s="7" t="s">
        <v>89</v>
      </c>
      <c r="H16" s="7" t="s">
        <v>35</v>
      </c>
      <c r="I16" s="8">
        <v>536181</v>
      </c>
      <c r="J16" s="7" t="s">
        <v>431</v>
      </c>
      <c r="K16" s="44">
        <v>16</v>
      </c>
      <c r="L16" s="44">
        <v>2</v>
      </c>
      <c r="M16" s="44">
        <v>15</v>
      </c>
      <c r="N16" s="243" t="s">
        <v>267</v>
      </c>
      <c r="O16" s="244">
        <v>44317</v>
      </c>
      <c r="P16" s="8" t="s">
        <v>60</v>
      </c>
      <c r="Q16" s="1">
        <f t="shared" si="0"/>
        <v>1</v>
      </c>
      <c r="R16" t="s">
        <v>699</v>
      </c>
      <c r="S16" s="1">
        <v>10</v>
      </c>
      <c r="V16" t="s">
        <v>899</v>
      </c>
      <c r="W16" t="s">
        <v>890</v>
      </c>
    </row>
    <row r="17" spans="1:23" x14ac:dyDescent="0.25">
      <c r="A17" s="1">
        <v>11</v>
      </c>
      <c r="C17" s="7" t="s">
        <v>430</v>
      </c>
      <c r="D17" s="17">
        <v>25406</v>
      </c>
      <c r="E17" s="7" t="s">
        <v>11</v>
      </c>
      <c r="F17" s="7" t="s">
        <v>74</v>
      </c>
      <c r="G17" s="7" t="s">
        <v>89</v>
      </c>
      <c r="H17" s="7" t="s">
        <v>35</v>
      </c>
      <c r="I17" s="8">
        <v>536181</v>
      </c>
      <c r="J17" s="7" t="s">
        <v>431</v>
      </c>
      <c r="K17" s="44">
        <v>16</v>
      </c>
      <c r="L17" s="44">
        <v>2</v>
      </c>
      <c r="M17" s="44">
        <v>15</v>
      </c>
      <c r="N17" s="8" t="s">
        <v>275</v>
      </c>
      <c r="O17" s="18">
        <v>44323</v>
      </c>
      <c r="P17" s="8" t="s">
        <v>77</v>
      </c>
      <c r="Q17" s="1">
        <f t="shared" ref="Q17:Q80" si="1">IF(O17&lt;=$D$3,1,0)</f>
        <v>1</v>
      </c>
      <c r="R17" s="170" t="s">
        <v>699</v>
      </c>
      <c r="S17" s="1">
        <v>10</v>
      </c>
      <c r="V17" t="s">
        <v>899</v>
      </c>
      <c r="W17" t="s">
        <v>890</v>
      </c>
    </row>
    <row r="18" spans="1:23" x14ac:dyDescent="0.25">
      <c r="A18" s="1">
        <v>13</v>
      </c>
      <c r="C18" s="7" t="s">
        <v>430</v>
      </c>
      <c r="D18" s="17">
        <v>25519</v>
      </c>
      <c r="E18" s="7" t="s">
        <v>11</v>
      </c>
      <c r="F18" s="7" t="s">
        <v>74</v>
      </c>
      <c r="G18" s="7" t="s">
        <v>105</v>
      </c>
      <c r="H18" s="7" t="s">
        <v>35</v>
      </c>
      <c r="I18" s="8">
        <v>432705</v>
      </c>
      <c r="J18" s="7" t="s">
        <v>439</v>
      </c>
      <c r="K18" s="44">
        <v>16</v>
      </c>
      <c r="L18" s="44">
        <v>2</v>
      </c>
      <c r="M18" s="44">
        <v>15</v>
      </c>
      <c r="N18" s="8" t="s">
        <v>80</v>
      </c>
      <c r="O18" s="18">
        <v>44328</v>
      </c>
      <c r="P18" s="8" t="s">
        <v>77</v>
      </c>
      <c r="Q18" s="1">
        <f t="shared" si="1"/>
        <v>1</v>
      </c>
      <c r="R18" s="16" t="s">
        <v>701</v>
      </c>
      <c r="V18" t="s">
        <v>899</v>
      </c>
      <c r="W18" t="s">
        <v>890</v>
      </c>
    </row>
    <row r="19" spans="1:23" x14ac:dyDescent="0.25">
      <c r="A19" s="1">
        <v>14</v>
      </c>
      <c r="C19" s="7" t="s">
        <v>430</v>
      </c>
      <c r="D19" s="17">
        <v>23409</v>
      </c>
      <c r="E19" s="7" t="s">
        <v>11</v>
      </c>
      <c r="F19" s="7" t="s">
        <v>434</v>
      </c>
      <c r="G19" s="7" t="s">
        <v>148</v>
      </c>
      <c r="H19" s="7" t="s">
        <v>35</v>
      </c>
      <c r="I19" s="8">
        <v>510960</v>
      </c>
      <c r="J19" s="7" t="s">
        <v>436</v>
      </c>
      <c r="K19" s="44">
        <v>8</v>
      </c>
      <c r="L19" s="44">
        <v>1</v>
      </c>
      <c r="M19" s="44">
        <v>11</v>
      </c>
      <c r="N19" s="8" t="s">
        <v>76</v>
      </c>
      <c r="O19" s="18">
        <v>44328</v>
      </c>
      <c r="P19" s="8" t="s">
        <v>77</v>
      </c>
      <c r="Q19" s="1">
        <f t="shared" si="1"/>
        <v>1</v>
      </c>
      <c r="R19" s="16" t="s">
        <v>701</v>
      </c>
      <c r="W19" t="s">
        <v>890</v>
      </c>
    </row>
    <row r="20" spans="1:23" x14ac:dyDescent="0.25">
      <c r="A20" s="1">
        <v>15</v>
      </c>
      <c r="C20" s="7" t="s">
        <v>430</v>
      </c>
      <c r="D20" s="17">
        <v>21872</v>
      </c>
      <c r="E20" s="7" t="s">
        <v>11</v>
      </c>
      <c r="F20" s="7" t="s">
        <v>434</v>
      </c>
      <c r="G20" s="7" t="s">
        <v>89</v>
      </c>
      <c r="H20" s="7" t="s">
        <v>35</v>
      </c>
      <c r="I20" s="8">
        <v>536181</v>
      </c>
      <c r="J20" s="7" t="s">
        <v>431</v>
      </c>
      <c r="K20" s="44">
        <v>16</v>
      </c>
      <c r="L20" s="44">
        <v>4</v>
      </c>
      <c r="M20" s="44">
        <v>7</v>
      </c>
      <c r="N20" s="243" t="s">
        <v>425</v>
      </c>
      <c r="O20" s="244">
        <v>44329</v>
      </c>
      <c r="P20" s="8" t="s">
        <v>77</v>
      </c>
      <c r="Q20" s="1">
        <f t="shared" si="1"/>
        <v>1</v>
      </c>
      <c r="R20" s="170" t="s">
        <v>699</v>
      </c>
      <c r="S20" s="1">
        <v>12</v>
      </c>
      <c r="W20" t="s">
        <v>890</v>
      </c>
    </row>
    <row r="21" spans="1:23" x14ac:dyDescent="0.25">
      <c r="A21" s="1">
        <v>16</v>
      </c>
      <c r="C21" s="7" t="s">
        <v>430</v>
      </c>
      <c r="D21" s="17">
        <v>25520</v>
      </c>
      <c r="E21" s="7" t="s">
        <v>11</v>
      </c>
      <c r="F21" s="7" t="s">
        <v>74</v>
      </c>
      <c r="G21" s="7" t="s">
        <v>105</v>
      </c>
      <c r="H21" s="7" t="s">
        <v>35</v>
      </c>
      <c r="I21" s="8">
        <v>432705</v>
      </c>
      <c r="J21" s="7" t="s">
        <v>439</v>
      </c>
      <c r="K21" s="44">
        <v>16</v>
      </c>
      <c r="L21" s="44">
        <v>2</v>
      </c>
      <c r="M21" s="44">
        <v>15</v>
      </c>
      <c r="N21" s="8" t="s">
        <v>83</v>
      </c>
      <c r="O21" s="18">
        <v>44330</v>
      </c>
      <c r="P21" s="8" t="s">
        <v>77</v>
      </c>
      <c r="Q21" s="1">
        <f t="shared" si="1"/>
        <v>1</v>
      </c>
      <c r="R21" s="16" t="s">
        <v>701</v>
      </c>
      <c r="V21" t="s">
        <v>899</v>
      </c>
      <c r="W21" t="s">
        <v>890</v>
      </c>
    </row>
    <row r="22" spans="1:23" x14ac:dyDescent="0.25">
      <c r="A22" s="1">
        <v>17</v>
      </c>
      <c r="C22" s="7" t="s">
        <v>430</v>
      </c>
      <c r="D22" s="17">
        <v>23408</v>
      </c>
      <c r="E22" s="7" t="s">
        <v>11</v>
      </c>
      <c r="F22" s="7" t="s">
        <v>434</v>
      </c>
      <c r="G22" s="7" t="s">
        <v>148</v>
      </c>
      <c r="H22" s="7" t="s">
        <v>35</v>
      </c>
      <c r="I22" s="8">
        <v>510960</v>
      </c>
      <c r="J22" s="7" t="s">
        <v>436</v>
      </c>
      <c r="K22" s="44">
        <v>8</v>
      </c>
      <c r="L22" s="44">
        <v>1</v>
      </c>
      <c r="M22" s="44">
        <v>10</v>
      </c>
      <c r="N22" s="8" t="s">
        <v>380</v>
      </c>
      <c r="O22" s="18">
        <v>44330</v>
      </c>
      <c r="P22" s="8" t="s">
        <v>77</v>
      </c>
      <c r="Q22" s="1">
        <f t="shared" si="1"/>
        <v>1</v>
      </c>
      <c r="R22" s="16" t="s">
        <v>701</v>
      </c>
      <c r="W22" t="s">
        <v>890</v>
      </c>
    </row>
    <row r="23" spans="1:23" x14ac:dyDescent="0.25">
      <c r="A23" s="1">
        <v>18</v>
      </c>
      <c r="C23" s="7" t="s">
        <v>430</v>
      </c>
      <c r="D23" s="17">
        <v>23407</v>
      </c>
      <c r="E23" s="7" t="s">
        <v>11</v>
      </c>
      <c r="F23" s="7" t="s">
        <v>434</v>
      </c>
      <c r="G23" s="7" t="s">
        <v>148</v>
      </c>
      <c r="H23" s="7" t="s">
        <v>35</v>
      </c>
      <c r="I23" s="8">
        <v>510960</v>
      </c>
      <c r="J23" s="7" t="s">
        <v>436</v>
      </c>
      <c r="K23" s="44">
        <v>8</v>
      </c>
      <c r="L23" s="44">
        <v>1</v>
      </c>
      <c r="M23" s="44">
        <v>10</v>
      </c>
      <c r="N23" s="8" t="s">
        <v>281</v>
      </c>
      <c r="O23" s="18">
        <v>44333</v>
      </c>
      <c r="P23" s="8" t="s">
        <v>77</v>
      </c>
      <c r="Q23" s="1">
        <f t="shared" si="1"/>
        <v>1</v>
      </c>
      <c r="R23" s="16" t="s">
        <v>701</v>
      </c>
      <c r="W23" t="s">
        <v>890</v>
      </c>
    </row>
    <row r="24" spans="1:23" x14ac:dyDescent="0.25">
      <c r="A24" s="1">
        <v>19</v>
      </c>
      <c r="C24" s="7" t="s">
        <v>430</v>
      </c>
      <c r="D24" s="17">
        <v>23398</v>
      </c>
      <c r="E24" s="7" t="s">
        <v>11</v>
      </c>
      <c r="F24" s="7" t="s">
        <v>434</v>
      </c>
      <c r="G24" s="7" t="s">
        <v>148</v>
      </c>
      <c r="H24" s="7" t="s">
        <v>35</v>
      </c>
      <c r="I24" s="8">
        <v>510960</v>
      </c>
      <c r="J24" s="7" t="s">
        <v>436</v>
      </c>
      <c r="K24" s="44">
        <v>8</v>
      </c>
      <c r="L24" s="44">
        <v>1</v>
      </c>
      <c r="M24" s="44">
        <v>10</v>
      </c>
      <c r="N24" s="8" t="s">
        <v>86</v>
      </c>
      <c r="O24" s="18">
        <v>44334</v>
      </c>
      <c r="P24" s="8" t="s">
        <v>77</v>
      </c>
      <c r="Q24" s="1">
        <f t="shared" si="1"/>
        <v>1</v>
      </c>
      <c r="R24" s="16" t="s">
        <v>701</v>
      </c>
      <c r="W24" t="s">
        <v>890</v>
      </c>
    </row>
    <row r="25" spans="1:23" x14ac:dyDescent="0.25">
      <c r="A25" s="1">
        <v>20</v>
      </c>
      <c r="C25" s="7" t="s">
        <v>430</v>
      </c>
      <c r="D25" s="17">
        <v>25416</v>
      </c>
      <c r="E25" s="7" t="s">
        <v>11</v>
      </c>
      <c r="F25" s="7" t="s">
        <v>74</v>
      </c>
      <c r="G25" s="7" t="s">
        <v>89</v>
      </c>
      <c r="H25" s="7" t="s">
        <v>35</v>
      </c>
      <c r="I25" s="8">
        <v>536181</v>
      </c>
      <c r="J25" s="7" t="s">
        <v>431</v>
      </c>
      <c r="K25" s="44">
        <v>16</v>
      </c>
      <c r="L25" s="44">
        <v>2</v>
      </c>
      <c r="M25" s="44">
        <v>15</v>
      </c>
      <c r="N25" s="243" t="s">
        <v>86</v>
      </c>
      <c r="O25" s="244">
        <v>44335</v>
      </c>
      <c r="P25" s="8" t="s">
        <v>77</v>
      </c>
      <c r="Q25" s="1">
        <f t="shared" si="1"/>
        <v>1</v>
      </c>
      <c r="R25" s="170" t="s">
        <v>699</v>
      </c>
      <c r="S25" s="1">
        <v>10</v>
      </c>
      <c r="V25" t="s">
        <v>899</v>
      </c>
      <c r="W25" t="s">
        <v>890</v>
      </c>
    </row>
    <row r="26" spans="1:23" x14ac:dyDescent="0.25">
      <c r="A26" s="1">
        <v>21</v>
      </c>
      <c r="C26" s="7" t="s">
        <v>430</v>
      </c>
      <c r="D26" s="17">
        <v>23406</v>
      </c>
      <c r="E26" s="7" t="s">
        <v>11</v>
      </c>
      <c r="F26" s="7" t="s">
        <v>434</v>
      </c>
      <c r="G26" s="7" t="s">
        <v>148</v>
      </c>
      <c r="H26" s="7" t="s">
        <v>35</v>
      </c>
      <c r="I26" s="8">
        <v>510960</v>
      </c>
      <c r="J26" s="7" t="s">
        <v>436</v>
      </c>
      <c r="K26" s="44">
        <v>8</v>
      </c>
      <c r="L26" s="44">
        <v>1</v>
      </c>
      <c r="M26" s="44">
        <v>10</v>
      </c>
      <c r="N26" s="8" t="s">
        <v>87</v>
      </c>
      <c r="O26" s="18">
        <v>44335</v>
      </c>
      <c r="P26" s="8" t="s">
        <v>77</v>
      </c>
      <c r="Q26" s="1">
        <f t="shared" si="1"/>
        <v>1</v>
      </c>
      <c r="R26" s="16" t="s">
        <v>701</v>
      </c>
      <c r="W26" t="s">
        <v>890</v>
      </c>
    </row>
    <row r="27" spans="1:23" x14ac:dyDescent="0.25">
      <c r="A27" s="1">
        <v>22</v>
      </c>
      <c r="C27" s="7" t="s">
        <v>430</v>
      </c>
      <c r="D27" s="17">
        <v>23397</v>
      </c>
      <c r="E27" s="7" t="s">
        <v>11</v>
      </c>
      <c r="F27" s="7" t="s">
        <v>434</v>
      </c>
      <c r="G27" s="7" t="s">
        <v>148</v>
      </c>
      <c r="H27" s="7" t="s">
        <v>35</v>
      </c>
      <c r="I27" s="8">
        <v>510960</v>
      </c>
      <c r="J27" s="7" t="s">
        <v>436</v>
      </c>
      <c r="K27" s="44">
        <v>8</v>
      </c>
      <c r="L27" s="44">
        <v>1</v>
      </c>
      <c r="M27" s="44">
        <v>10</v>
      </c>
      <c r="N27" s="8" t="s">
        <v>284</v>
      </c>
      <c r="O27" s="18">
        <v>44336</v>
      </c>
      <c r="P27" s="8" t="s">
        <v>77</v>
      </c>
      <c r="Q27" s="1">
        <f t="shared" si="1"/>
        <v>1</v>
      </c>
      <c r="R27" s="16" t="s">
        <v>701</v>
      </c>
      <c r="W27" t="s">
        <v>890</v>
      </c>
    </row>
    <row r="28" spans="1:23" x14ac:dyDescent="0.25">
      <c r="A28" s="1">
        <v>23</v>
      </c>
      <c r="C28" s="7" t="s">
        <v>430</v>
      </c>
      <c r="D28" s="17">
        <v>25411</v>
      </c>
      <c r="E28" s="7" t="s">
        <v>11</v>
      </c>
      <c r="F28" s="7" t="s">
        <v>74</v>
      </c>
      <c r="G28" s="7" t="s">
        <v>89</v>
      </c>
      <c r="H28" s="7" t="s">
        <v>35</v>
      </c>
      <c r="I28" s="8">
        <v>536181</v>
      </c>
      <c r="J28" s="7" t="s">
        <v>431</v>
      </c>
      <c r="K28" s="44">
        <v>16</v>
      </c>
      <c r="L28" s="44">
        <v>2</v>
      </c>
      <c r="M28" s="44">
        <v>15</v>
      </c>
      <c r="N28" s="243" t="s">
        <v>284</v>
      </c>
      <c r="O28" s="244">
        <v>44337</v>
      </c>
      <c r="P28" s="8" t="s">
        <v>77</v>
      </c>
      <c r="Q28" s="1">
        <f t="shared" si="1"/>
        <v>1</v>
      </c>
      <c r="R28" s="170" t="s">
        <v>699</v>
      </c>
      <c r="S28" s="1">
        <v>9</v>
      </c>
      <c r="V28" t="s">
        <v>899</v>
      </c>
      <c r="W28" t="s">
        <v>890</v>
      </c>
    </row>
    <row r="29" spans="1:23" x14ac:dyDescent="0.25">
      <c r="A29" s="1">
        <v>24</v>
      </c>
      <c r="C29" s="7" t="s">
        <v>430</v>
      </c>
      <c r="D29" s="17">
        <v>23405</v>
      </c>
      <c r="E29" s="7" t="s">
        <v>11</v>
      </c>
      <c r="F29" s="7" t="s">
        <v>434</v>
      </c>
      <c r="G29" s="7" t="s">
        <v>148</v>
      </c>
      <c r="H29" s="7" t="s">
        <v>35</v>
      </c>
      <c r="I29" s="8">
        <v>510960</v>
      </c>
      <c r="J29" s="7" t="s">
        <v>436</v>
      </c>
      <c r="K29" s="44">
        <v>8</v>
      </c>
      <c r="L29" s="44">
        <v>1</v>
      </c>
      <c r="M29" s="44">
        <v>10</v>
      </c>
      <c r="N29" s="8" t="s">
        <v>90</v>
      </c>
      <c r="O29" s="18">
        <v>44337</v>
      </c>
      <c r="P29" s="8" t="s">
        <v>77</v>
      </c>
      <c r="Q29" s="1">
        <f t="shared" si="1"/>
        <v>1</v>
      </c>
      <c r="R29" s="16" t="s">
        <v>701</v>
      </c>
      <c r="W29" t="s">
        <v>890</v>
      </c>
    </row>
    <row r="30" spans="1:23" x14ac:dyDescent="0.25">
      <c r="A30" s="1">
        <v>25</v>
      </c>
      <c r="C30" s="7" t="s">
        <v>430</v>
      </c>
      <c r="D30" s="17">
        <v>23404</v>
      </c>
      <c r="E30" s="7" t="s">
        <v>11</v>
      </c>
      <c r="F30" s="7" t="s">
        <v>434</v>
      </c>
      <c r="G30" s="7" t="s">
        <v>148</v>
      </c>
      <c r="H30" s="7" t="s">
        <v>35</v>
      </c>
      <c r="I30" s="8">
        <v>510960</v>
      </c>
      <c r="J30" s="7" t="s">
        <v>436</v>
      </c>
      <c r="K30" s="44">
        <v>8</v>
      </c>
      <c r="L30" s="44">
        <v>1</v>
      </c>
      <c r="M30" s="44">
        <v>10</v>
      </c>
      <c r="N30" s="8" t="s">
        <v>91</v>
      </c>
      <c r="O30" s="18">
        <v>44340</v>
      </c>
      <c r="P30" s="8" t="s">
        <v>77</v>
      </c>
      <c r="Q30" s="1">
        <f t="shared" si="1"/>
        <v>1</v>
      </c>
      <c r="R30" s="16" t="s">
        <v>701</v>
      </c>
      <c r="W30" t="s">
        <v>890</v>
      </c>
    </row>
    <row r="31" spans="1:23" x14ac:dyDescent="0.25">
      <c r="A31" s="1">
        <v>26</v>
      </c>
      <c r="C31" s="7" t="s">
        <v>430</v>
      </c>
      <c r="D31" s="17">
        <v>23396</v>
      </c>
      <c r="E31" s="7" t="s">
        <v>11</v>
      </c>
      <c r="F31" s="7" t="s">
        <v>434</v>
      </c>
      <c r="G31" s="7" t="s">
        <v>148</v>
      </c>
      <c r="H31" s="7" t="s">
        <v>35</v>
      </c>
      <c r="I31" s="8">
        <v>510960</v>
      </c>
      <c r="J31" s="7" t="s">
        <v>436</v>
      </c>
      <c r="K31" s="44">
        <v>8</v>
      </c>
      <c r="L31" s="44">
        <v>1</v>
      </c>
      <c r="M31" s="44">
        <v>10</v>
      </c>
      <c r="N31" s="8" t="s">
        <v>426</v>
      </c>
      <c r="O31" s="18">
        <v>44341</v>
      </c>
      <c r="P31" s="8" t="s">
        <v>77</v>
      </c>
      <c r="Q31" s="1">
        <f t="shared" si="1"/>
        <v>1</v>
      </c>
      <c r="R31" s="16" t="s">
        <v>701</v>
      </c>
      <c r="W31" t="s">
        <v>890</v>
      </c>
    </row>
    <row r="32" spans="1:23" x14ac:dyDescent="0.25">
      <c r="A32" s="1">
        <v>27</v>
      </c>
      <c r="C32" s="7" t="s">
        <v>430</v>
      </c>
      <c r="D32" s="17">
        <v>23403</v>
      </c>
      <c r="E32" s="7" t="s">
        <v>11</v>
      </c>
      <c r="F32" s="7" t="s">
        <v>434</v>
      </c>
      <c r="G32" s="7" t="s">
        <v>148</v>
      </c>
      <c r="H32" s="7" t="s">
        <v>35</v>
      </c>
      <c r="I32" s="8">
        <v>510960</v>
      </c>
      <c r="J32" s="7" t="s">
        <v>436</v>
      </c>
      <c r="K32" s="44">
        <v>8</v>
      </c>
      <c r="L32" s="44">
        <v>1</v>
      </c>
      <c r="M32" s="44">
        <v>10</v>
      </c>
      <c r="N32" s="8" t="s">
        <v>93</v>
      </c>
      <c r="O32" s="18">
        <v>44342</v>
      </c>
      <c r="P32" s="8" t="s">
        <v>77</v>
      </c>
      <c r="Q32" s="1">
        <f t="shared" si="1"/>
        <v>1</v>
      </c>
      <c r="R32" s="16" t="s">
        <v>701</v>
      </c>
      <c r="W32" t="s">
        <v>890</v>
      </c>
    </row>
    <row r="33" spans="1:23" x14ac:dyDescent="0.25">
      <c r="A33" s="1">
        <v>28</v>
      </c>
      <c r="C33" s="7" t="s">
        <v>430</v>
      </c>
      <c r="D33" s="17">
        <v>23395</v>
      </c>
      <c r="E33" s="7" t="s">
        <v>11</v>
      </c>
      <c r="F33" s="7" t="s">
        <v>434</v>
      </c>
      <c r="G33" s="7" t="s">
        <v>148</v>
      </c>
      <c r="H33" s="7" t="s">
        <v>35</v>
      </c>
      <c r="I33" s="8">
        <v>510960</v>
      </c>
      <c r="J33" s="7" t="s">
        <v>436</v>
      </c>
      <c r="K33" s="44">
        <v>8</v>
      </c>
      <c r="L33" s="44">
        <v>1</v>
      </c>
      <c r="M33" s="44">
        <v>10</v>
      </c>
      <c r="N33" s="8" t="s">
        <v>97</v>
      </c>
      <c r="O33" s="18">
        <v>44343</v>
      </c>
      <c r="P33" s="8" t="s">
        <v>77</v>
      </c>
      <c r="Q33" s="1">
        <f t="shared" si="1"/>
        <v>1</v>
      </c>
      <c r="R33" s="16" t="s">
        <v>701</v>
      </c>
      <c r="W33" t="s">
        <v>890</v>
      </c>
    </row>
    <row r="34" spans="1:23" x14ac:dyDescent="0.25">
      <c r="A34" s="1">
        <v>30</v>
      </c>
      <c r="C34" s="7" t="s">
        <v>430</v>
      </c>
      <c r="D34" s="17">
        <v>23402</v>
      </c>
      <c r="E34" s="7" t="s">
        <v>11</v>
      </c>
      <c r="F34" s="7" t="s">
        <v>434</v>
      </c>
      <c r="G34" s="7" t="s">
        <v>148</v>
      </c>
      <c r="H34" s="7" t="s">
        <v>35</v>
      </c>
      <c r="I34" s="8">
        <v>510960</v>
      </c>
      <c r="J34" s="7" t="s">
        <v>436</v>
      </c>
      <c r="K34" s="44">
        <v>8</v>
      </c>
      <c r="L34" s="44">
        <v>1</v>
      </c>
      <c r="M34" s="44">
        <v>10</v>
      </c>
      <c r="N34" s="8" t="s">
        <v>428</v>
      </c>
      <c r="O34" s="18">
        <v>44344</v>
      </c>
      <c r="P34" s="8" t="s">
        <v>77</v>
      </c>
      <c r="Q34" s="1">
        <f t="shared" si="1"/>
        <v>1</v>
      </c>
      <c r="R34" s="16" t="s">
        <v>701</v>
      </c>
      <c r="W34" t="s">
        <v>890</v>
      </c>
    </row>
    <row r="35" spans="1:23" x14ac:dyDescent="0.25">
      <c r="A35" s="1">
        <v>31</v>
      </c>
      <c r="C35" s="7" t="s">
        <v>430</v>
      </c>
      <c r="D35" s="17">
        <v>23401</v>
      </c>
      <c r="E35" s="7" t="s">
        <v>11</v>
      </c>
      <c r="F35" s="7" t="s">
        <v>434</v>
      </c>
      <c r="G35" s="7" t="s">
        <v>148</v>
      </c>
      <c r="H35" s="7" t="s">
        <v>35</v>
      </c>
      <c r="I35" s="8">
        <v>510960</v>
      </c>
      <c r="J35" s="7" t="s">
        <v>436</v>
      </c>
      <c r="K35" s="44">
        <v>8</v>
      </c>
      <c r="L35" s="44">
        <v>1</v>
      </c>
      <c r="M35" s="44">
        <v>10</v>
      </c>
      <c r="N35" s="8" t="s">
        <v>350</v>
      </c>
      <c r="O35" s="18">
        <v>44347</v>
      </c>
      <c r="P35" s="8" t="s">
        <v>77</v>
      </c>
      <c r="Q35" s="1">
        <f t="shared" si="1"/>
        <v>1</v>
      </c>
      <c r="R35" s="16" t="s">
        <v>701</v>
      </c>
      <c r="W35" t="s">
        <v>890</v>
      </c>
    </row>
    <row r="36" spans="1:23" x14ac:dyDescent="0.25">
      <c r="A36" s="1">
        <v>32</v>
      </c>
      <c r="C36" s="7" t="s">
        <v>430</v>
      </c>
      <c r="D36" s="17">
        <v>23394</v>
      </c>
      <c r="E36" s="7" t="s">
        <v>11</v>
      </c>
      <c r="F36" s="7" t="s">
        <v>434</v>
      </c>
      <c r="G36" s="7" t="s">
        <v>148</v>
      </c>
      <c r="H36" s="7" t="s">
        <v>35</v>
      </c>
      <c r="I36" s="8">
        <v>510960</v>
      </c>
      <c r="J36" s="7" t="s">
        <v>436</v>
      </c>
      <c r="K36" s="44">
        <v>8</v>
      </c>
      <c r="L36" s="44">
        <v>1</v>
      </c>
      <c r="M36" s="44">
        <v>10</v>
      </c>
      <c r="N36" s="8" t="s">
        <v>99</v>
      </c>
      <c r="O36" s="18">
        <v>44348</v>
      </c>
      <c r="P36" s="8" t="s">
        <v>100</v>
      </c>
      <c r="Q36" s="1">
        <f t="shared" si="1"/>
        <v>1</v>
      </c>
      <c r="R36" t="s">
        <v>701</v>
      </c>
      <c r="W36" t="s">
        <v>890</v>
      </c>
    </row>
    <row r="37" spans="1:23" x14ac:dyDescent="0.25">
      <c r="A37" s="1">
        <v>33</v>
      </c>
      <c r="C37" s="7" t="s">
        <v>430</v>
      </c>
      <c r="D37" s="17">
        <v>23400</v>
      </c>
      <c r="E37" s="7" t="s">
        <v>11</v>
      </c>
      <c r="F37" s="7" t="s">
        <v>434</v>
      </c>
      <c r="G37" s="7" t="s">
        <v>148</v>
      </c>
      <c r="H37" s="7" t="s">
        <v>35</v>
      </c>
      <c r="I37" s="8">
        <v>510960</v>
      </c>
      <c r="J37" s="7" t="s">
        <v>436</v>
      </c>
      <c r="K37" s="44">
        <v>8</v>
      </c>
      <c r="L37" s="44">
        <v>1</v>
      </c>
      <c r="M37" s="44">
        <v>10</v>
      </c>
      <c r="N37" s="8" t="s">
        <v>101</v>
      </c>
      <c r="O37" s="18">
        <v>44349</v>
      </c>
      <c r="P37" s="8" t="s">
        <v>100</v>
      </c>
      <c r="Q37" s="1">
        <f t="shared" si="1"/>
        <v>1</v>
      </c>
      <c r="R37" t="s">
        <v>701</v>
      </c>
      <c r="W37" t="s">
        <v>890</v>
      </c>
    </row>
    <row r="38" spans="1:23" x14ac:dyDescent="0.25">
      <c r="A38" s="1">
        <v>36</v>
      </c>
      <c r="C38" s="7" t="s">
        <v>430</v>
      </c>
      <c r="D38" s="17">
        <v>23399</v>
      </c>
      <c r="E38" s="7" t="s">
        <v>11</v>
      </c>
      <c r="F38" s="7" t="s">
        <v>434</v>
      </c>
      <c r="G38" s="7" t="s">
        <v>148</v>
      </c>
      <c r="H38" s="7" t="s">
        <v>35</v>
      </c>
      <c r="I38" s="8">
        <v>510960</v>
      </c>
      <c r="J38" s="7" t="s">
        <v>436</v>
      </c>
      <c r="K38" s="44">
        <v>8</v>
      </c>
      <c r="L38" s="44">
        <v>1</v>
      </c>
      <c r="M38" s="44">
        <v>10</v>
      </c>
      <c r="N38" s="8" t="s">
        <v>290</v>
      </c>
      <c r="O38" s="8" t="s">
        <v>290</v>
      </c>
      <c r="P38" s="8" t="s">
        <v>100</v>
      </c>
      <c r="Q38" s="1">
        <f t="shared" si="1"/>
        <v>0</v>
      </c>
      <c r="R38" t="s">
        <v>701</v>
      </c>
      <c r="W38" t="s">
        <v>890</v>
      </c>
    </row>
    <row r="39" spans="1:23" x14ac:dyDescent="0.25">
      <c r="A39" s="1">
        <v>37</v>
      </c>
      <c r="C39" s="7" t="s">
        <v>430</v>
      </c>
      <c r="D39" s="17">
        <v>23392</v>
      </c>
      <c r="E39" s="7" t="s">
        <v>11</v>
      </c>
      <c r="F39" s="7" t="s">
        <v>434</v>
      </c>
      <c r="G39" s="7" t="s">
        <v>148</v>
      </c>
      <c r="H39" s="7" t="s">
        <v>35</v>
      </c>
      <c r="I39" s="8">
        <v>510960</v>
      </c>
      <c r="J39" s="7" t="s">
        <v>436</v>
      </c>
      <c r="K39" s="44">
        <v>8</v>
      </c>
      <c r="L39" s="44">
        <v>1</v>
      </c>
      <c r="M39" s="44">
        <v>10</v>
      </c>
      <c r="N39" s="8" t="s">
        <v>295</v>
      </c>
      <c r="O39" s="8" t="s">
        <v>295</v>
      </c>
      <c r="P39" s="8" t="s">
        <v>100</v>
      </c>
      <c r="Q39" s="1">
        <f t="shared" si="1"/>
        <v>0</v>
      </c>
      <c r="R39" t="s">
        <v>701</v>
      </c>
      <c r="W39" t="s">
        <v>890</v>
      </c>
    </row>
    <row r="40" spans="1:23" x14ac:dyDescent="0.25">
      <c r="A40" s="1">
        <v>38</v>
      </c>
      <c r="C40" s="7" t="s">
        <v>430</v>
      </c>
      <c r="D40" s="17">
        <v>23391</v>
      </c>
      <c r="E40" s="7" t="s">
        <v>11</v>
      </c>
      <c r="F40" s="7" t="s">
        <v>434</v>
      </c>
      <c r="G40" s="7" t="s">
        <v>148</v>
      </c>
      <c r="H40" s="7" t="s">
        <v>35</v>
      </c>
      <c r="I40" s="8">
        <v>510960</v>
      </c>
      <c r="J40" s="7" t="s">
        <v>436</v>
      </c>
      <c r="K40" s="44">
        <v>8</v>
      </c>
      <c r="L40" s="44">
        <v>1</v>
      </c>
      <c r="M40" s="44">
        <v>10</v>
      </c>
      <c r="N40" s="8" t="s">
        <v>102</v>
      </c>
      <c r="O40" s="8" t="s">
        <v>102</v>
      </c>
      <c r="P40" s="8" t="s">
        <v>100</v>
      </c>
      <c r="Q40" s="1">
        <f t="shared" si="1"/>
        <v>0</v>
      </c>
      <c r="R40" t="s">
        <v>701</v>
      </c>
      <c r="W40" t="s">
        <v>890</v>
      </c>
    </row>
    <row r="41" spans="1:23" x14ac:dyDescent="0.25">
      <c r="A41" s="1">
        <v>39</v>
      </c>
      <c r="C41" s="7" t="s">
        <v>430</v>
      </c>
      <c r="D41" s="17">
        <v>23390</v>
      </c>
      <c r="E41" s="7" t="s">
        <v>11</v>
      </c>
      <c r="F41" s="7" t="s">
        <v>434</v>
      </c>
      <c r="G41" s="7" t="s">
        <v>148</v>
      </c>
      <c r="H41" s="7" t="s">
        <v>35</v>
      </c>
      <c r="I41" s="8">
        <v>510960</v>
      </c>
      <c r="J41" s="7" t="s">
        <v>436</v>
      </c>
      <c r="K41" s="44">
        <v>8</v>
      </c>
      <c r="L41" s="44">
        <v>1</v>
      </c>
      <c r="M41" s="44">
        <v>10</v>
      </c>
      <c r="N41" s="8" t="s">
        <v>103</v>
      </c>
      <c r="O41" s="8" t="s">
        <v>103</v>
      </c>
      <c r="P41" s="8" t="s">
        <v>100</v>
      </c>
      <c r="Q41" s="1">
        <f t="shared" si="1"/>
        <v>0</v>
      </c>
      <c r="R41" t="s">
        <v>701</v>
      </c>
      <c r="W41" t="s">
        <v>890</v>
      </c>
    </row>
    <row r="42" spans="1:23" x14ac:dyDescent="0.25">
      <c r="A42" s="1">
        <v>41</v>
      </c>
      <c r="C42" s="7" t="s">
        <v>430</v>
      </c>
      <c r="D42" s="17">
        <v>23388</v>
      </c>
      <c r="E42" s="7" t="s">
        <v>11</v>
      </c>
      <c r="F42" s="7" t="s">
        <v>434</v>
      </c>
      <c r="G42" s="7" t="s">
        <v>148</v>
      </c>
      <c r="H42" s="7" t="s">
        <v>35</v>
      </c>
      <c r="I42" s="8">
        <v>510960</v>
      </c>
      <c r="J42" s="7" t="s">
        <v>436</v>
      </c>
      <c r="K42" s="44">
        <v>8</v>
      </c>
      <c r="L42" s="44">
        <v>1</v>
      </c>
      <c r="M42" s="44">
        <v>10</v>
      </c>
      <c r="N42" s="8" t="s">
        <v>298</v>
      </c>
      <c r="O42" s="8" t="s">
        <v>298</v>
      </c>
      <c r="P42" s="8" t="s">
        <v>100</v>
      </c>
      <c r="Q42" s="1">
        <f t="shared" si="1"/>
        <v>0</v>
      </c>
      <c r="R42" t="s">
        <v>701</v>
      </c>
      <c r="W42" t="s">
        <v>890</v>
      </c>
    </row>
    <row r="43" spans="1:23" x14ac:dyDescent="0.25">
      <c r="A43" s="1">
        <v>43</v>
      </c>
      <c r="C43" s="7" t="s">
        <v>430</v>
      </c>
      <c r="D43" s="17">
        <v>23387</v>
      </c>
      <c r="E43" s="7" t="s">
        <v>11</v>
      </c>
      <c r="F43" s="7" t="s">
        <v>434</v>
      </c>
      <c r="G43" s="7" t="s">
        <v>148</v>
      </c>
      <c r="H43" s="7" t="s">
        <v>35</v>
      </c>
      <c r="I43" s="8">
        <v>510960</v>
      </c>
      <c r="J43" s="7" t="s">
        <v>436</v>
      </c>
      <c r="K43" s="44">
        <v>8</v>
      </c>
      <c r="L43" s="44">
        <v>1</v>
      </c>
      <c r="M43" s="44">
        <v>10</v>
      </c>
      <c r="N43" s="8" t="s">
        <v>299</v>
      </c>
      <c r="O43" s="8" t="s">
        <v>299</v>
      </c>
      <c r="P43" s="8" t="s">
        <v>100</v>
      </c>
      <c r="Q43" s="1">
        <f t="shared" si="1"/>
        <v>0</v>
      </c>
      <c r="R43" t="s">
        <v>701</v>
      </c>
      <c r="W43" t="s">
        <v>890</v>
      </c>
    </row>
    <row r="44" spans="1:23" x14ac:dyDescent="0.25">
      <c r="A44" s="1">
        <v>44</v>
      </c>
      <c r="C44" s="7" t="s">
        <v>430</v>
      </c>
      <c r="D44" s="17">
        <v>23386</v>
      </c>
      <c r="E44" s="7" t="s">
        <v>11</v>
      </c>
      <c r="F44" s="7" t="s">
        <v>434</v>
      </c>
      <c r="G44" s="7" t="s">
        <v>148</v>
      </c>
      <c r="H44" s="7" t="s">
        <v>35</v>
      </c>
      <c r="I44" s="8">
        <v>510960</v>
      </c>
      <c r="J44" s="7" t="s">
        <v>436</v>
      </c>
      <c r="K44" s="44">
        <v>8</v>
      </c>
      <c r="L44" s="44">
        <v>1</v>
      </c>
      <c r="M44" s="44">
        <v>10</v>
      </c>
      <c r="N44" s="8" t="s">
        <v>300</v>
      </c>
      <c r="O44" s="8" t="s">
        <v>300</v>
      </c>
      <c r="P44" s="8" t="s">
        <v>100</v>
      </c>
      <c r="Q44" s="1">
        <f t="shared" si="1"/>
        <v>0</v>
      </c>
      <c r="R44" t="s">
        <v>701</v>
      </c>
      <c r="W44" t="s">
        <v>890</v>
      </c>
    </row>
    <row r="45" spans="1:23" x14ac:dyDescent="0.25">
      <c r="A45" s="1">
        <v>46</v>
      </c>
      <c r="C45" s="7" t="s">
        <v>430</v>
      </c>
      <c r="D45" s="17">
        <v>23384</v>
      </c>
      <c r="E45" s="7" t="s">
        <v>11</v>
      </c>
      <c r="F45" s="7" t="s">
        <v>434</v>
      </c>
      <c r="G45" s="7" t="s">
        <v>148</v>
      </c>
      <c r="H45" s="7" t="s">
        <v>35</v>
      </c>
      <c r="I45" s="8">
        <v>510960</v>
      </c>
      <c r="J45" s="7" t="s">
        <v>436</v>
      </c>
      <c r="K45" s="44">
        <v>8</v>
      </c>
      <c r="L45" s="44">
        <v>1</v>
      </c>
      <c r="M45" s="44">
        <v>10</v>
      </c>
      <c r="N45" s="8" t="s">
        <v>106</v>
      </c>
      <c r="O45" s="8" t="s">
        <v>106</v>
      </c>
      <c r="P45" s="8" t="s">
        <v>100</v>
      </c>
      <c r="Q45" s="1">
        <f t="shared" si="1"/>
        <v>0</v>
      </c>
      <c r="R45" t="s">
        <v>701</v>
      </c>
      <c r="W45" t="s">
        <v>890</v>
      </c>
    </row>
    <row r="46" spans="1:23" x14ac:dyDescent="0.25">
      <c r="A46" s="1">
        <v>47</v>
      </c>
      <c r="C46" s="7" t="s">
        <v>430</v>
      </c>
      <c r="D46" s="17">
        <v>23383</v>
      </c>
      <c r="E46" s="7" t="s">
        <v>11</v>
      </c>
      <c r="F46" s="7" t="s">
        <v>434</v>
      </c>
      <c r="G46" s="7" t="s">
        <v>148</v>
      </c>
      <c r="H46" s="7" t="s">
        <v>35</v>
      </c>
      <c r="I46" s="8">
        <v>510960</v>
      </c>
      <c r="J46" s="7" t="s">
        <v>436</v>
      </c>
      <c r="K46" s="44">
        <v>8</v>
      </c>
      <c r="L46" s="44">
        <v>1</v>
      </c>
      <c r="M46" s="44">
        <v>10</v>
      </c>
      <c r="N46" s="8" t="s">
        <v>303</v>
      </c>
      <c r="O46" s="8" t="s">
        <v>303</v>
      </c>
      <c r="P46" s="8" t="s">
        <v>100</v>
      </c>
      <c r="Q46" s="1">
        <f t="shared" si="1"/>
        <v>0</v>
      </c>
      <c r="R46" t="s">
        <v>701</v>
      </c>
      <c r="W46" t="s">
        <v>890</v>
      </c>
    </row>
    <row r="47" spans="1:23" x14ac:dyDescent="0.25">
      <c r="A47" s="1">
        <v>48</v>
      </c>
      <c r="C47" s="7" t="s">
        <v>430</v>
      </c>
      <c r="D47" s="17">
        <v>23382</v>
      </c>
      <c r="E47" s="7" t="s">
        <v>11</v>
      </c>
      <c r="F47" s="7" t="s">
        <v>434</v>
      </c>
      <c r="G47" s="7" t="s">
        <v>148</v>
      </c>
      <c r="H47" s="7" t="s">
        <v>35</v>
      </c>
      <c r="I47" s="8">
        <v>510960</v>
      </c>
      <c r="J47" s="7" t="s">
        <v>436</v>
      </c>
      <c r="K47" s="44">
        <v>8</v>
      </c>
      <c r="L47" s="44">
        <v>1</v>
      </c>
      <c r="M47" s="44">
        <v>10</v>
      </c>
      <c r="N47" s="8" t="s">
        <v>108</v>
      </c>
      <c r="O47" s="8" t="s">
        <v>108</v>
      </c>
      <c r="P47" s="8" t="s">
        <v>100</v>
      </c>
      <c r="Q47" s="1">
        <f t="shared" si="1"/>
        <v>0</v>
      </c>
      <c r="R47" t="s">
        <v>701</v>
      </c>
      <c r="W47" t="s">
        <v>890</v>
      </c>
    </row>
    <row r="48" spans="1:23" x14ac:dyDescent="0.25">
      <c r="A48" s="1">
        <v>90</v>
      </c>
      <c r="C48" s="7" t="s">
        <v>430</v>
      </c>
      <c r="D48" s="17">
        <v>25391</v>
      </c>
      <c r="E48" s="7" t="s">
        <v>11</v>
      </c>
      <c r="F48" s="7" t="s">
        <v>74</v>
      </c>
      <c r="G48" s="7" t="s">
        <v>127</v>
      </c>
      <c r="H48" s="7" t="s">
        <v>35</v>
      </c>
      <c r="I48" s="8">
        <v>560514</v>
      </c>
      <c r="J48" s="7" t="s">
        <v>440</v>
      </c>
      <c r="K48" s="44">
        <v>16</v>
      </c>
      <c r="L48" s="44">
        <v>2</v>
      </c>
      <c r="M48" s="44">
        <v>15</v>
      </c>
      <c r="N48" s="243" t="s">
        <v>180</v>
      </c>
      <c r="O48" s="243" t="s">
        <v>182</v>
      </c>
      <c r="P48" s="8" t="s">
        <v>173</v>
      </c>
      <c r="Q48" s="1">
        <v>1</v>
      </c>
      <c r="R48" s="170" t="s">
        <v>699</v>
      </c>
      <c r="S48" s="1">
        <v>12</v>
      </c>
      <c r="U48" t="s">
        <v>900</v>
      </c>
      <c r="V48" t="s">
        <v>899</v>
      </c>
    </row>
    <row r="49" spans="1:23" x14ac:dyDescent="0.25">
      <c r="A49" s="1">
        <v>109</v>
      </c>
      <c r="C49" s="7" t="s">
        <v>430</v>
      </c>
      <c r="D49" s="17">
        <v>21889</v>
      </c>
      <c r="E49" s="7" t="s">
        <v>11</v>
      </c>
      <c r="F49" s="7" t="s">
        <v>434</v>
      </c>
      <c r="G49" s="7" t="s">
        <v>40</v>
      </c>
      <c r="H49" s="7" t="s">
        <v>35</v>
      </c>
      <c r="I49" s="8">
        <v>510960</v>
      </c>
      <c r="J49" s="7" t="s">
        <v>436</v>
      </c>
      <c r="K49" s="44">
        <v>24</v>
      </c>
      <c r="L49" s="44">
        <v>3</v>
      </c>
      <c r="M49" s="44">
        <v>20</v>
      </c>
      <c r="N49" s="8" t="s">
        <v>441</v>
      </c>
      <c r="O49" s="8" t="s">
        <v>255</v>
      </c>
      <c r="P49" s="8" t="s">
        <v>249</v>
      </c>
      <c r="Q49" s="1">
        <f t="shared" si="1"/>
        <v>0</v>
      </c>
      <c r="R49" t="s">
        <v>701</v>
      </c>
      <c r="W49" t="s">
        <v>890</v>
      </c>
    </row>
    <row r="50" spans="1:23" x14ac:dyDescent="0.25">
      <c r="A50" s="1">
        <v>40</v>
      </c>
      <c r="C50" s="7" t="s">
        <v>430</v>
      </c>
      <c r="D50" s="17">
        <v>23389</v>
      </c>
      <c r="E50" s="7" t="s">
        <v>11</v>
      </c>
      <c r="F50" s="7" t="s">
        <v>434</v>
      </c>
      <c r="G50" s="7" t="s">
        <v>148</v>
      </c>
      <c r="H50" s="7" t="s">
        <v>35</v>
      </c>
      <c r="I50" s="8">
        <v>510960</v>
      </c>
      <c r="J50" s="7" t="s">
        <v>436</v>
      </c>
      <c r="K50" s="44">
        <v>8</v>
      </c>
      <c r="L50" s="44">
        <v>1</v>
      </c>
      <c r="M50" s="44">
        <v>10</v>
      </c>
      <c r="N50" s="8" t="s">
        <v>104</v>
      </c>
      <c r="O50" s="8" t="s">
        <v>104</v>
      </c>
      <c r="P50" s="8" t="s">
        <v>100</v>
      </c>
      <c r="Q50" s="1">
        <f t="shared" si="1"/>
        <v>0</v>
      </c>
      <c r="R50" t="s">
        <v>701</v>
      </c>
      <c r="W50" t="s">
        <v>890</v>
      </c>
    </row>
    <row r="51" spans="1:23" s="131" customFormat="1" x14ac:dyDescent="0.25">
      <c r="A51" s="130">
        <v>10</v>
      </c>
      <c r="C51" s="132" t="s">
        <v>430</v>
      </c>
      <c r="D51" s="133">
        <v>23579</v>
      </c>
      <c r="E51" s="132" t="s">
        <v>11</v>
      </c>
      <c r="F51" s="132" t="s">
        <v>434</v>
      </c>
      <c r="G51" s="132" t="s">
        <v>68</v>
      </c>
      <c r="H51" s="132" t="s">
        <v>35</v>
      </c>
      <c r="I51" s="134">
        <v>510960</v>
      </c>
      <c r="J51" s="132" t="s">
        <v>436</v>
      </c>
      <c r="K51" s="135">
        <v>24</v>
      </c>
      <c r="L51" s="135">
        <v>3</v>
      </c>
      <c r="M51" s="135">
        <v>8</v>
      </c>
      <c r="N51" s="134" t="s">
        <v>272</v>
      </c>
      <c r="O51" s="136">
        <v>44322</v>
      </c>
      <c r="P51" s="134" t="s">
        <v>77</v>
      </c>
      <c r="Q51" s="130">
        <f t="shared" si="1"/>
        <v>1</v>
      </c>
      <c r="R51" s="16" t="s">
        <v>701</v>
      </c>
      <c r="S51" s="130"/>
      <c r="W51" s="131" t="s">
        <v>901</v>
      </c>
    </row>
    <row r="52" spans="1:23" x14ac:dyDescent="0.25">
      <c r="A52" s="1">
        <v>12</v>
      </c>
      <c r="C52" s="7" t="s">
        <v>430</v>
      </c>
      <c r="D52" s="17">
        <v>23410</v>
      </c>
      <c r="E52" s="7" t="s">
        <v>11</v>
      </c>
      <c r="F52" s="7" t="s">
        <v>434</v>
      </c>
      <c r="G52" s="7" t="s">
        <v>148</v>
      </c>
      <c r="H52" s="7" t="s">
        <v>35</v>
      </c>
      <c r="I52" s="8">
        <v>510960</v>
      </c>
      <c r="J52" s="7" t="s">
        <v>436</v>
      </c>
      <c r="K52" s="44">
        <v>8</v>
      </c>
      <c r="L52" s="44">
        <v>1</v>
      </c>
      <c r="M52" s="44">
        <v>11</v>
      </c>
      <c r="N52" s="8" t="s">
        <v>425</v>
      </c>
      <c r="O52" s="18">
        <v>44326</v>
      </c>
      <c r="P52" s="8" t="s">
        <v>77</v>
      </c>
      <c r="Q52" s="1">
        <f t="shared" si="1"/>
        <v>1</v>
      </c>
      <c r="R52" s="16" t="s">
        <v>701</v>
      </c>
      <c r="W52" t="s">
        <v>891</v>
      </c>
    </row>
    <row r="53" spans="1:23" x14ac:dyDescent="0.25">
      <c r="A53" s="1">
        <v>29</v>
      </c>
      <c r="C53" s="7" t="s">
        <v>430</v>
      </c>
      <c r="D53" s="17">
        <v>25410</v>
      </c>
      <c r="E53" s="7" t="s">
        <v>11</v>
      </c>
      <c r="F53" s="7" t="s">
        <v>74</v>
      </c>
      <c r="G53" s="7" t="s">
        <v>89</v>
      </c>
      <c r="H53" s="7" t="s">
        <v>35</v>
      </c>
      <c r="I53" s="8">
        <v>536181</v>
      </c>
      <c r="J53" s="7" t="s">
        <v>431</v>
      </c>
      <c r="K53" s="44">
        <v>16</v>
      </c>
      <c r="L53" s="44">
        <v>2</v>
      </c>
      <c r="M53" s="44">
        <v>15</v>
      </c>
      <c r="N53" s="243" t="s">
        <v>97</v>
      </c>
      <c r="O53" s="244">
        <v>44344</v>
      </c>
      <c r="P53" s="8" t="s">
        <v>77</v>
      </c>
      <c r="Q53" s="1">
        <f t="shared" si="1"/>
        <v>1</v>
      </c>
      <c r="R53" s="170" t="s">
        <v>699</v>
      </c>
      <c r="S53" s="1">
        <v>12</v>
      </c>
      <c r="V53" t="s">
        <v>899</v>
      </c>
      <c r="W53" t="s">
        <v>891</v>
      </c>
    </row>
    <row r="54" spans="1:23" x14ac:dyDescent="0.25">
      <c r="A54" s="1">
        <v>34</v>
      </c>
      <c r="C54" s="7" t="s">
        <v>430</v>
      </c>
      <c r="D54" s="17">
        <v>23393</v>
      </c>
      <c r="E54" s="7" t="s">
        <v>11</v>
      </c>
      <c r="F54" s="7" t="s">
        <v>434</v>
      </c>
      <c r="G54" s="7" t="s">
        <v>148</v>
      </c>
      <c r="H54" s="7" t="s">
        <v>35</v>
      </c>
      <c r="I54" s="8">
        <v>510960</v>
      </c>
      <c r="J54" s="7" t="s">
        <v>436</v>
      </c>
      <c r="K54" s="44">
        <v>8</v>
      </c>
      <c r="L54" s="44">
        <v>1</v>
      </c>
      <c r="M54" s="44">
        <v>10</v>
      </c>
      <c r="N54" s="8" t="s">
        <v>289</v>
      </c>
      <c r="O54" s="18">
        <v>44350</v>
      </c>
      <c r="P54" s="8" t="s">
        <v>100</v>
      </c>
      <c r="Q54" s="1">
        <f t="shared" si="1"/>
        <v>1</v>
      </c>
      <c r="R54" s="16" t="s">
        <v>701</v>
      </c>
      <c r="V54" s="170" t="s">
        <v>902</v>
      </c>
      <c r="W54" t="s">
        <v>891</v>
      </c>
    </row>
    <row r="55" spans="1:23" x14ac:dyDescent="0.25">
      <c r="A55" s="1">
        <v>35</v>
      </c>
      <c r="C55" s="7" t="s">
        <v>430</v>
      </c>
      <c r="D55" s="17">
        <v>25408</v>
      </c>
      <c r="E55" s="7" t="s">
        <v>11</v>
      </c>
      <c r="F55" s="7" t="s">
        <v>74</v>
      </c>
      <c r="G55" s="7" t="s">
        <v>89</v>
      </c>
      <c r="H55" s="7" t="s">
        <v>35</v>
      </c>
      <c r="I55" s="8">
        <v>536181</v>
      </c>
      <c r="J55" s="7" t="s">
        <v>431</v>
      </c>
      <c r="K55" s="44">
        <v>16</v>
      </c>
      <c r="L55" s="44">
        <v>2</v>
      </c>
      <c r="M55" s="44">
        <v>15</v>
      </c>
      <c r="N55" s="245">
        <v>44496</v>
      </c>
      <c r="O55" s="245">
        <v>44497</v>
      </c>
      <c r="P55" s="8" t="s">
        <v>100</v>
      </c>
      <c r="Q55" s="1">
        <f t="shared" si="1"/>
        <v>1</v>
      </c>
      <c r="R55" s="170" t="s">
        <v>699</v>
      </c>
      <c r="S55" s="1">
        <v>11</v>
      </c>
      <c r="V55" t="s">
        <v>899</v>
      </c>
      <c r="W55" t="s">
        <v>891</v>
      </c>
    </row>
    <row r="56" spans="1:23" x14ac:dyDescent="0.25">
      <c r="A56" s="1">
        <v>42</v>
      </c>
      <c r="C56" s="7" t="s">
        <v>430</v>
      </c>
      <c r="D56" s="17">
        <v>21765</v>
      </c>
      <c r="E56" s="7" t="s">
        <v>12</v>
      </c>
      <c r="F56" s="7" t="s">
        <v>442</v>
      </c>
      <c r="G56" s="7" t="s">
        <v>68</v>
      </c>
      <c r="H56" s="7" t="s">
        <v>35</v>
      </c>
      <c r="I56" s="8">
        <v>213374</v>
      </c>
      <c r="J56" s="7" t="s">
        <v>443</v>
      </c>
      <c r="K56" s="44">
        <v>24</v>
      </c>
      <c r="L56" s="44">
        <v>3</v>
      </c>
      <c r="M56" s="44">
        <v>5</v>
      </c>
      <c r="N56" s="8" t="s">
        <v>103</v>
      </c>
      <c r="O56" s="18">
        <v>44358</v>
      </c>
      <c r="P56" s="8" t="s">
        <v>100</v>
      </c>
      <c r="Q56" s="1">
        <f t="shared" si="1"/>
        <v>1</v>
      </c>
      <c r="R56" s="173" t="s">
        <v>701</v>
      </c>
      <c r="V56" s="170" t="s">
        <v>903</v>
      </c>
      <c r="W56" t="s">
        <v>891</v>
      </c>
    </row>
    <row r="57" spans="1:23" x14ac:dyDescent="0.25">
      <c r="A57" s="1">
        <v>45</v>
      </c>
      <c r="C57" s="7" t="s">
        <v>430</v>
      </c>
      <c r="D57" s="17">
        <v>23385</v>
      </c>
      <c r="E57" s="7" t="s">
        <v>11</v>
      </c>
      <c r="F57" s="7" t="s">
        <v>434</v>
      </c>
      <c r="G57" s="7" t="s">
        <v>148</v>
      </c>
      <c r="H57" s="7" t="s">
        <v>35</v>
      </c>
      <c r="I57" s="8">
        <v>510960</v>
      </c>
      <c r="J57" s="7" t="s">
        <v>436</v>
      </c>
      <c r="K57" s="44">
        <v>8</v>
      </c>
      <c r="L57" s="44">
        <v>1</v>
      </c>
      <c r="M57" s="44">
        <v>10</v>
      </c>
      <c r="N57" s="8" t="s">
        <v>107</v>
      </c>
      <c r="O57" s="18">
        <v>44363</v>
      </c>
      <c r="P57" s="8" t="s">
        <v>100</v>
      </c>
      <c r="Q57" s="1">
        <f t="shared" si="1"/>
        <v>1</v>
      </c>
      <c r="R57" t="s">
        <v>701</v>
      </c>
      <c r="W57" t="s">
        <v>891</v>
      </c>
    </row>
    <row r="58" spans="1:23" x14ac:dyDescent="0.25">
      <c r="A58" s="1">
        <v>49</v>
      </c>
      <c r="C58" s="7" t="s">
        <v>430</v>
      </c>
      <c r="D58" s="17">
        <v>25430</v>
      </c>
      <c r="E58" s="7" t="s">
        <v>11</v>
      </c>
      <c r="F58" s="7" t="s">
        <v>74</v>
      </c>
      <c r="G58" s="7" t="s">
        <v>294</v>
      </c>
      <c r="H58" s="7" t="s">
        <v>35</v>
      </c>
      <c r="I58" s="8">
        <v>510960</v>
      </c>
      <c r="J58" s="7" t="s">
        <v>436</v>
      </c>
      <c r="K58" s="44">
        <v>8</v>
      </c>
      <c r="L58" s="44">
        <v>1</v>
      </c>
      <c r="M58" s="44">
        <v>15</v>
      </c>
      <c r="N58" s="243" t="s">
        <v>310</v>
      </c>
      <c r="O58" s="244">
        <v>44382</v>
      </c>
      <c r="P58" s="8" t="s">
        <v>119</v>
      </c>
      <c r="Q58" s="1">
        <f t="shared" si="1"/>
        <v>1</v>
      </c>
      <c r="R58" s="170" t="s">
        <v>699</v>
      </c>
      <c r="S58" s="1">
        <v>6</v>
      </c>
      <c r="V58" t="s">
        <v>899</v>
      </c>
      <c r="W58" t="s">
        <v>901</v>
      </c>
    </row>
    <row r="59" spans="1:23" x14ac:dyDescent="0.25">
      <c r="A59" s="1">
        <v>50</v>
      </c>
      <c r="C59" s="7" t="s">
        <v>430</v>
      </c>
      <c r="D59" s="17">
        <v>25431</v>
      </c>
      <c r="E59" s="7" t="s">
        <v>11</v>
      </c>
      <c r="F59" s="7" t="s">
        <v>74</v>
      </c>
      <c r="G59" s="7" t="s">
        <v>294</v>
      </c>
      <c r="H59" s="7" t="s">
        <v>35</v>
      </c>
      <c r="I59" s="8">
        <v>510960</v>
      </c>
      <c r="J59" s="7" t="s">
        <v>436</v>
      </c>
      <c r="K59" s="44">
        <v>8</v>
      </c>
      <c r="L59" s="44">
        <v>1</v>
      </c>
      <c r="M59" s="44">
        <v>15</v>
      </c>
      <c r="N59" s="243" t="s">
        <v>311</v>
      </c>
      <c r="O59" s="244">
        <v>44383</v>
      </c>
      <c r="P59" s="8" t="s">
        <v>119</v>
      </c>
      <c r="Q59" s="1">
        <f t="shared" si="1"/>
        <v>1</v>
      </c>
      <c r="R59" s="170" t="s">
        <v>699</v>
      </c>
      <c r="S59" s="1">
        <v>3</v>
      </c>
      <c r="V59" t="s">
        <v>899</v>
      </c>
      <c r="W59" t="s">
        <v>901</v>
      </c>
    </row>
    <row r="60" spans="1:23" x14ac:dyDescent="0.25">
      <c r="A60" s="1">
        <v>51</v>
      </c>
      <c r="C60" s="7" t="s">
        <v>430</v>
      </c>
      <c r="D60" s="17">
        <v>25651</v>
      </c>
      <c r="E60" s="7" t="s">
        <v>11</v>
      </c>
      <c r="F60" s="7" t="s">
        <v>74</v>
      </c>
      <c r="G60" s="7" t="s">
        <v>40</v>
      </c>
      <c r="H60" s="7" t="s">
        <v>35</v>
      </c>
      <c r="I60" s="8">
        <v>510960</v>
      </c>
      <c r="J60" s="7" t="s">
        <v>436</v>
      </c>
      <c r="K60" s="44">
        <v>24</v>
      </c>
      <c r="L60" s="44">
        <v>3</v>
      </c>
      <c r="M60" s="44">
        <v>15</v>
      </c>
      <c r="N60" s="243" t="s">
        <v>123</v>
      </c>
      <c r="O60" s="244">
        <v>44386</v>
      </c>
      <c r="P60" s="8" t="s">
        <v>119</v>
      </c>
      <c r="Q60" s="1">
        <f t="shared" si="1"/>
        <v>1</v>
      </c>
      <c r="R60" s="170" t="s">
        <v>699</v>
      </c>
      <c r="S60" s="1">
        <v>9</v>
      </c>
      <c r="W60" t="s">
        <v>901</v>
      </c>
    </row>
    <row r="61" spans="1:23" x14ac:dyDescent="0.25">
      <c r="A61" s="1">
        <v>52</v>
      </c>
      <c r="C61" s="7" t="s">
        <v>430</v>
      </c>
      <c r="D61" s="17">
        <v>25432</v>
      </c>
      <c r="E61" s="7" t="s">
        <v>11</v>
      </c>
      <c r="F61" s="7" t="s">
        <v>74</v>
      </c>
      <c r="G61" s="7" t="s">
        <v>294</v>
      </c>
      <c r="H61" s="7" t="s">
        <v>35</v>
      </c>
      <c r="I61" s="8">
        <v>510960</v>
      </c>
      <c r="J61" s="7" t="s">
        <v>436</v>
      </c>
      <c r="K61" s="44">
        <v>8</v>
      </c>
      <c r="L61" s="44">
        <v>1</v>
      </c>
      <c r="M61" s="44">
        <v>15</v>
      </c>
      <c r="N61" s="243" t="s">
        <v>126</v>
      </c>
      <c r="O61" s="244">
        <v>44389</v>
      </c>
      <c r="P61" s="8" t="s">
        <v>119</v>
      </c>
      <c r="Q61" s="1">
        <f t="shared" si="1"/>
        <v>1</v>
      </c>
      <c r="R61" s="170" t="s">
        <v>699</v>
      </c>
      <c r="S61" s="1">
        <v>8</v>
      </c>
      <c r="V61" t="s">
        <v>899</v>
      </c>
      <c r="W61" t="s">
        <v>901</v>
      </c>
    </row>
    <row r="62" spans="1:23" x14ac:dyDescent="0.25">
      <c r="A62" s="1">
        <v>53</v>
      </c>
      <c r="C62" s="7" t="s">
        <v>430</v>
      </c>
      <c r="D62" s="17">
        <v>25435</v>
      </c>
      <c r="E62" s="7" t="s">
        <v>11</v>
      </c>
      <c r="F62" s="7" t="s">
        <v>74</v>
      </c>
      <c r="G62" s="7" t="s">
        <v>294</v>
      </c>
      <c r="H62" s="7" t="s">
        <v>35</v>
      </c>
      <c r="I62" s="8">
        <v>510960</v>
      </c>
      <c r="J62" s="7" t="s">
        <v>436</v>
      </c>
      <c r="K62" s="44">
        <v>8</v>
      </c>
      <c r="L62" s="44">
        <v>1</v>
      </c>
      <c r="M62" s="44">
        <v>15</v>
      </c>
      <c r="N62" s="243" t="s">
        <v>315</v>
      </c>
      <c r="O62" s="244">
        <v>44390</v>
      </c>
      <c r="P62" s="8" t="s">
        <v>119</v>
      </c>
      <c r="Q62" s="1">
        <f t="shared" si="1"/>
        <v>1</v>
      </c>
      <c r="R62" s="170" t="s">
        <v>699</v>
      </c>
      <c r="S62" s="1">
        <v>10</v>
      </c>
      <c r="V62" t="s">
        <v>899</v>
      </c>
      <c r="W62" t="s">
        <v>901</v>
      </c>
    </row>
    <row r="63" spans="1:23" x14ac:dyDescent="0.25">
      <c r="A63" s="1">
        <v>54</v>
      </c>
      <c r="C63" s="7" t="s">
        <v>430</v>
      </c>
      <c r="D63" s="17">
        <v>25652</v>
      </c>
      <c r="E63" s="7" t="s">
        <v>11</v>
      </c>
      <c r="F63" s="7" t="s">
        <v>74</v>
      </c>
      <c r="G63" s="7" t="s">
        <v>40</v>
      </c>
      <c r="H63" s="7" t="s">
        <v>35</v>
      </c>
      <c r="I63" s="8">
        <v>510960</v>
      </c>
      <c r="J63" s="7" t="s">
        <v>436</v>
      </c>
      <c r="K63" s="44">
        <v>24</v>
      </c>
      <c r="L63" s="44">
        <v>3</v>
      </c>
      <c r="M63" s="44">
        <v>15</v>
      </c>
      <c r="N63" s="243" t="s">
        <v>128</v>
      </c>
      <c r="O63" s="244">
        <v>44393</v>
      </c>
      <c r="P63" s="8" t="s">
        <v>119</v>
      </c>
      <c r="Q63" s="1">
        <f>IF(O63&lt;=$D$3,1,0)</f>
        <v>1</v>
      </c>
      <c r="R63" s="170" t="s">
        <v>699</v>
      </c>
      <c r="S63" s="1">
        <v>10</v>
      </c>
      <c r="W63" t="s">
        <v>901</v>
      </c>
    </row>
    <row r="64" spans="1:23" x14ac:dyDescent="0.25">
      <c r="A64" s="1">
        <v>55</v>
      </c>
      <c r="C64" s="7" t="s">
        <v>430</v>
      </c>
      <c r="D64" s="17">
        <v>25434</v>
      </c>
      <c r="E64" s="7" t="s">
        <v>11</v>
      </c>
      <c r="F64" s="7" t="s">
        <v>74</v>
      </c>
      <c r="G64" s="7" t="s">
        <v>294</v>
      </c>
      <c r="H64" s="7" t="s">
        <v>35</v>
      </c>
      <c r="I64" s="8">
        <v>510960</v>
      </c>
      <c r="J64" s="7" t="s">
        <v>436</v>
      </c>
      <c r="K64" s="44">
        <v>8</v>
      </c>
      <c r="L64" s="44">
        <v>1</v>
      </c>
      <c r="M64" s="44">
        <v>15</v>
      </c>
      <c r="N64" s="18">
        <v>44512</v>
      </c>
      <c r="O64" s="18">
        <v>44512</v>
      </c>
      <c r="P64" s="8" t="s">
        <v>119</v>
      </c>
      <c r="Q64" s="1">
        <f t="shared" si="1"/>
        <v>1</v>
      </c>
      <c r="R64" t="s">
        <v>699</v>
      </c>
      <c r="S64" s="1">
        <v>10</v>
      </c>
      <c r="V64" t="s">
        <v>899</v>
      </c>
      <c r="W64" t="s">
        <v>901</v>
      </c>
    </row>
    <row r="65" spans="1:23" x14ac:dyDescent="0.25">
      <c r="A65" s="1">
        <v>56</v>
      </c>
      <c r="C65" s="7" t="s">
        <v>430</v>
      </c>
      <c r="D65" s="17">
        <v>25653</v>
      </c>
      <c r="E65" s="7" t="s">
        <v>11</v>
      </c>
      <c r="F65" s="7" t="s">
        <v>74</v>
      </c>
      <c r="G65" s="7" t="s">
        <v>40</v>
      </c>
      <c r="H65" s="7" t="s">
        <v>35</v>
      </c>
      <c r="I65" s="8">
        <v>510960</v>
      </c>
      <c r="J65" s="7" t="s">
        <v>436</v>
      </c>
      <c r="K65" s="44">
        <v>24</v>
      </c>
      <c r="L65" s="44">
        <v>3</v>
      </c>
      <c r="M65" s="44">
        <v>15</v>
      </c>
      <c r="N65" s="244">
        <v>44508</v>
      </c>
      <c r="O65" s="244">
        <v>44510</v>
      </c>
      <c r="P65" s="8" t="s">
        <v>119</v>
      </c>
      <c r="Q65" s="1">
        <f t="shared" si="1"/>
        <v>1</v>
      </c>
      <c r="R65" t="s">
        <v>699</v>
      </c>
      <c r="S65" s="1">
        <v>8</v>
      </c>
      <c r="W65" t="s">
        <v>901</v>
      </c>
    </row>
    <row r="66" spans="1:23" x14ac:dyDescent="0.25">
      <c r="A66" s="1">
        <v>57</v>
      </c>
      <c r="C66" s="7" t="s">
        <v>430</v>
      </c>
      <c r="D66" s="17">
        <v>23072</v>
      </c>
      <c r="E66" s="7" t="s">
        <v>11</v>
      </c>
      <c r="F66" s="7" t="s">
        <v>434</v>
      </c>
      <c r="G66" s="7" t="s">
        <v>264</v>
      </c>
      <c r="H66" s="7" t="s">
        <v>35</v>
      </c>
      <c r="I66" s="8">
        <v>510960</v>
      </c>
      <c r="J66" s="7" t="s">
        <v>436</v>
      </c>
      <c r="K66" s="44">
        <v>8</v>
      </c>
      <c r="L66" s="44">
        <v>1</v>
      </c>
      <c r="M66" s="44">
        <v>7</v>
      </c>
      <c r="N66" s="8" t="s">
        <v>135</v>
      </c>
      <c r="O66" s="18">
        <v>44404</v>
      </c>
      <c r="P66" s="8" t="s">
        <v>119</v>
      </c>
      <c r="Q66" s="1">
        <f t="shared" si="1"/>
        <v>1</v>
      </c>
      <c r="R66" s="16" t="s">
        <v>701</v>
      </c>
      <c r="W66" t="s">
        <v>891</v>
      </c>
    </row>
    <row r="67" spans="1:23" x14ac:dyDescent="0.25">
      <c r="A67" s="1">
        <v>58</v>
      </c>
      <c r="C67" s="7" t="s">
        <v>430</v>
      </c>
      <c r="D67" s="17">
        <v>23071</v>
      </c>
      <c r="E67" s="7" t="s">
        <v>11</v>
      </c>
      <c r="F67" s="7" t="s">
        <v>434</v>
      </c>
      <c r="G67" s="7" t="s">
        <v>264</v>
      </c>
      <c r="H67" s="7" t="s">
        <v>35</v>
      </c>
      <c r="I67" s="8">
        <v>510960</v>
      </c>
      <c r="J67" s="7" t="s">
        <v>436</v>
      </c>
      <c r="K67" s="44">
        <v>8</v>
      </c>
      <c r="L67" s="44">
        <v>1</v>
      </c>
      <c r="M67" s="44">
        <v>9</v>
      </c>
      <c r="N67" s="8" t="s">
        <v>136</v>
      </c>
      <c r="O67" s="18">
        <v>44405</v>
      </c>
      <c r="P67" s="8" t="s">
        <v>119</v>
      </c>
      <c r="Q67" s="1">
        <f t="shared" si="1"/>
        <v>1</v>
      </c>
      <c r="R67" s="16" t="s">
        <v>701</v>
      </c>
      <c r="W67" t="s">
        <v>891</v>
      </c>
    </row>
    <row r="68" spans="1:23" x14ac:dyDescent="0.25">
      <c r="A68" s="1">
        <v>59</v>
      </c>
      <c r="C68" s="7" t="s">
        <v>430</v>
      </c>
      <c r="D68" s="17">
        <v>23070</v>
      </c>
      <c r="E68" s="7" t="s">
        <v>11</v>
      </c>
      <c r="F68" s="7" t="s">
        <v>434</v>
      </c>
      <c r="G68" s="7" t="s">
        <v>264</v>
      </c>
      <c r="H68" s="7" t="s">
        <v>35</v>
      </c>
      <c r="I68" s="8">
        <v>510960</v>
      </c>
      <c r="J68" s="7" t="s">
        <v>436</v>
      </c>
      <c r="K68" s="44">
        <v>8</v>
      </c>
      <c r="L68" s="44">
        <v>1</v>
      </c>
      <c r="M68" s="44">
        <v>10</v>
      </c>
      <c r="N68" s="8" t="s">
        <v>137</v>
      </c>
      <c r="O68" s="18">
        <v>44406</v>
      </c>
      <c r="P68" s="8" t="s">
        <v>119</v>
      </c>
      <c r="Q68" s="1">
        <f t="shared" si="1"/>
        <v>1</v>
      </c>
      <c r="R68" s="16" t="s">
        <v>701</v>
      </c>
      <c r="W68" t="s">
        <v>891</v>
      </c>
    </row>
    <row r="69" spans="1:23" x14ac:dyDescent="0.25">
      <c r="A69" s="1">
        <v>60</v>
      </c>
      <c r="C69" s="7" t="s">
        <v>430</v>
      </c>
      <c r="D69" s="17">
        <v>23069</v>
      </c>
      <c r="E69" s="7" t="s">
        <v>11</v>
      </c>
      <c r="F69" s="7" t="s">
        <v>434</v>
      </c>
      <c r="G69" s="7" t="s">
        <v>264</v>
      </c>
      <c r="H69" s="7" t="s">
        <v>35</v>
      </c>
      <c r="I69" s="8">
        <v>510960</v>
      </c>
      <c r="J69" s="7" t="s">
        <v>436</v>
      </c>
      <c r="K69" s="44">
        <v>8</v>
      </c>
      <c r="L69" s="44">
        <v>1</v>
      </c>
      <c r="M69" s="44">
        <v>10</v>
      </c>
      <c r="N69" s="8" t="s">
        <v>358</v>
      </c>
      <c r="O69" s="18">
        <v>44407</v>
      </c>
      <c r="P69" s="8" t="s">
        <v>119</v>
      </c>
      <c r="Q69" s="1">
        <f t="shared" si="1"/>
        <v>1</v>
      </c>
      <c r="R69" s="16" t="s">
        <v>701</v>
      </c>
      <c r="W69" t="s">
        <v>891</v>
      </c>
    </row>
    <row r="70" spans="1:23" x14ac:dyDescent="0.25">
      <c r="A70" s="1">
        <v>61</v>
      </c>
      <c r="C70" s="7" t="s">
        <v>430</v>
      </c>
      <c r="D70" s="17">
        <v>23068</v>
      </c>
      <c r="E70" s="7" t="s">
        <v>11</v>
      </c>
      <c r="F70" s="7" t="s">
        <v>434</v>
      </c>
      <c r="G70" s="7" t="s">
        <v>264</v>
      </c>
      <c r="H70" s="7" t="s">
        <v>35</v>
      </c>
      <c r="I70" s="8">
        <v>510960</v>
      </c>
      <c r="J70" s="7" t="s">
        <v>436</v>
      </c>
      <c r="K70" s="44">
        <v>8</v>
      </c>
      <c r="L70" s="44">
        <v>1</v>
      </c>
      <c r="M70" s="44">
        <v>10</v>
      </c>
      <c r="N70" s="8" t="s">
        <v>139</v>
      </c>
      <c r="O70" s="18">
        <v>44410</v>
      </c>
      <c r="P70" s="8" t="s">
        <v>141</v>
      </c>
      <c r="Q70" s="1">
        <f t="shared" si="1"/>
        <v>1</v>
      </c>
      <c r="R70" s="16" t="s">
        <v>701</v>
      </c>
      <c r="W70" t="s">
        <v>891</v>
      </c>
    </row>
    <row r="71" spans="1:23" x14ac:dyDescent="0.25">
      <c r="A71" s="1">
        <v>62</v>
      </c>
      <c r="C71" s="7" t="s">
        <v>430</v>
      </c>
      <c r="D71" s="17">
        <v>23067</v>
      </c>
      <c r="E71" s="7" t="s">
        <v>11</v>
      </c>
      <c r="F71" s="7" t="s">
        <v>434</v>
      </c>
      <c r="G71" s="7" t="s">
        <v>264</v>
      </c>
      <c r="H71" s="7" t="s">
        <v>35</v>
      </c>
      <c r="I71" s="8">
        <v>510960</v>
      </c>
      <c r="J71" s="7" t="s">
        <v>436</v>
      </c>
      <c r="K71" s="44">
        <v>8</v>
      </c>
      <c r="L71" s="44">
        <v>1</v>
      </c>
      <c r="M71" s="44">
        <v>10</v>
      </c>
      <c r="N71" s="8" t="s">
        <v>140</v>
      </c>
      <c r="O71" s="18">
        <v>44411</v>
      </c>
      <c r="P71" s="8" t="s">
        <v>141</v>
      </c>
      <c r="Q71" s="1">
        <f t="shared" si="1"/>
        <v>1</v>
      </c>
      <c r="R71" s="16" t="s">
        <v>701</v>
      </c>
      <c r="W71" t="s">
        <v>891</v>
      </c>
    </row>
    <row r="72" spans="1:23" x14ac:dyDescent="0.25">
      <c r="A72" s="1">
        <v>63</v>
      </c>
      <c r="C72" s="7" t="s">
        <v>430</v>
      </c>
      <c r="D72" s="17">
        <v>23066</v>
      </c>
      <c r="E72" s="7" t="s">
        <v>11</v>
      </c>
      <c r="F72" s="7" t="s">
        <v>434</v>
      </c>
      <c r="G72" s="7" t="s">
        <v>264</v>
      </c>
      <c r="H72" s="7" t="s">
        <v>35</v>
      </c>
      <c r="I72" s="8">
        <v>510960</v>
      </c>
      <c r="J72" s="7" t="s">
        <v>436</v>
      </c>
      <c r="K72" s="44">
        <v>8</v>
      </c>
      <c r="L72" s="44">
        <v>1</v>
      </c>
      <c r="M72" s="44">
        <v>10</v>
      </c>
      <c r="N72" s="8" t="s">
        <v>143</v>
      </c>
      <c r="O72" s="18">
        <v>44412</v>
      </c>
      <c r="P72" s="8" t="s">
        <v>141</v>
      </c>
      <c r="Q72" s="1">
        <f t="shared" si="1"/>
        <v>1</v>
      </c>
      <c r="R72" s="16" t="s">
        <v>701</v>
      </c>
      <c r="W72" t="s">
        <v>891</v>
      </c>
    </row>
    <row r="73" spans="1:23" x14ac:dyDescent="0.25">
      <c r="A73" s="1">
        <v>64</v>
      </c>
      <c r="C73" s="7" t="s">
        <v>430</v>
      </c>
      <c r="D73" s="17">
        <v>23065</v>
      </c>
      <c r="E73" s="7" t="s">
        <v>11</v>
      </c>
      <c r="F73" s="7" t="s">
        <v>434</v>
      </c>
      <c r="G73" s="7" t="s">
        <v>264</v>
      </c>
      <c r="H73" s="7" t="s">
        <v>35</v>
      </c>
      <c r="I73" s="8">
        <v>510960</v>
      </c>
      <c r="J73" s="7" t="s">
        <v>436</v>
      </c>
      <c r="K73" s="44">
        <v>8</v>
      </c>
      <c r="L73" s="44">
        <v>1</v>
      </c>
      <c r="M73" s="44">
        <v>10</v>
      </c>
      <c r="N73" s="8" t="s">
        <v>145</v>
      </c>
      <c r="O73" s="18">
        <v>44413</v>
      </c>
      <c r="P73" s="8" t="s">
        <v>141</v>
      </c>
      <c r="Q73" s="1">
        <f t="shared" si="1"/>
        <v>1</v>
      </c>
      <c r="R73" s="16" t="s">
        <v>701</v>
      </c>
      <c r="W73" t="s">
        <v>891</v>
      </c>
    </row>
    <row r="74" spans="1:23" x14ac:dyDescent="0.25">
      <c r="A74" s="1">
        <v>65</v>
      </c>
      <c r="C74" s="7" t="s">
        <v>430</v>
      </c>
      <c r="D74" s="17">
        <v>23064</v>
      </c>
      <c r="E74" s="7" t="s">
        <v>11</v>
      </c>
      <c r="F74" s="7" t="s">
        <v>434</v>
      </c>
      <c r="G74" s="7" t="s">
        <v>264</v>
      </c>
      <c r="H74" s="7" t="s">
        <v>35</v>
      </c>
      <c r="I74" s="8">
        <v>510960</v>
      </c>
      <c r="J74" s="7" t="s">
        <v>436</v>
      </c>
      <c r="K74" s="44">
        <v>8</v>
      </c>
      <c r="L74" s="44">
        <v>1</v>
      </c>
      <c r="M74" s="44">
        <v>10</v>
      </c>
      <c r="N74" s="8" t="s">
        <v>146</v>
      </c>
      <c r="O74" s="18">
        <v>44414</v>
      </c>
      <c r="P74" s="8" t="s">
        <v>141</v>
      </c>
      <c r="Q74" s="1">
        <f t="shared" si="1"/>
        <v>1</v>
      </c>
      <c r="R74" s="16" t="s">
        <v>701</v>
      </c>
      <c r="W74" t="s">
        <v>891</v>
      </c>
    </row>
    <row r="75" spans="1:23" x14ac:dyDescent="0.25">
      <c r="A75" s="1">
        <v>66</v>
      </c>
      <c r="C75" s="7" t="s">
        <v>430</v>
      </c>
      <c r="D75" s="17">
        <v>23063</v>
      </c>
      <c r="E75" s="7" t="s">
        <v>11</v>
      </c>
      <c r="F75" s="7" t="s">
        <v>434</v>
      </c>
      <c r="G75" s="7" t="s">
        <v>264</v>
      </c>
      <c r="H75" s="7" t="s">
        <v>35</v>
      </c>
      <c r="I75" s="8">
        <v>510960</v>
      </c>
      <c r="J75" s="7" t="s">
        <v>436</v>
      </c>
      <c r="K75" s="44">
        <v>8</v>
      </c>
      <c r="L75" s="44">
        <v>1</v>
      </c>
      <c r="M75" s="44">
        <v>10</v>
      </c>
      <c r="N75" s="8" t="s">
        <v>149</v>
      </c>
      <c r="O75" s="18">
        <v>44417</v>
      </c>
      <c r="P75" s="8" t="s">
        <v>141</v>
      </c>
      <c r="Q75" s="1">
        <f t="shared" si="1"/>
        <v>1</v>
      </c>
      <c r="R75" s="16" t="s">
        <v>701</v>
      </c>
      <c r="W75" t="s">
        <v>891</v>
      </c>
    </row>
    <row r="76" spans="1:23" x14ac:dyDescent="0.25">
      <c r="A76" s="1">
        <v>67</v>
      </c>
      <c r="C76" s="7" t="s">
        <v>430</v>
      </c>
      <c r="D76" s="17">
        <v>23062</v>
      </c>
      <c r="E76" s="7" t="s">
        <v>11</v>
      </c>
      <c r="F76" s="7" t="s">
        <v>434</v>
      </c>
      <c r="G76" s="7" t="s">
        <v>264</v>
      </c>
      <c r="H76" s="7" t="s">
        <v>35</v>
      </c>
      <c r="I76" s="8">
        <v>510960</v>
      </c>
      <c r="J76" s="7" t="s">
        <v>436</v>
      </c>
      <c r="K76" s="44">
        <v>8</v>
      </c>
      <c r="L76" s="44">
        <v>1</v>
      </c>
      <c r="M76" s="44">
        <v>10</v>
      </c>
      <c r="N76" s="8" t="s">
        <v>151</v>
      </c>
      <c r="O76" s="18">
        <v>44418</v>
      </c>
      <c r="P76" s="8" t="s">
        <v>141</v>
      </c>
      <c r="Q76" s="1">
        <f t="shared" si="1"/>
        <v>1</v>
      </c>
      <c r="R76" s="16" t="s">
        <v>701</v>
      </c>
      <c r="W76" t="s">
        <v>891</v>
      </c>
    </row>
    <row r="77" spans="1:23" x14ac:dyDescent="0.25">
      <c r="A77" s="1">
        <v>68</v>
      </c>
      <c r="C77" s="7" t="s">
        <v>430</v>
      </c>
      <c r="D77" s="17">
        <v>23061</v>
      </c>
      <c r="E77" s="7" t="s">
        <v>11</v>
      </c>
      <c r="F77" s="7" t="s">
        <v>434</v>
      </c>
      <c r="G77" s="7" t="s">
        <v>264</v>
      </c>
      <c r="H77" s="7" t="s">
        <v>35</v>
      </c>
      <c r="I77" s="8">
        <v>510960</v>
      </c>
      <c r="J77" s="7" t="s">
        <v>436</v>
      </c>
      <c r="K77" s="44">
        <v>8</v>
      </c>
      <c r="L77" s="44">
        <v>1</v>
      </c>
      <c r="M77" s="44">
        <v>10</v>
      </c>
      <c r="N77" s="8" t="s">
        <v>152</v>
      </c>
      <c r="O77" s="18">
        <v>44419</v>
      </c>
      <c r="P77" s="8" t="s">
        <v>141</v>
      </c>
      <c r="Q77" s="1">
        <f t="shared" si="1"/>
        <v>1</v>
      </c>
      <c r="R77" s="16" t="s">
        <v>701</v>
      </c>
      <c r="W77" t="s">
        <v>891</v>
      </c>
    </row>
    <row r="78" spans="1:23" x14ac:dyDescent="0.25">
      <c r="A78" s="1">
        <v>69</v>
      </c>
      <c r="C78" s="7" t="s">
        <v>430</v>
      </c>
      <c r="D78" s="17">
        <v>23060</v>
      </c>
      <c r="E78" s="7" t="s">
        <v>11</v>
      </c>
      <c r="F78" s="7" t="s">
        <v>434</v>
      </c>
      <c r="G78" s="7" t="s">
        <v>264</v>
      </c>
      <c r="H78" s="7" t="s">
        <v>35</v>
      </c>
      <c r="I78" s="8">
        <v>510960</v>
      </c>
      <c r="J78" s="7" t="s">
        <v>436</v>
      </c>
      <c r="K78" s="44">
        <v>8</v>
      </c>
      <c r="L78" s="44">
        <v>1</v>
      </c>
      <c r="M78" s="44">
        <v>10</v>
      </c>
      <c r="N78" s="8" t="s">
        <v>153</v>
      </c>
      <c r="O78" s="18">
        <v>44420</v>
      </c>
      <c r="P78" s="8" t="s">
        <v>141</v>
      </c>
      <c r="Q78" s="1">
        <f t="shared" si="1"/>
        <v>1</v>
      </c>
      <c r="R78" s="16" t="s">
        <v>701</v>
      </c>
      <c r="W78" t="s">
        <v>891</v>
      </c>
    </row>
    <row r="79" spans="1:23" x14ac:dyDescent="0.25">
      <c r="A79" s="1">
        <v>70</v>
      </c>
      <c r="C79" s="7" t="s">
        <v>430</v>
      </c>
      <c r="D79" s="17">
        <v>23059</v>
      </c>
      <c r="E79" s="7" t="s">
        <v>11</v>
      </c>
      <c r="F79" s="7" t="s">
        <v>434</v>
      </c>
      <c r="G79" s="7" t="s">
        <v>264</v>
      </c>
      <c r="H79" s="7" t="s">
        <v>35</v>
      </c>
      <c r="I79" s="8">
        <v>510960</v>
      </c>
      <c r="J79" s="7" t="s">
        <v>436</v>
      </c>
      <c r="K79" s="44">
        <v>8</v>
      </c>
      <c r="L79" s="44">
        <v>1</v>
      </c>
      <c r="M79" s="44">
        <v>10</v>
      </c>
      <c r="N79" s="8" t="s">
        <v>429</v>
      </c>
      <c r="O79" s="18">
        <v>44421</v>
      </c>
      <c r="P79" s="8" t="s">
        <v>141</v>
      </c>
      <c r="Q79" s="1">
        <f t="shared" si="1"/>
        <v>1</v>
      </c>
      <c r="R79" s="16" t="s">
        <v>701</v>
      </c>
      <c r="W79" t="s">
        <v>891</v>
      </c>
    </row>
    <row r="80" spans="1:23" x14ac:dyDescent="0.25">
      <c r="A80" s="1">
        <v>71</v>
      </c>
      <c r="C80" s="7" t="s">
        <v>430</v>
      </c>
      <c r="D80" s="17">
        <v>23058</v>
      </c>
      <c r="E80" s="7" t="s">
        <v>11</v>
      </c>
      <c r="F80" s="7" t="s">
        <v>434</v>
      </c>
      <c r="G80" s="7" t="s">
        <v>264</v>
      </c>
      <c r="H80" s="7" t="s">
        <v>35</v>
      </c>
      <c r="I80" s="8">
        <v>510960</v>
      </c>
      <c r="J80" s="7" t="s">
        <v>436</v>
      </c>
      <c r="K80" s="44">
        <v>8</v>
      </c>
      <c r="L80" s="44">
        <v>1</v>
      </c>
      <c r="M80" s="44">
        <v>10</v>
      </c>
      <c r="N80" s="8" t="s">
        <v>154</v>
      </c>
      <c r="O80" s="18">
        <v>44424</v>
      </c>
      <c r="P80" s="8" t="s">
        <v>141</v>
      </c>
      <c r="Q80" s="1">
        <f t="shared" si="1"/>
        <v>1</v>
      </c>
      <c r="R80" s="16" t="s">
        <v>701</v>
      </c>
      <c r="W80" t="s">
        <v>891</v>
      </c>
    </row>
    <row r="81" spans="1:23" x14ac:dyDescent="0.25">
      <c r="A81" s="1">
        <v>72</v>
      </c>
      <c r="C81" s="7" t="s">
        <v>430</v>
      </c>
      <c r="D81" s="17">
        <v>23057</v>
      </c>
      <c r="E81" s="7" t="s">
        <v>11</v>
      </c>
      <c r="F81" s="7" t="s">
        <v>434</v>
      </c>
      <c r="G81" s="7" t="s">
        <v>264</v>
      </c>
      <c r="H81" s="7" t="s">
        <v>35</v>
      </c>
      <c r="I81" s="8">
        <v>510960</v>
      </c>
      <c r="J81" s="7" t="s">
        <v>436</v>
      </c>
      <c r="K81" s="44">
        <v>8</v>
      </c>
      <c r="L81" s="44">
        <v>1</v>
      </c>
      <c r="M81" s="44">
        <v>10</v>
      </c>
      <c r="N81" s="8" t="s">
        <v>155</v>
      </c>
      <c r="O81" s="18">
        <v>44425</v>
      </c>
      <c r="P81" s="8" t="s">
        <v>141</v>
      </c>
      <c r="Q81" s="1">
        <f t="shared" ref="Q81:Q116" si="2">IF(O81&lt;=$D$3,1,0)</f>
        <v>1</v>
      </c>
      <c r="R81" s="16" t="s">
        <v>701</v>
      </c>
      <c r="W81" t="s">
        <v>891</v>
      </c>
    </row>
    <row r="82" spans="1:23" x14ac:dyDescent="0.25">
      <c r="A82" s="1">
        <v>73</v>
      </c>
      <c r="C82" s="7" t="s">
        <v>430</v>
      </c>
      <c r="D82" s="17">
        <v>23056</v>
      </c>
      <c r="E82" s="7" t="s">
        <v>11</v>
      </c>
      <c r="F82" s="7" t="s">
        <v>434</v>
      </c>
      <c r="G82" s="7" t="s">
        <v>264</v>
      </c>
      <c r="H82" s="7" t="s">
        <v>35</v>
      </c>
      <c r="I82" s="8">
        <v>510960</v>
      </c>
      <c r="J82" s="7" t="s">
        <v>436</v>
      </c>
      <c r="K82" s="44">
        <v>8</v>
      </c>
      <c r="L82" s="44">
        <v>1</v>
      </c>
      <c r="M82" s="44">
        <v>10</v>
      </c>
      <c r="N82" s="8" t="s">
        <v>156</v>
      </c>
      <c r="O82" s="18">
        <v>44426</v>
      </c>
      <c r="P82" s="8" t="s">
        <v>141</v>
      </c>
      <c r="Q82" s="1">
        <f t="shared" si="2"/>
        <v>1</v>
      </c>
      <c r="R82" s="16" t="s">
        <v>701</v>
      </c>
      <c r="W82" t="s">
        <v>891</v>
      </c>
    </row>
    <row r="83" spans="1:23" x14ac:dyDescent="0.25">
      <c r="A83" s="1">
        <v>74</v>
      </c>
      <c r="C83" s="7" t="s">
        <v>430</v>
      </c>
      <c r="D83" s="17">
        <v>23055</v>
      </c>
      <c r="E83" s="7" t="s">
        <v>11</v>
      </c>
      <c r="F83" s="7" t="s">
        <v>434</v>
      </c>
      <c r="G83" s="7" t="s">
        <v>264</v>
      </c>
      <c r="H83" s="7" t="s">
        <v>35</v>
      </c>
      <c r="I83" s="8">
        <v>510960</v>
      </c>
      <c r="J83" s="7" t="s">
        <v>436</v>
      </c>
      <c r="K83" s="44">
        <v>8</v>
      </c>
      <c r="L83" s="44">
        <v>1</v>
      </c>
      <c r="M83" s="44">
        <v>10</v>
      </c>
      <c r="N83" s="8" t="s">
        <v>157</v>
      </c>
      <c r="O83" s="18">
        <v>44427</v>
      </c>
      <c r="P83" s="8" t="s">
        <v>141</v>
      </c>
      <c r="Q83" s="1">
        <f t="shared" si="2"/>
        <v>1</v>
      </c>
      <c r="R83" s="16" t="s">
        <v>701</v>
      </c>
      <c r="W83" t="s">
        <v>891</v>
      </c>
    </row>
    <row r="84" spans="1:23" x14ac:dyDescent="0.25">
      <c r="A84" s="1">
        <v>75</v>
      </c>
      <c r="C84" s="7" t="s">
        <v>430</v>
      </c>
      <c r="D84" s="17">
        <v>23054</v>
      </c>
      <c r="E84" s="7" t="s">
        <v>11</v>
      </c>
      <c r="F84" s="7" t="s">
        <v>434</v>
      </c>
      <c r="G84" s="7" t="s">
        <v>264</v>
      </c>
      <c r="H84" s="7" t="s">
        <v>35</v>
      </c>
      <c r="I84" s="8">
        <v>510960</v>
      </c>
      <c r="J84" s="7" t="s">
        <v>436</v>
      </c>
      <c r="K84" s="44">
        <v>8</v>
      </c>
      <c r="L84" s="44">
        <v>1</v>
      </c>
      <c r="M84" s="44">
        <v>10</v>
      </c>
      <c r="N84" s="8" t="s">
        <v>158</v>
      </c>
      <c r="O84" s="18">
        <v>44428</v>
      </c>
      <c r="P84" s="8" t="s">
        <v>141</v>
      </c>
      <c r="Q84" s="1">
        <f t="shared" si="2"/>
        <v>1</v>
      </c>
      <c r="R84" s="16" t="s">
        <v>701</v>
      </c>
      <c r="W84" t="s">
        <v>891</v>
      </c>
    </row>
    <row r="85" spans="1:23" x14ac:dyDescent="0.25">
      <c r="A85" s="1">
        <v>76</v>
      </c>
      <c r="C85" s="7" t="s">
        <v>430</v>
      </c>
      <c r="D85" s="17">
        <v>23053</v>
      </c>
      <c r="E85" s="7" t="s">
        <v>11</v>
      </c>
      <c r="F85" s="7" t="s">
        <v>434</v>
      </c>
      <c r="G85" s="7" t="s">
        <v>264</v>
      </c>
      <c r="H85" s="7" t="s">
        <v>35</v>
      </c>
      <c r="I85" s="8">
        <v>510960</v>
      </c>
      <c r="J85" s="7" t="s">
        <v>436</v>
      </c>
      <c r="K85" s="44">
        <v>8</v>
      </c>
      <c r="L85" s="44">
        <v>1</v>
      </c>
      <c r="M85" s="44">
        <v>10</v>
      </c>
      <c r="N85" s="8" t="s">
        <v>161</v>
      </c>
      <c r="O85" s="18">
        <v>44431</v>
      </c>
      <c r="P85" s="8" t="s">
        <v>141</v>
      </c>
      <c r="Q85" s="1">
        <f t="shared" si="2"/>
        <v>1</v>
      </c>
      <c r="R85" s="16" t="s">
        <v>701</v>
      </c>
      <c r="W85" t="s">
        <v>891</v>
      </c>
    </row>
    <row r="86" spans="1:23" x14ac:dyDescent="0.25">
      <c r="A86" s="1">
        <v>77</v>
      </c>
      <c r="C86" s="7" t="s">
        <v>430</v>
      </c>
      <c r="D86" s="17">
        <v>23052</v>
      </c>
      <c r="E86" s="7" t="s">
        <v>11</v>
      </c>
      <c r="F86" s="7" t="s">
        <v>434</v>
      </c>
      <c r="G86" s="7" t="s">
        <v>264</v>
      </c>
      <c r="H86" s="7" t="s">
        <v>35</v>
      </c>
      <c r="I86" s="8">
        <v>510960</v>
      </c>
      <c r="J86" s="7" t="s">
        <v>436</v>
      </c>
      <c r="K86" s="44">
        <v>8</v>
      </c>
      <c r="L86" s="44">
        <v>1</v>
      </c>
      <c r="M86" s="44">
        <v>10</v>
      </c>
      <c r="N86" s="8" t="s">
        <v>164</v>
      </c>
      <c r="O86" s="18">
        <v>44432</v>
      </c>
      <c r="P86" s="8" t="s">
        <v>141</v>
      </c>
      <c r="Q86" s="1">
        <f t="shared" si="2"/>
        <v>1</v>
      </c>
      <c r="R86" s="16" t="s">
        <v>701</v>
      </c>
      <c r="W86" t="s">
        <v>891</v>
      </c>
    </row>
    <row r="87" spans="1:23" x14ac:dyDescent="0.25">
      <c r="A87" s="1">
        <v>78</v>
      </c>
      <c r="C87" s="7" t="s">
        <v>430</v>
      </c>
      <c r="D87" s="17">
        <v>23051</v>
      </c>
      <c r="E87" s="7" t="s">
        <v>11</v>
      </c>
      <c r="F87" s="7" t="s">
        <v>434</v>
      </c>
      <c r="G87" s="7" t="s">
        <v>264</v>
      </c>
      <c r="H87" s="7" t="s">
        <v>35</v>
      </c>
      <c r="I87" s="8">
        <v>510960</v>
      </c>
      <c r="J87" s="7" t="s">
        <v>436</v>
      </c>
      <c r="K87" s="44">
        <v>8</v>
      </c>
      <c r="L87" s="44">
        <v>1</v>
      </c>
      <c r="M87" s="44">
        <v>10</v>
      </c>
      <c r="N87" s="8" t="s">
        <v>165</v>
      </c>
      <c r="O87" s="18">
        <v>44433</v>
      </c>
      <c r="P87" s="8" t="s">
        <v>141</v>
      </c>
      <c r="Q87" s="1">
        <f t="shared" si="2"/>
        <v>1</v>
      </c>
      <c r="R87" s="16" t="s">
        <v>701</v>
      </c>
      <c r="W87" t="s">
        <v>891</v>
      </c>
    </row>
    <row r="88" spans="1:23" x14ac:dyDescent="0.25">
      <c r="A88" s="1">
        <v>79</v>
      </c>
      <c r="C88" s="7" t="s">
        <v>430</v>
      </c>
      <c r="D88" s="17">
        <v>23050</v>
      </c>
      <c r="E88" s="7" t="s">
        <v>11</v>
      </c>
      <c r="F88" s="7" t="s">
        <v>434</v>
      </c>
      <c r="G88" s="7" t="s">
        <v>264</v>
      </c>
      <c r="H88" s="7" t="s">
        <v>35</v>
      </c>
      <c r="I88" s="8">
        <v>510960</v>
      </c>
      <c r="J88" s="7" t="s">
        <v>436</v>
      </c>
      <c r="K88" s="44">
        <v>8</v>
      </c>
      <c r="L88" s="44">
        <v>1</v>
      </c>
      <c r="M88" s="44">
        <v>10</v>
      </c>
      <c r="N88" s="8" t="s">
        <v>166</v>
      </c>
      <c r="O88" s="18">
        <v>44434</v>
      </c>
      <c r="P88" s="8" t="s">
        <v>141</v>
      </c>
      <c r="Q88" s="1">
        <f t="shared" si="2"/>
        <v>1</v>
      </c>
      <c r="R88" s="16" t="s">
        <v>701</v>
      </c>
      <c r="W88" t="s">
        <v>891</v>
      </c>
    </row>
    <row r="89" spans="1:23" x14ac:dyDescent="0.25">
      <c r="A89" s="1">
        <v>80</v>
      </c>
      <c r="C89" s="7" t="s">
        <v>430</v>
      </c>
      <c r="D89" s="17">
        <v>23049</v>
      </c>
      <c r="E89" s="7" t="s">
        <v>11</v>
      </c>
      <c r="F89" s="7" t="s">
        <v>434</v>
      </c>
      <c r="G89" s="7" t="s">
        <v>264</v>
      </c>
      <c r="H89" s="7" t="s">
        <v>35</v>
      </c>
      <c r="I89" s="8">
        <v>510960</v>
      </c>
      <c r="J89" s="7" t="s">
        <v>436</v>
      </c>
      <c r="K89" s="44">
        <v>8</v>
      </c>
      <c r="L89" s="44">
        <v>1</v>
      </c>
      <c r="M89" s="44">
        <v>10</v>
      </c>
      <c r="N89" s="8" t="s">
        <v>167</v>
      </c>
      <c r="O89" s="18">
        <v>44435</v>
      </c>
      <c r="P89" s="8" t="s">
        <v>141</v>
      </c>
      <c r="Q89" s="1">
        <f t="shared" si="2"/>
        <v>1</v>
      </c>
      <c r="R89" s="16" t="s">
        <v>701</v>
      </c>
      <c r="W89" t="s">
        <v>891</v>
      </c>
    </row>
    <row r="90" spans="1:23" x14ac:dyDescent="0.25">
      <c r="A90" s="1">
        <v>81</v>
      </c>
      <c r="C90" s="7" t="s">
        <v>430</v>
      </c>
      <c r="D90" s="17">
        <v>23048</v>
      </c>
      <c r="E90" s="7" t="s">
        <v>11</v>
      </c>
      <c r="F90" s="7" t="s">
        <v>434</v>
      </c>
      <c r="G90" s="7" t="s">
        <v>264</v>
      </c>
      <c r="H90" s="7" t="s">
        <v>35</v>
      </c>
      <c r="I90" s="8">
        <v>510960</v>
      </c>
      <c r="J90" s="7" t="s">
        <v>436</v>
      </c>
      <c r="K90" s="44">
        <v>8</v>
      </c>
      <c r="L90" s="44">
        <v>1</v>
      </c>
      <c r="M90" s="44">
        <v>10</v>
      </c>
      <c r="N90" s="8" t="s">
        <v>168</v>
      </c>
      <c r="O90" s="18">
        <v>44438</v>
      </c>
      <c r="P90" s="8" t="s">
        <v>141</v>
      </c>
      <c r="Q90" s="1">
        <f t="shared" si="2"/>
        <v>1</v>
      </c>
      <c r="R90" s="16" t="s">
        <v>701</v>
      </c>
      <c r="W90" t="s">
        <v>891</v>
      </c>
    </row>
    <row r="91" spans="1:23" x14ac:dyDescent="0.25">
      <c r="A91" s="1">
        <v>82</v>
      </c>
      <c r="C91" s="7" t="s">
        <v>430</v>
      </c>
      <c r="D91" s="17">
        <v>23047</v>
      </c>
      <c r="E91" s="7" t="s">
        <v>11</v>
      </c>
      <c r="F91" s="7" t="s">
        <v>434</v>
      </c>
      <c r="G91" s="7" t="s">
        <v>264</v>
      </c>
      <c r="H91" s="7" t="s">
        <v>35</v>
      </c>
      <c r="I91" s="8">
        <v>510960</v>
      </c>
      <c r="J91" s="7" t="s">
        <v>436</v>
      </c>
      <c r="K91" s="44">
        <v>8</v>
      </c>
      <c r="L91" s="44">
        <v>1</v>
      </c>
      <c r="M91" s="44">
        <v>10</v>
      </c>
      <c r="N91" s="8" t="s">
        <v>169</v>
      </c>
      <c r="O91" s="18">
        <v>44439</v>
      </c>
      <c r="P91" s="8" t="s">
        <v>141</v>
      </c>
      <c r="Q91" s="1">
        <f t="shared" si="2"/>
        <v>1</v>
      </c>
      <c r="R91" s="16" t="s">
        <v>701</v>
      </c>
      <c r="W91" t="s">
        <v>891</v>
      </c>
    </row>
    <row r="92" spans="1:23" x14ac:dyDescent="0.25">
      <c r="A92" s="1">
        <v>83</v>
      </c>
      <c r="C92" s="7" t="s">
        <v>430</v>
      </c>
      <c r="D92" s="17">
        <v>23046</v>
      </c>
      <c r="E92" s="7" t="s">
        <v>11</v>
      </c>
      <c r="F92" s="7" t="s">
        <v>434</v>
      </c>
      <c r="G92" s="7" t="s">
        <v>264</v>
      </c>
      <c r="H92" s="7" t="s">
        <v>35</v>
      </c>
      <c r="I92" s="8">
        <v>510960</v>
      </c>
      <c r="J92" s="7" t="s">
        <v>436</v>
      </c>
      <c r="K92" s="44">
        <v>8</v>
      </c>
      <c r="L92" s="44">
        <v>1</v>
      </c>
      <c r="M92" s="44">
        <v>10</v>
      </c>
      <c r="N92" s="8" t="s">
        <v>170</v>
      </c>
      <c r="O92" s="18">
        <v>44440</v>
      </c>
      <c r="P92" s="8" t="s">
        <v>173</v>
      </c>
      <c r="Q92" s="1">
        <f t="shared" si="2"/>
        <v>1</v>
      </c>
      <c r="R92" s="16" t="s">
        <v>701</v>
      </c>
      <c r="W92" t="s">
        <v>891</v>
      </c>
    </row>
    <row r="93" spans="1:23" x14ac:dyDescent="0.25">
      <c r="A93" s="1">
        <v>84</v>
      </c>
      <c r="C93" s="7" t="s">
        <v>430</v>
      </c>
      <c r="D93" s="17">
        <v>23045</v>
      </c>
      <c r="E93" s="7" t="s">
        <v>11</v>
      </c>
      <c r="F93" s="7" t="s">
        <v>434</v>
      </c>
      <c r="G93" s="7" t="s">
        <v>264</v>
      </c>
      <c r="H93" s="7" t="s">
        <v>35</v>
      </c>
      <c r="I93" s="8">
        <v>510960</v>
      </c>
      <c r="J93" s="7" t="s">
        <v>436</v>
      </c>
      <c r="K93" s="44">
        <v>8</v>
      </c>
      <c r="L93" s="44">
        <v>1</v>
      </c>
      <c r="M93" s="44">
        <v>10</v>
      </c>
      <c r="N93" s="8" t="s">
        <v>172</v>
      </c>
      <c r="O93" s="18">
        <v>44441</v>
      </c>
      <c r="P93" s="8" t="s">
        <v>173</v>
      </c>
      <c r="Q93" s="1">
        <f t="shared" si="2"/>
        <v>1</v>
      </c>
      <c r="R93" s="16" t="s">
        <v>701</v>
      </c>
      <c r="W93" t="s">
        <v>891</v>
      </c>
    </row>
    <row r="94" spans="1:23" x14ac:dyDescent="0.25">
      <c r="A94" s="1">
        <v>85</v>
      </c>
      <c r="C94" s="7" t="s">
        <v>430</v>
      </c>
      <c r="D94" s="17">
        <v>23044</v>
      </c>
      <c r="E94" s="7" t="s">
        <v>11</v>
      </c>
      <c r="F94" s="7" t="s">
        <v>434</v>
      </c>
      <c r="G94" s="7" t="s">
        <v>264</v>
      </c>
      <c r="H94" s="7" t="s">
        <v>35</v>
      </c>
      <c r="I94" s="8">
        <v>510960</v>
      </c>
      <c r="J94" s="7" t="s">
        <v>436</v>
      </c>
      <c r="K94" s="44">
        <v>8</v>
      </c>
      <c r="L94" s="44">
        <v>1</v>
      </c>
      <c r="M94" s="44">
        <v>10</v>
      </c>
      <c r="N94" s="8" t="s">
        <v>174</v>
      </c>
      <c r="O94" s="18">
        <v>44442</v>
      </c>
      <c r="P94" s="8" t="s">
        <v>173</v>
      </c>
      <c r="Q94" s="1">
        <f t="shared" si="2"/>
        <v>1</v>
      </c>
      <c r="R94" s="16" t="s">
        <v>701</v>
      </c>
      <c r="W94" t="s">
        <v>891</v>
      </c>
    </row>
    <row r="95" spans="1:23" x14ac:dyDescent="0.25">
      <c r="A95" s="1">
        <v>86</v>
      </c>
      <c r="C95" s="7" t="s">
        <v>430</v>
      </c>
      <c r="D95" s="17">
        <v>23043</v>
      </c>
      <c r="E95" s="7" t="s">
        <v>11</v>
      </c>
      <c r="F95" s="7" t="s">
        <v>434</v>
      </c>
      <c r="G95" s="7" t="s">
        <v>264</v>
      </c>
      <c r="H95" s="7" t="s">
        <v>35</v>
      </c>
      <c r="I95" s="8">
        <v>510960</v>
      </c>
      <c r="J95" s="7" t="s">
        <v>436</v>
      </c>
      <c r="K95" s="44">
        <v>8</v>
      </c>
      <c r="L95" s="44">
        <v>1</v>
      </c>
      <c r="M95" s="44">
        <v>10</v>
      </c>
      <c r="N95" s="8" t="s">
        <v>177</v>
      </c>
      <c r="O95" s="18">
        <v>44445</v>
      </c>
      <c r="P95" s="8" t="s">
        <v>173</v>
      </c>
      <c r="Q95" s="1">
        <f t="shared" si="2"/>
        <v>1</v>
      </c>
      <c r="R95" s="16" t="s">
        <v>701</v>
      </c>
      <c r="W95" t="s">
        <v>891</v>
      </c>
    </row>
    <row r="96" spans="1:23" x14ac:dyDescent="0.25">
      <c r="A96" s="1">
        <v>87</v>
      </c>
      <c r="C96" s="7" t="s">
        <v>430</v>
      </c>
      <c r="D96" s="17">
        <v>23042</v>
      </c>
      <c r="E96" s="7" t="s">
        <v>11</v>
      </c>
      <c r="F96" s="7" t="s">
        <v>434</v>
      </c>
      <c r="G96" s="7" t="s">
        <v>264</v>
      </c>
      <c r="H96" s="7" t="s">
        <v>35</v>
      </c>
      <c r="I96" s="8">
        <v>510960</v>
      </c>
      <c r="J96" s="7" t="s">
        <v>436</v>
      </c>
      <c r="K96" s="44">
        <v>8</v>
      </c>
      <c r="L96" s="44">
        <v>1</v>
      </c>
      <c r="M96" s="44">
        <v>10</v>
      </c>
      <c r="N96" s="8" t="s">
        <v>181</v>
      </c>
      <c r="O96" s="18">
        <v>44446</v>
      </c>
      <c r="P96" s="8" t="s">
        <v>173</v>
      </c>
      <c r="Q96" s="1">
        <f t="shared" si="2"/>
        <v>1</v>
      </c>
      <c r="R96" s="16" t="s">
        <v>701</v>
      </c>
      <c r="W96" t="s">
        <v>891</v>
      </c>
    </row>
    <row r="97" spans="1:23" x14ac:dyDescent="0.25">
      <c r="A97" s="1">
        <v>88</v>
      </c>
      <c r="C97" s="7" t="s">
        <v>430</v>
      </c>
      <c r="D97" s="17">
        <v>23041</v>
      </c>
      <c r="E97" s="7" t="s">
        <v>11</v>
      </c>
      <c r="F97" s="7" t="s">
        <v>434</v>
      </c>
      <c r="G97" s="7" t="s">
        <v>264</v>
      </c>
      <c r="H97" s="7" t="s">
        <v>35</v>
      </c>
      <c r="I97" s="8">
        <v>510960</v>
      </c>
      <c r="J97" s="7" t="s">
        <v>436</v>
      </c>
      <c r="K97" s="44">
        <v>8</v>
      </c>
      <c r="L97" s="44">
        <v>1</v>
      </c>
      <c r="M97" s="44">
        <v>10</v>
      </c>
      <c r="N97" s="8" t="s">
        <v>179</v>
      </c>
      <c r="O97" s="18">
        <v>44447</v>
      </c>
      <c r="P97" s="8" t="s">
        <v>173</v>
      </c>
      <c r="Q97" s="1">
        <f t="shared" si="2"/>
        <v>1</v>
      </c>
      <c r="R97" s="16" t="s">
        <v>701</v>
      </c>
      <c r="W97" t="s">
        <v>891</v>
      </c>
    </row>
    <row r="98" spans="1:23" x14ac:dyDescent="0.25">
      <c r="A98" s="1">
        <v>89</v>
      </c>
      <c r="C98" s="7" t="s">
        <v>430</v>
      </c>
      <c r="D98" s="17">
        <v>23040</v>
      </c>
      <c r="E98" s="7" t="s">
        <v>11</v>
      </c>
      <c r="F98" s="7" t="s">
        <v>434</v>
      </c>
      <c r="G98" s="7" t="s">
        <v>264</v>
      </c>
      <c r="H98" s="7" t="s">
        <v>35</v>
      </c>
      <c r="I98" s="8">
        <v>510960</v>
      </c>
      <c r="J98" s="7" t="s">
        <v>436</v>
      </c>
      <c r="K98" s="44">
        <v>8</v>
      </c>
      <c r="L98" s="44">
        <v>1</v>
      </c>
      <c r="M98" s="44">
        <v>10</v>
      </c>
      <c r="N98" s="8" t="s">
        <v>180</v>
      </c>
      <c r="O98" s="18">
        <v>44448</v>
      </c>
      <c r="P98" s="8" t="s">
        <v>173</v>
      </c>
      <c r="Q98" s="1">
        <f t="shared" si="2"/>
        <v>1</v>
      </c>
      <c r="R98" s="16" t="s">
        <v>701</v>
      </c>
      <c r="W98" t="s">
        <v>891</v>
      </c>
    </row>
    <row r="99" spans="1:23" x14ac:dyDescent="0.25">
      <c r="A99" s="1">
        <v>91</v>
      </c>
      <c r="C99" s="7" t="s">
        <v>430</v>
      </c>
      <c r="D99" s="17">
        <v>21902</v>
      </c>
      <c r="E99" s="7" t="s">
        <v>11</v>
      </c>
      <c r="F99" s="7" t="s">
        <v>434</v>
      </c>
      <c r="G99" s="7" t="s">
        <v>40</v>
      </c>
      <c r="H99" s="7" t="s">
        <v>35</v>
      </c>
      <c r="I99" s="8">
        <v>510960</v>
      </c>
      <c r="J99" s="7" t="s">
        <v>436</v>
      </c>
      <c r="K99" s="44">
        <v>24</v>
      </c>
      <c r="L99" s="44">
        <v>3</v>
      </c>
      <c r="M99" s="44">
        <v>5</v>
      </c>
      <c r="N99" s="8" t="s">
        <v>184</v>
      </c>
      <c r="O99" s="18">
        <v>44454</v>
      </c>
      <c r="P99" s="8" t="s">
        <v>173</v>
      </c>
      <c r="Q99" s="1">
        <f t="shared" si="2"/>
        <v>1</v>
      </c>
      <c r="R99" s="16" t="s">
        <v>701</v>
      </c>
      <c r="W99" t="s">
        <v>901</v>
      </c>
    </row>
    <row r="100" spans="1:23" x14ac:dyDescent="0.25">
      <c r="A100" s="1">
        <v>92</v>
      </c>
      <c r="C100" s="7" t="s">
        <v>430</v>
      </c>
      <c r="D100" s="17">
        <v>21876</v>
      </c>
      <c r="E100" s="7" t="s">
        <v>11</v>
      </c>
      <c r="F100" s="7" t="s">
        <v>434</v>
      </c>
      <c r="G100" s="7" t="s">
        <v>89</v>
      </c>
      <c r="H100" s="7" t="s">
        <v>35</v>
      </c>
      <c r="I100" s="8">
        <v>510960</v>
      </c>
      <c r="J100" s="7" t="s">
        <v>436</v>
      </c>
      <c r="K100" s="44">
        <v>16</v>
      </c>
      <c r="L100" s="44">
        <v>2</v>
      </c>
      <c r="M100" s="44">
        <v>17</v>
      </c>
      <c r="N100" s="8" t="s">
        <v>188</v>
      </c>
      <c r="O100" s="18">
        <v>44456</v>
      </c>
      <c r="P100" s="8" t="s">
        <v>173</v>
      </c>
      <c r="Q100" s="1">
        <f t="shared" si="2"/>
        <v>1</v>
      </c>
      <c r="R100" s="16" t="s">
        <v>701</v>
      </c>
      <c r="W100" t="s">
        <v>901</v>
      </c>
    </row>
    <row r="101" spans="1:23" x14ac:dyDescent="0.25">
      <c r="A101" s="1">
        <v>93</v>
      </c>
      <c r="C101" s="7" t="s">
        <v>430</v>
      </c>
      <c r="D101" s="17">
        <v>21901</v>
      </c>
      <c r="E101" s="7" t="s">
        <v>11</v>
      </c>
      <c r="F101" s="7" t="s">
        <v>434</v>
      </c>
      <c r="G101" s="7" t="s">
        <v>40</v>
      </c>
      <c r="H101" s="7" t="s">
        <v>35</v>
      </c>
      <c r="I101" s="8">
        <v>510960</v>
      </c>
      <c r="J101" s="7" t="s">
        <v>436</v>
      </c>
      <c r="K101" s="44">
        <v>24</v>
      </c>
      <c r="L101" s="44">
        <v>3</v>
      </c>
      <c r="M101" s="44">
        <v>20</v>
      </c>
      <c r="N101" s="8" t="s">
        <v>361</v>
      </c>
      <c r="O101" s="18">
        <v>44461</v>
      </c>
      <c r="P101" s="8" t="s">
        <v>173</v>
      </c>
      <c r="Q101" s="1">
        <f t="shared" si="2"/>
        <v>1</v>
      </c>
      <c r="R101" s="16" t="s">
        <v>701</v>
      </c>
      <c r="W101" t="s">
        <v>901</v>
      </c>
    </row>
    <row r="102" spans="1:23" x14ac:dyDescent="0.25">
      <c r="A102" s="1">
        <v>94</v>
      </c>
      <c r="C102" s="7" t="s">
        <v>430</v>
      </c>
      <c r="D102" s="17">
        <v>21875</v>
      </c>
      <c r="E102" s="7" t="s">
        <v>11</v>
      </c>
      <c r="F102" s="7" t="s">
        <v>434</v>
      </c>
      <c r="G102" s="7" t="s">
        <v>89</v>
      </c>
      <c r="H102" s="7" t="s">
        <v>35</v>
      </c>
      <c r="I102" s="8">
        <v>510960</v>
      </c>
      <c r="J102" s="7" t="s">
        <v>436</v>
      </c>
      <c r="K102" s="44">
        <v>16</v>
      </c>
      <c r="L102" s="44">
        <v>2</v>
      </c>
      <c r="M102" s="44">
        <v>20</v>
      </c>
      <c r="N102" s="8" t="s">
        <v>192</v>
      </c>
      <c r="O102" s="18">
        <v>44463</v>
      </c>
      <c r="P102" s="8" t="s">
        <v>173</v>
      </c>
      <c r="Q102" s="1">
        <f t="shared" si="2"/>
        <v>1</v>
      </c>
      <c r="R102" s="16" t="s">
        <v>701</v>
      </c>
      <c r="W102" t="s">
        <v>901</v>
      </c>
    </row>
    <row r="103" spans="1:23" x14ac:dyDescent="0.25">
      <c r="A103" s="1">
        <v>95</v>
      </c>
      <c r="C103" s="7" t="s">
        <v>430</v>
      </c>
      <c r="D103" s="17">
        <v>21900</v>
      </c>
      <c r="E103" s="7" t="s">
        <v>11</v>
      </c>
      <c r="F103" s="7" t="s">
        <v>434</v>
      </c>
      <c r="G103" s="7" t="s">
        <v>40</v>
      </c>
      <c r="H103" s="7" t="s">
        <v>35</v>
      </c>
      <c r="I103" s="8">
        <v>510960</v>
      </c>
      <c r="J103" s="7" t="s">
        <v>436</v>
      </c>
      <c r="K103" s="44">
        <v>24</v>
      </c>
      <c r="L103" s="44">
        <v>3</v>
      </c>
      <c r="M103" s="44">
        <v>20</v>
      </c>
      <c r="N103" s="8" t="s">
        <v>195</v>
      </c>
      <c r="O103" s="18">
        <v>44468</v>
      </c>
      <c r="P103" s="8" t="s">
        <v>173</v>
      </c>
      <c r="Q103" s="1">
        <f t="shared" si="2"/>
        <v>1</v>
      </c>
      <c r="R103" s="16" t="s">
        <v>701</v>
      </c>
      <c r="W103" t="s">
        <v>901</v>
      </c>
    </row>
    <row r="104" spans="1:23" x14ac:dyDescent="0.25">
      <c r="A104" s="1">
        <v>96</v>
      </c>
      <c r="C104" s="7" t="s">
        <v>430</v>
      </c>
      <c r="D104" s="17">
        <v>21874</v>
      </c>
      <c r="E104" s="7" t="s">
        <v>11</v>
      </c>
      <c r="F104" s="7" t="s">
        <v>434</v>
      </c>
      <c r="G104" s="7" t="s">
        <v>89</v>
      </c>
      <c r="H104" s="7" t="s">
        <v>35</v>
      </c>
      <c r="I104" s="8">
        <v>510960</v>
      </c>
      <c r="J104" s="7" t="s">
        <v>436</v>
      </c>
      <c r="K104" s="44">
        <v>16</v>
      </c>
      <c r="L104" s="44">
        <v>2</v>
      </c>
      <c r="M104" s="44">
        <v>20</v>
      </c>
      <c r="N104" s="8" t="s">
        <v>198</v>
      </c>
      <c r="O104" s="18">
        <v>44470</v>
      </c>
      <c r="P104" s="8" t="s">
        <v>173</v>
      </c>
      <c r="Q104" s="1">
        <f t="shared" si="2"/>
        <v>1</v>
      </c>
      <c r="R104" s="16" t="s">
        <v>701</v>
      </c>
      <c r="W104" t="s">
        <v>901</v>
      </c>
    </row>
    <row r="105" spans="1:23" x14ac:dyDescent="0.25">
      <c r="A105" s="1">
        <v>97</v>
      </c>
      <c r="C105" s="7" t="s">
        <v>430</v>
      </c>
      <c r="D105" s="17">
        <v>21899</v>
      </c>
      <c r="E105" s="7" t="s">
        <v>11</v>
      </c>
      <c r="F105" s="7" t="s">
        <v>434</v>
      </c>
      <c r="G105" s="7" t="s">
        <v>40</v>
      </c>
      <c r="H105" s="7" t="s">
        <v>35</v>
      </c>
      <c r="I105" s="8">
        <v>510960</v>
      </c>
      <c r="J105" s="7" t="s">
        <v>436</v>
      </c>
      <c r="K105" s="44">
        <v>24</v>
      </c>
      <c r="L105" s="44">
        <v>3</v>
      </c>
      <c r="M105" s="44">
        <v>20</v>
      </c>
      <c r="N105" s="8" t="s">
        <v>327</v>
      </c>
      <c r="O105" s="18">
        <v>44475</v>
      </c>
      <c r="P105" s="8" t="s">
        <v>202</v>
      </c>
      <c r="Q105" s="1">
        <f t="shared" si="2"/>
        <v>1</v>
      </c>
      <c r="R105" s="16" t="s">
        <v>701</v>
      </c>
      <c r="W105" t="s">
        <v>901</v>
      </c>
    </row>
    <row r="106" spans="1:23" x14ac:dyDescent="0.25">
      <c r="A106" s="1">
        <v>98</v>
      </c>
      <c r="C106" s="7" t="s">
        <v>430</v>
      </c>
      <c r="D106" s="17">
        <v>21873</v>
      </c>
      <c r="E106" s="7" t="s">
        <v>11</v>
      </c>
      <c r="F106" s="7" t="s">
        <v>434</v>
      </c>
      <c r="G106" s="7" t="s">
        <v>89</v>
      </c>
      <c r="H106" s="7" t="s">
        <v>35</v>
      </c>
      <c r="I106" s="8">
        <v>510960</v>
      </c>
      <c r="J106" s="7" t="s">
        <v>436</v>
      </c>
      <c r="K106" s="44">
        <v>16</v>
      </c>
      <c r="L106" s="44">
        <v>2</v>
      </c>
      <c r="M106" s="44">
        <v>20</v>
      </c>
      <c r="N106" s="244">
        <v>44474</v>
      </c>
      <c r="O106" s="244">
        <v>44475</v>
      </c>
      <c r="P106" s="8" t="s">
        <v>202</v>
      </c>
      <c r="Q106" s="1">
        <f t="shared" si="2"/>
        <v>1</v>
      </c>
      <c r="R106" s="170" t="s">
        <v>699</v>
      </c>
      <c r="S106" s="1">
        <v>9</v>
      </c>
      <c r="W106" t="s">
        <v>901</v>
      </c>
    </row>
    <row r="107" spans="1:23" x14ac:dyDescent="0.25">
      <c r="A107" s="1">
        <v>99</v>
      </c>
      <c r="C107" s="7" t="s">
        <v>430</v>
      </c>
      <c r="D107" s="17">
        <v>21898</v>
      </c>
      <c r="E107" s="7" t="s">
        <v>11</v>
      </c>
      <c r="F107" s="7" t="s">
        <v>434</v>
      </c>
      <c r="G107" s="7" t="s">
        <v>40</v>
      </c>
      <c r="H107" s="7" t="s">
        <v>35</v>
      </c>
      <c r="I107" s="8">
        <v>510960</v>
      </c>
      <c r="J107" s="7" t="s">
        <v>436</v>
      </c>
      <c r="K107" s="44">
        <v>24</v>
      </c>
      <c r="L107" s="44">
        <v>3</v>
      </c>
      <c r="M107" s="44">
        <v>20</v>
      </c>
      <c r="N107" s="8" t="s">
        <v>208</v>
      </c>
      <c r="O107" s="18">
        <v>44482</v>
      </c>
      <c r="P107" s="8" t="s">
        <v>202</v>
      </c>
      <c r="Q107" s="1">
        <f t="shared" si="2"/>
        <v>1</v>
      </c>
      <c r="R107" s="16" t="s">
        <v>701</v>
      </c>
      <c r="W107" t="s">
        <v>901</v>
      </c>
    </row>
    <row r="108" spans="1:23" x14ac:dyDescent="0.25">
      <c r="A108" s="1">
        <v>100</v>
      </c>
      <c r="C108" s="7" t="s">
        <v>430</v>
      </c>
      <c r="D108" s="17">
        <v>21897</v>
      </c>
      <c r="E108" s="7" t="s">
        <v>11</v>
      </c>
      <c r="F108" s="7" t="s">
        <v>434</v>
      </c>
      <c r="G108" s="7" t="s">
        <v>40</v>
      </c>
      <c r="H108" s="7" t="s">
        <v>35</v>
      </c>
      <c r="I108" s="8">
        <v>510960</v>
      </c>
      <c r="J108" s="7" t="s">
        <v>436</v>
      </c>
      <c r="K108" s="44">
        <v>24</v>
      </c>
      <c r="L108" s="44">
        <v>3</v>
      </c>
      <c r="M108" s="44">
        <v>20</v>
      </c>
      <c r="N108" s="8" t="s">
        <v>333</v>
      </c>
      <c r="O108" s="18">
        <v>44489</v>
      </c>
      <c r="P108" s="8" t="s">
        <v>202</v>
      </c>
      <c r="Q108" s="1">
        <f t="shared" si="2"/>
        <v>1</v>
      </c>
      <c r="R108" s="16" t="s">
        <v>701</v>
      </c>
      <c r="W108" t="s">
        <v>891</v>
      </c>
    </row>
    <row r="109" spans="1:23" x14ac:dyDescent="0.25">
      <c r="A109" s="1">
        <v>101</v>
      </c>
      <c r="C109" s="7" t="s">
        <v>430</v>
      </c>
      <c r="D109" s="17">
        <v>21896</v>
      </c>
      <c r="E109" s="7" t="s">
        <v>11</v>
      </c>
      <c r="F109" s="7" t="s">
        <v>434</v>
      </c>
      <c r="G109" s="7" t="s">
        <v>40</v>
      </c>
      <c r="H109" s="7" t="s">
        <v>35</v>
      </c>
      <c r="I109" s="8">
        <v>510960</v>
      </c>
      <c r="J109" s="7" t="s">
        <v>436</v>
      </c>
      <c r="K109" s="44">
        <v>24</v>
      </c>
      <c r="L109" s="44">
        <v>3</v>
      </c>
      <c r="M109" s="44">
        <v>20</v>
      </c>
      <c r="N109" s="8" t="s">
        <v>220</v>
      </c>
      <c r="O109" s="18">
        <v>44496</v>
      </c>
      <c r="P109" s="8" t="s">
        <v>202</v>
      </c>
      <c r="Q109" s="1">
        <f t="shared" si="2"/>
        <v>1</v>
      </c>
      <c r="R109" s="16" t="s">
        <v>701</v>
      </c>
      <c r="W109" t="s">
        <v>891</v>
      </c>
    </row>
    <row r="110" spans="1:23" x14ac:dyDescent="0.25">
      <c r="A110" s="1">
        <v>102</v>
      </c>
      <c r="C110" s="7" t="s">
        <v>430</v>
      </c>
      <c r="D110" s="17">
        <v>21895</v>
      </c>
      <c r="E110" s="7" t="s">
        <v>11</v>
      </c>
      <c r="F110" s="7" t="s">
        <v>434</v>
      </c>
      <c r="G110" s="7" t="s">
        <v>40</v>
      </c>
      <c r="H110" s="7" t="s">
        <v>35</v>
      </c>
      <c r="I110" s="8">
        <v>510960</v>
      </c>
      <c r="J110" s="7" t="s">
        <v>436</v>
      </c>
      <c r="K110" s="44">
        <v>24</v>
      </c>
      <c r="L110" s="44">
        <v>3</v>
      </c>
      <c r="M110" s="44">
        <v>20</v>
      </c>
      <c r="N110" s="8" t="s">
        <v>226</v>
      </c>
      <c r="O110" s="18">
        <v>44505</v>
      </c>
      <c r="P110" s="8" t="s">
        <v>227</v>
      </c>
      <c r="Q110" s="1">
        <f t="shared" si="2"/>
        <v>1</v>
      </c>
      <c r="R110" s="16" t="s">
        <v>701</v>
      </c>
      <c r="W110" t="s">
        <v>891</v>
      </c>
    </row>
    <row r="111" spans="1:23" x14ac:dyDescent="0.25">
      <c r="A111" s="1">
        <v>103</v>
      </c>
      <c r="C111" s="7" t="s">
        <v>430</v>
      </c>
      <c r="D111" s="17">
        <v>21894</v>
      </c>
      <c r="E111" s="7" t="s">
        <v>11</v>
      </c>
      <c r="F111" s="7" t="s">
        <v>434</v>
      </c>
      <c r="G111" s="7" t="s">
        <v>40</v>
      </c>
      <c r="H111" s="7" t="s">
        <v>35</v>
      </c>
      <c r="I111" s="8">
        <v>510960</v>
      </c>
      <c r="J111" s="7" t="s">
        <v>436</v>
      </c>
      <c r="K111" s="44">
        <v>24</v>
      </c>
      <c r="L111" s="44">
        <v>3</v>
      </c>
      <c r="M111" s="44">
        <v>20</v>
      </c>
      <c r="N111" s="8" t="s">
        <v>230</v>
      </c>
      <c r="O111" s="18">
        <v>44510</v>
      </c>
      <c r="P111" s="8" t="s">
        <v>227</v>
      </c>
      <c r="Q111" s="1">
        <f t="shared" si="2"/>
        <v>1</v>
      </c>
      <c r="R111" s="16" t="s">
        <v>701</v>
      </c>
      <c r="W111" t="s">
        <v>891</v>
      </c>
    </row>
    <row r="112" spans="1:23" x14ac:dyDescent="0.25">
      <c r="A112" s="1">
        <v>104</v>
      </c>
      <c r="C112" s="7" t="s">
        <v>430</v>
      </c>
      <c r="D112" s="17">
        <v>21893</v>
      </c>
      <c r="E112" s="7" t="s">
        <v>11</v>
      </c>
      <c r="F112" s="7" t="s">
        <v>434</v>
      </c>
      <c r="G112" s="7" t="s">
        <v>40</v>
      </c>
      <c r="H112" s="7" t="s">
        <v>35</v>
      </c>
      <c r="I112" s="8">
        <v>510960</v>
      </c>
      <c r="J112" s="7" t="s">
        <v>436</v>
      </c>
      <c r="K112" s="44">
        <v>24</v>
      </c>
      <c r="L112" s="44">
        <v>3</v>
      </c>
      <c r="M112" s="44">
        <v>20</v>
      </c>
      <c r="N112" s="8" t="s">
        <v>236</v>
      </c>
      <c r="O112" s="18">
        <v>44517</v>
      </c>
      <c r="P112" s="8" t="s">
        <v>227</v>
      </c>
      <c r="Q112" s="1">
        <f t="shared" si="2"/>
        <v>1</v>
      </c>
      <c r="R112" s="16" t="s">
        <v>701</v>
      </c>
      <c r="W112" t="s">
        <v>891</v>
      </c>
    </row>
    <row r="113" spans="1:23" x14ac:dyDescent="0.25">
      <c r="A113" s="1">
        <v>105</v>
      </c>
      <c r="C113" s="7" t="s">
        <v>430</v>
      </c>
      <c r="D113" s="17">
        <v>21828</v>
      </c>
      <c r="E113" s="7" t="s">
        <v>11</v>
      </c>
      <c r="F113" s="7" t="s">
        <v>434</v>
      </c>
      <c r="G113" s="7" t="s">
        <v>321</v>
      </c>
      <c r="H113" s="7" t="s">
        <v>35</v>
      </c>
      <c r="I113" s="8">
        <v>529808</v>
      </c>
      <c r="J113" s="7" t="s">
        <v>437</v>
      </c>
      <c r="K113" s="44">
        <v>16</v>
      </c>
      <c r="L113" s="44">
        <v>2</v>
      </c>
      <c r="M113" s="44">
        <v>8</v>
      </c>
      <c r="N113" s="8" t="s">
        <v>335</v>
      </c>
      <c r="O113" s="18">
        <v>44523</v>
      </c>
      <c r="P113" s="8" t="s">
        <v>227</v>
      </c>
      <c r="Q113" s="1">
        <f t="shared" si="2"/>
        <v>1</v>
      </c>
      <c r="R113" s="16" t="s">
        <v>701</v>
      </c>
      <c r="W113" t="s">
        <v>901</v>
      </c>
    </row>
    <row r="114" spans="1:23" x14ac:dyDescent="0.25">
      <c r="A114" s="1">
        <v>106</v>
      </c>
      <c r="C114" s="7" t="s">
        <v>430</v>
      </c>
      <c r="D114" s="17">
        <v>21892</v>
      </c>
      <c r="E114" s="7" t="s">
        <v>11</v>
      </c>
      <c r="F114" s="7" t="s">
        <v>434</v>
      </c>
      <c r="G114" s="7" t="s">
        <v>40</v>
      </c>
      <c r="H114" s="7" t="s">
        <v>35</v>
      </c>
      <c r="I114" s="8">
        <v>510960</v>
      </c>
      <c r="J114" s="7" t="s">
        <v>436</v>
      </c>
      <c r="K114" s="44">
        <v>24</v>
      </c>
      <c r="L114" s="44">
        <v>3</v>
      </c>
      <c r="M114" s="44">
        <v>20</v>
      </c>
      <c r="N114" s="8" t="s">
        <v>335</v>
      </c>
      <c r="O114" s="18">
        <v>44524</v>
      </c>
      <c r="P114" s="8" t="s">
        <v>227</v>
      </c>
      <c r="Q114" s="1">
        <f t="shared" si="2"/>
        <v>1</v>
      </c>
      <c r="R114" s="16" t="s">
        <v>701</v>
      </c>
      <c r="W114" t="s">
        <v>901</v>
      </c>
    </row>
    <row r="115" spans="1:23" x14ac:dyDescent="0.25">
      <c r="A115" s="1">
        <v>107</v>
      </c>
      <c r="C115" s="7" t="s">
        <v>430</v>
      </c>
      <c r="D115" s="17">
        <v>21891</v>
      </c>
      <c r="E115" s="7" t="s">
        <v>11</v>
      </c>
      <c r="F115" s="7" t="s">
        <v>434</v>
      </c>
      <c r="G115" s="7" t="s">
        <v>40</v>
      </c>
      <c r="H115" s="7" t="s">
        <v>35</v>
      </c>
      <c r="I115" s="8">
        <v>510960</v>
      </c>
      <c r="J115" s="7" t="s">
        <v>436</v>
      </c>
      <c r="K115" s="44">
        <v>24</v>
      </c>
      <c r="L115" s="44">
        <v>3</v>
      </c>
      <c r="M115" s="44">
        <v>20</v>
      </c>
      <c r="N115" s="8" t="s">
        <v>384</v>
      </c>
      <c r="O115" s="18">
        <v>44531</v>
      </c>
      <c r="P115" s="8" t="s">
        <v>227</v>
      </c>
      <c r="Q115" s="1">
        <f t="shared" si="2"/>
        <v>1</v>
      </c>
      <c r="R115" s="16" t="s">
        <v>701</v>
      </c>
      <c r="W115" t="s">
        <v>901</v>
      </c>
    </row>
    <row r="116" spans="1:23" x14ac:dyDescent="0.25">
      <c r="A116" s="1">
        <v>108</v>
      </c>
      <c r="C116" s="7" t="s">
        <v>430</v>
      </c>
      <c r="D116" s="17">
        <v>21890</v>
      </c>
      <c r="E116" s="7" t="s">
        <v>11</v>
      </c>
      <c r="F116" s="7" t="s">
        <v>434</v>
      </c>
      <c r="G116" s="7" t="s">
        <v>40</v>
      </c>
      <c r="H116" s="7" t="s">
        <v>35</v>
      </c>
      <c r="I116" s="8">
        <v>510960</v>
      </c>
      <c r="J116" s="7" t="s">
        <v>436</v>
      </c>
      <c r="K116" s="44">
        <v>24</v>
      </c>
      <c r="L116" s="44">
        <v>3</v>
      </c>
      <c r="M116" s="44">
        <v>19</v>
      </c>
      <c r="N116" s="8" t="s">
        <v>250</v>
      </c>
      <c r="O116" s="18">
        <v>44538</v>
      </c>
      <c r="P116" s="8" t="s">
        <v>249</v>
      </c>
      <c r="Q116" s="1">
        <f t="shared" si="2"/>
        <v>1</v>
      </c>
      <c r="R116" s="16" t="s">
        <v>701</v>
      </c>
      <c r="W116" t="s">
        <v>901</v>
      </c>
    </row>
  </sheetData>
  <autoFilter ref="A7:W116" xr:uid="{00000000-0001-0000-0F00-000000000000}"/>
  <sortState xmlns:xlrd2="http://schemas.microsoft.com/office/spreadsheetml/2017/richdata2" ref="A8:P117">
    <sortCondition ref="O8:O117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0000000}">
          <x14:formula1>
            <xm:f>Catalogo!$B$5:$B$6</xm:f>
          </x14:formula1>
          <xm:sqref>R8:R116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79998168889431442"/>
  </sheetPr>
  <dimension ref="A1:W48"/>
  <sheetViews>
    <sheetView workbookViewId="0">
      <pane xSplit="4" ySplit="7" topLeftCell="E8" activePane="bottomRight" state="frozenSplit"/>
      <selection pane="topRight" activeCell="E1" sqref="E1"/>
      <selection pane="bottomLeft" activeCell="A10" sqref="A10"/>
      <selection pane="bottomRight" activeCell="G54" sqref="G54"/>
    </sheetView>
  </sheetViews>
  <sheetFormatPr baseColWidth="10" defaultColWidth="11.42578125" defaultRowHeight="15" x14ac:dyDescent="0.25"/>
  <cols>
    <col min="1" max="1" width="8" customWidth="1"/>
    <col min="2" max="2" width="9.140625" customWidth="1"/>
    <col min="3" max="3" width="13" customWidth="1"/>
    <col min="5" max="5" width="34.140625" customWidth="1"/>
    <col min="6" max="6" width="34.7109375" customWidth="1"/>
    <col min="7" max="7" width="43.28515625" customWidth="1"/>
    <col min="8" max="8" width="13.7109375" style="1" customWidth="1"/>
    <col min="9" max="9" width="11.42578125" style="1" hidden="1" customWidth="1"/>
    <col min="10" max="10" width="14.28515625" hidden="1" customWidth="1"/>
    <col min="11" max="11" width="11.42578125" style="1"/>
    <col min="12" max="12" width="9.42578125" style="1" customWidth="1"/>
    <col min="13" max="13" width="11.42578125" style="1"/>
    <col min="19" max="19" width="15.7109375" customWidth="1"/>
    <col min="20" max="20" width="12.140625" customWidth="1"/>
    <col min="21" max="21" width="27.42578125" customWidth="1"/>
    <col min="22" max="22" width="35.28515625" customWidth="1"/>
    <col min="23" max="23" width="8.85546875" style="1" customWidth="1"/>
  </cols>
  <sheetData>
    <row r="1" spans="1:23" s="28" customFormat="1" ht="14.25" customHeight="1" x14ac:dyDescent="0.3">
      <c r="B1" s="29"/>
      <c r="C1" s="29"/>
      <c r="D1" s="29"/>
      <c r="G1" s="34" t="s">
        <v>713</v>
      </c>
      <c r="H1" s="29">
        <f>COUNT(M8:M10)</f>
        <v>3</v>
      </c>
      <c r="I1" s="30"/>
      <c r="J1" s="29"/>
      <c r="K1" s="28" t="s">
        <v>717</v>
      </c>
      <c r="L1" s="30">
        <f>COUNT(M11:M20)</f>
        <v>10</v>
      </c>
      <c r="M1" s="30"/>
      <c r="O1" s="31"/>
      <c r="P1" s="32"/>
      <c r="Q1" s="32"/>
      <c r="R1" s="32"/>
      <c r="S1" s="29"/>
      <c r="T1" s="29"/>
      <c r="W1" s="29"/>
    </row>
    <row r="2" spans="1:23" s="28" customFormat="1" x14ac:dyDescent="0.3">
      <c r="B2" s="29"/>
      <c r="C2" s="32"/>
      <c r="D2" s="29"/>
      <c r="E2" s="34" t="s">
        <v>715</v>
      </c>
      <c r="F2" s="29">
        <f>COUNT(D8:D193)</f>
        <v>41</v>
      </c>
      <c r="G2" s="34" t="s">
        <v>716</v>
      </c>
      <c r="H2" s="29">
        <f>SUM(M8:M10)</f>
        <v>51</v>
      </c>
      <c r="I2" s="41"/>
      <c r="J2" s="29"/>
      <c r="K2" s="28" t="s">
        <v>717</v>
      </c>
      <c r="L2" s="30">
        <f>SUM(M11:M20)</f>
        <v>121</v>
      </c>
      <c r="M2" s="30"/>
      <c r="O2" s="35"/>
      <c r="P2" s="29"/>
      <c r="Q2" s="32"/>
      <c r="R2" s="32"/>
      <c r="S2" s="29"/>
      <c r="T2" s="29"/>
      <c r="W2" s="29"/>
    </row>
    <row r="3" spans="1:23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SUM(M8:M193)</f>
        <v>627</v>
      </c>
      <c r="G3" s="34" t="s">
        <v>719</v>
      </c>
      <c r="H3" s="29">
        <f>COUNTIFS($Q$8:$Q$193,1,$R$8:$R$193,"Realizado")</f>
        <v>17</v>
      </c>
      <c r="I3" s="41"/>
      <c r="J3" s="29"/>
      <c r="K3" s="143" t="s">
        <v>723</v>
      </c>
      <c r="L3" s="121">
        <f>COUNT(M21:M48)</f>
        <v>28</v>
      </c>
      <c r="M3" s="30"/>
      <c r="O3" s="35"/>
      <c r="P3" s="29"/>
      <c r="Q3" s="29"/>
      <c r="R3" s="29"/>
      <c r="S3" s="29"/>
      <c r="T3" s="29"/>
      <c r="W3" s="29"/>
    </row>
    <row r="4" spans="1:23" s="28" customFormat="1" x14ac:dyDescent="0.3">
      <c r="B4" s="29"/>
      <c r="C4" s="32"/>
      <c r="D4" s="29"/>
      <c r="E4" s="34" t="s">
        <v>721</v>
      </c>
      <c r="F4" s="29">
        <f>COUNTIF($Q$21:$Q$193,1)</f>
        <v>28</v>
      </c>
      <c r="G4" s="34" t="s">
        <v>722</v>
      </c>
      <c r="H4" s="29">
        <f>SUMIF($R$21:$R$193,"Realizado",$S$21:$S$193)</f>
        <v>160</v>
      </c>
      <c r="I4" s="41"/>
      <c r="J4" s="29"/>
      <c r="K4" s="143" t="s">
        <v>720</v>
      </c>
      <c r="L4" s="121">
        <f>SUM(M21:M48)</f>
        <v>455</v>
      </c>
      <c r="M4" s="30"/>
      <c r="O4" s="35"/>
      <c r="P4" s="29"/>
      <c r="Q4" s="29"/>
      <c r="R4" s="29"/>
      <c r="S4" s="29"/>
      <c r="T4" s="29"/>
      <c r="W4" s="29"/>
    </row>
    <row r="5" spans="1:23" s="28" customFormat="1" x14ac:dyDescent="0.3">
      <c r="B5" s="29"/>
      <c r="C5" s="32"/>
      <c r="D5" s="29"/>
      <c r="E5" s="34" t="s">
        <v>724</v>
      </c>
      <c r="F5" s="29">
        <f>SUMIF(Q21:Q193,1,M21:M193)</f>
        <v>455</v>
      </c>
      <c r="G5" s="34" t="s">
        <v>725</v>
      </c>
      <c r="H5" s="29">
        <f>COUNTIFS($Q$21:$Q$193,1,$R$21:$R$193,"Cancelado")</f>
        <v>11</v>
      </c>
      <c r="I5" s="41"/>
      <c r="J5" s="29"/>
      <c r="K5" s="30"/>
      <c r="M5" s="30"/>
      <c r="O5" s="35"/>
      <c r="P5" s="29"/>
      <c r="Q5" s="29"/>
      <c r="R5" s="29"/>
      <c r="S5" s="29"/>
      <c r="T5" s="29"/>
      <c r="W5" s="29"/>
    </row>
    <row r="6" spans="1:23" x14ac:dyDescent="0.25">
      <c r="B6" s="1"/>
      <c r="C6" s="1"/>
      <c r="D6" s="1"/>
      <c r="I6" s="2"/>
      <c r="J6" s="1"/>
      <c r="K6" s="2"/>
      <c r="L6" s="2"/>
      <c r="M6" s="2"/>
      <c r="O6" s="19"/>
      <c r="P6" s="1"/>
      <c r="Q6" s="1"/>
      <c r="R6" s="1"/>
      <c r="S6" s="1"/>
      <c r="T6" s="1"/>
    </row>
    <row r="7" spans="1:23" s="103" customFormat="1" ht="25.5" x14ac:dyDescent="0.25">
      <c r="A7" s="102" t="s">
        <v>20</v>
      </c>
      <c r="B7" s="102" t="s">
        <v>21</v>
      </c>
      <c r="C7" s="102" t="s">
        <v>2</v>
      </c>
      <c r="D7" s="102" t="s">
        <v>22</v>
      </c>
      <c r="E7" s="102" t="s">
        <v>23</v>
      </c>
      <c r="F7" s="102" t="s">
        <v>24</v>
      </c>
      <c r="G7" s="102" t="s">
        <v>25</v>
      </c>
      <c r="H7" s="100" t="s">
        <v>26</v>
      </c>
      <c r="I7" s="102" t="s">
        <v>27</v>
      </c>
      <c r="J7" s="102" t="s">
        <v>28</v>
      </c>
      <c r="K7" s="100" t="s">
        <v>29</v>
      </c>
      <c r="L7" s="102" t="s">
        <v>30</v>
      </c>
      <c r="M7" s="100" t="s">
        <v>31</v>
      </c>
      <c r="N7" s="100" t="s">
        <v>0</v>
      </c>
      <c r="O7" s="100" t="s">
        <v>19</v>
      </c>
      <c r="P7" s="102" t="s">
        <v>17</v>
      </c>
      <c r="Q7" s="102" t="s">
        <v>516</v>
      </c>
      <c r="R7" s="100" t="s">
        <v>727</v>
      </c>
      <c r="S7" s="100" t="s">
        <v>523</v>
      </c>
      <c r="T7" s="100" t="s">
        <v>728</v>
      </c>
      <c r="U7" s="100" t="s">
        <v>28</v>
      </c>
      <c r="V7" s="100" t="s">
        <v>599</v>
      </c>
      <c r="W7" s="100" t="s">
        <v>889</v>
      </c>
    </row>
    <row r="8" spans="1:23" x14ac:dyDescent="0.25">
      <c r="A8" s="1">
        <v>1</v>
      </c>
      <c r="C8" s="7" t="s">
        <v>278</v>
      </c>
      <c r="D8" s="17">
        <v>25425</v>
      </c>
      <c r="E8" s="7" t="s">
        <v>11</v>
      </c>
      <c r="F8" s="7" t="s">
        <v>74</v>
      </c>
      <c r="G8" s="7" t="s">
        <v>89</v>
      </c>
      <c r="H8" s="8" t="s">
        <v>35</v>
      </c>
      <c r="I8" s="8">
        <v>570530</v>
      </c>
      <c r="J8" s="7" t="s">
        <v>446</v>
      </c>
      <c r="K8" s="38">
        <v>16</v>
      </c>
      <c r="L8" s="38">
        <v>4</v>
      </c>
      <c r="M8" s="38">
        <v>20</v>
      </c>
      <c r="N8" s="8" t="s">
        <v>49</v>
      </c>
      <c r="O8" s="18">
        <v>44259</v>
      </c>
      <c r="P8" s="8" t="s">
        <v>50</v>
      </c>
      <c r="Q8" s="1">
        <f>IF(O8&lt;=$D$3,1,0)</f>
        <v>1</v>
      </c>
      <c r="R8" t="s">
        <v>701</v>
      </c>
      <c r="W8" s="1" t="s">
        <v>890</v>
      </c>
    </row>
    <row r="9" spans="1:23" x14ac:dyDescent="0.25">
      <c r="A9" s="1">
        <v>2</v>
      </c>
      <c r="C9" s="7" t="s">
        <v>278</v>
      </c>
      <c r="D9" s="17">
        <v>25263</v>
      </c>
      <c r="E9" s="7" t="s">
        <v>11</v>
      </c>
      <c r="F9" s="7" t="s">
        <v>74</v>
      </c>
      <c r="G9" s="7" t="s">
        <v>264</v>
      </c>
      <c r="H9" s="8" t="s">
        <v>35</v>
      </c>
      <c r="I9" s="8">
        <v>413600</v>
      </c>
      <c r="J9" s="7" t="s">
        <v>320</v>
      </c>
      <c r="K9" s="38">
        <v>8</v>
      </c>
      <c r="L9" s="38">
        <v>4</v>
      </c>
      <c r="M9" s="38">
        <v>11</v>
      </c>
      <c r="N9" s="8" t="s">
        <v>266</v>
      </c>
      <c r="O9" s="18">
        <v>44294</v>
      </c>
      <c r="P9" s="8" t="s">
        <v>60</v>
      </c>
      <c r="Q9" s="1">
        <f t="shared" ref="Q9:Q48" si="0">IF(O9&lt;=$D$3,1,0)</f>
        <v>1</v>
      </c>
      <c r="R9" t="s">
        <v>701</v>
      </c>
      <c r="W9" s="1" t="s">
        <v>890</v>
      </c>
    </row>
    <row r="10" spans="1:23" x14ac:dyDescent="0.25">
      <c r="A10" s="1">
        <v>3</v>
      </c>
      <c r="C10" s="7" t="s">
        <v>278</v>
      </c>
      <c r="D10" s="17">
        <v>25401</v>
      </c>
      <c r="E10" s="7" t="s">
        <v>11</v>
      </c>
      <c r="F10" s="7" t="s">
        <v>74</v>
      </c>
      <c r="G10" s="7" t="s">
        <v>89</v>
      </c>
      <c r="H10" s="8" t="s">
        <v>35</v>
      </c>
      <c r="I10" s="8">
        <v>413600</v>
      </c>
      <c r="J10" s="7" t="s">
        <v>320</v>
      </c>
      <c r="K10" s="38">
        <v>16</v>
      </c>
      <c r="L10" s="38">
        <v>2</v>
      </c>
      <c r="M10" s="38">
        <v>20</v>
      </c>
      <c r="N10" s="8" t="s">
        <v>344</v>
      </c>
      <c r="O10" s="18">
        <v>44299</v>
      </c>
      <c r="P10" s="8" t="s">
        <v>60</v>
      </c>
      <c r="Q10" s="1">
        <f t="shared" si="0"/>
        <v>1</v>
      </c>
      <c r="R10" t="s">
        <v>701</v>
      </c>
      <c r="W10" s="1" t="s">
        <v>890</v>
      </c>
    </row>
    <row r="11" spans="1:23" s="110" customFormat="1" x14ac:dyDescent="0.25">
      <c r="A11" s="106">
        <v>4</v>
      </c>
      <c r="C11" s="107" t="s">
        <v>278</v>
      </c>
      <c r="D11" s="108">
        <v>25405</v>
      </c>
      <c r="E11" s="107" t="s">
        <v>11</v>
      </c>
      <c r="F11" s="107" t="s">
        <v>74</v>
      </c>
      <c r="G11" s="107" t="s">
        <v>89</v>
      </c>
      <c r="H11" s="46" t="s">
        <v>35</v>
      </c>
      <c r="I11" s="46">
        <v>359204</v>
      </c>
      <c r="J11" s="107" t="s">
        <v>447</v>
      </c>
      <c r="K11" s="126">
        <v>16</v>
      </c>
      <c r="L11" s="126">
        <v>2</v>
      </c>
      <c r="M11" s="126">
        <v>20</v>
      </c>
      <c r="N11" s="46" t="s">
        <v>377</v>
      </c>
      <c r="O11" s="47">
        <v>44313</v>
      </c>
      <c r="P11" s="46" t="s">
        <v>60</v>
      </c>
      <c r="Q11" s="106">
        <f t="shared" si="0"/>
        <v>1</v>
      </c>
      <c r="R11" s="110" t="s">
        <v>701</v>
      </c>
      <c r="W11" s="1" t="s">
        <v>890</v>
      </c>
    </row>
    <row r="12" spans="1:23" x14ac:dyDescent="0.25">
      <c r="A12" s="1">
        <v>5</v>
      </c>
      <c r="C12" s="7" t="s">
        <v>278</v>
      </c>
      <c r="D12" s="17">
        <v>25415</v>
      </c>
      <c r="E12" s="7" t="s">
        <v>11</v>
      </c>
      <c r="F12" s="7" t="s">
        <v>74</v>
      </c>
      <c r="G12" s="7" t="s">
        <v>89</v>
      </c>
      <c r="H12" s="8" t="s">
        <v>35</v>
      </c>
      <c r="I12" s="8">
        <v>570530</v>
      </c>
      <c r="J12" s="7" t="s">
        <v>446</v>
      </c>
      <c r="K12" s="38">
        <v>16</v>
      </c>
      <c r="L12" s="38">
        <v>2</v>
      </c>
      <c r="M12" s="38">
        <v>20</v>
      </c>
      <c r="N12" s="8" t="s">
        <v>413</v>
      </c>
      <c r="O12" s="18">
        <v>44314</v>
      </c>
      <c r="P12" s="8" t="s">
        <v>60</v>
      </c>
      <c r="Q12" s="1">
        <f t="shared" si="0"/>
        <v>1</v>
      </c>
      <c r="R12" t="s">
        <v>701</v>
      </c>
      <c r="W12" s="1" t="s">
        <v>890</v>
      </c>
    </row>
    <row r="13" spans="1:23" x14ac:dyDescent="0.25">
      <c r="A13" s="1">
        <v>9</v>
      </c>
      <c r="C13" s="7" t="s">
        <v>278</v>
      </c>
      <c r="D13" s="17">
        <v>25421</v>
      </c>
      <c r="E13" s="7" t="s">
        <v>11</v>
      </c>
      <c r="F13" s="7" t="s">
        <v>74</v>
      </c>
      <c r="G13" s="7" t="s">
        <v>89</v>
      </c>
      <c r="H13" s="8" t="s">
        <v>35</v>
      </c>
      <c r="I13" s="8">
        <v>570530</v>
      </c>
      <c r="J13" s="7" t="s">
        <v>446</v>
      </c>
      <c r="K13" s="38">
        <v>16</v>
      </c>
      <c r="L13" s="38">
        <v>4</v>
      </c>
      <c r="M13" s="38">
        <v>15</v>
      </c>
      <c r="N13" s="8" t="s">
        <v>281</v>
      </c>
      <c r="O13" s="18">
        <v>44336</v>
      </c>
      <c r="P13" s="8" t="s">
        <v>77</v>
      </c>
      <c r="Q13" s="1">
        <f t="shared" ref="Q13:Q30" si="1">IF(O13&lt;=$D$3,1,0)</f>
        <v>1</v>
      </c>
      <c r="V13" t="s">
        <v>899</v>
      </c>
      <c r="W13" s="1" t="s">
        <v>890</v>
      </c>
    </row>
    <row r="14" spans="1:23" x14ac:dyDescent="0.25">
      <c r="A14" s="1">
        <v>14</v>
      </c>
      <c r="C14" s="7" t="s">
        <v>278</v>
      </c>
      <c r="D14" s="17">
        <v>25423</v>
      </c>
      <c r="E14" s="7" t="s">
        <v>11</v>
      </c>
      <c r="F14" s="7" t="s">
        <v>74</v>
      </c>
      <c r="G14" s="7" t="s">
        <v>89</v>
      </c>
      <c r="H14" s="8" t="s">
        <v>35</v>
      </c>
      <c r="I14" s="8">
        <v>570530</v>
      </c>
      <c r="J14" s="7" t="s">
        <v>446</v>
      </c>
      <c r="K14" s="38">
        <v>16</v>
      </c>
      <c r="L14" s="38">
        <v>4</v>
      </c>
      <c r="M14" s="38">
        <v>15</v>
      </c>
      <c r="N14" s="8" t="s">
        <v>350</v>
      </c>
      <c r="O14" s="18">
        <v>44350</v>
      </c>
      <c r="P14" s="8" t="s">
        <v>77</v>
      </c>
      <c r="Q14" s="1">
        <f t="shared" si="1"/>
        <v>1</v>
      </c>
      <c r="V14" t="s">
        <v>899</v>
      </c>
      <c r="W14" s="1" t="s">
        <v>890</v>
      </c>
    </row>
    <row r="15" spans="1:23" x14ac:dyDescent="0.25">
      <c r="A15" s="1">
        <v>22</v>
      </c>
      <c r="C15" s="7" t="s">
        <v>278</v>
      </c>
      <c r="D15" s="17">
        <v>25409</v>
      </c>
      <c r="E15" s="7" t="s">
        <v>11</v>
      </c>
      <c r="F15" s="7" t="s">
        <v>74</v>
      </c>
      <c r="G15" s="7" t="s">
        <v>89</v>
      </c>
      <c r="H15" s="8" t="s">
        <v>35</v>
      </c>
      <c r="I15" s="8">
        <v>570530</v>
      </c>
      <c r="J15" s="7" t="s">
        <v>446</v>
      </c>
      <c r="K15" s="38">
        <v>16</v>
      </c>
      <c r="L15" s="38">
        <v>2</v>
      </c>
      <c r="M15" s="38">
        <v>15</v>
      </c>
      <c r="N15" s="8" t="s">
        <v>306</v>
      </c>
      <c r="O15" s="18">
        <v>44376</v>
      </c>
      <c r="P15" s="8" t="s">
        <v>100</v>
      </c>
      <c r="Q15" s="1">
        <f t="shared" si="1"/>
        <v>1</v>
      </c>
      <c r="V15" t="s">
        <v>899</v>
      </c>
      <c r="W15" s="1" t="s">
        <v>890</v>
      </c>
    </row>
    <row r="16" spans="1:23" x14ac:dyDescent="0.25">
      <c r="A16" s="1">
        <v>23</v>
      </c>
      <c r="C16" s="7" t="s">
        <v>278</v>
      </c>
      <c r="D16" s="17">
        <v>26753</v>
      </c>
      <c r="E16" s="7" t="s">
        <v>6</v>
      </c>
      <c r="F16" s="7" t="s">
        <v>352</v>
      </c>
      <c r="G16" s="7" t="s">
        <v>89</v>
      </c>
      <c r="H16" s="8" t="s">
        <v>35</v>
      </c>
      <c r="I16" s="8">
        <v>428350</v>
      </c>
      <c r="J16" s="7" t="s">
        <v>448</v>
      </c>
      <c r="K16" s="38">
        <v>16</v>
      </c>
      <c r="L16" s="38">
        <v>2</v>
      </c>
      <c r="M16" s="38">
        <v>1</v>
      </c>
      <c r="N16" s="8" t="s">
        <v>310</v>
      </c>
      <c r="O16" s="18">
        <v>44383</v>
      </c>
      <c r="P16" s="8" t="s">
        <v>119</v>
      </c>
      <c r="Q16" s="1">
        <f t="shared" si="1"/>
        <v>1</v>
      </c>
      <c r="W16" s="1" t="s">
        <v>890</v>
      </c>
    </row>
    <row r="17" spans="1:23" x14ac:dyDescent="0.25">
      <c r="A17" s="1">
        <v>24</v>
      </c>
      <c r="C17" s="7" t="s">
        <v>278</v>
      </c>
      <c r="D17" s="17">
        <v>25262</v>
      </c>
      <c r="E17" s="7" t="s">
        <v>11</v>
      </c>
      <c r="F17" s="7" t="s">
        <v>74</v>
      </c>
      <c r="G17" s="7" t="s">
        <v>264</v>
      </c>
      <c r="H17" s="8" t="s">
        <v>35</v>
      </c>
      <c r="I17" s="8">
        <v>413600</v>
      </c>
      <c r="J17" s="7" t="s">
        <v>320</v>
      </c>
      <c r="K17" s="38">
        <v>8</v>
      </c>
      <c r="L17" s="38">
        <v>4</v>
      </c>
      <c r="M17" s="38">
        <v>15</v>
      </c>
      <c r="N17" s="8" t="s">
        <v>310</v>
      </c>
      <c r="O17" s="18">
        <v>44385</v>
      </c>
      <c r="P17" s="8" t="s">
        <v>119</v>
      </c>
      <c r="Q17" s="1">
        <f t="shared" si="1"/>
        <v>1</v>
      </c>
      <c r="V17" t="s">
        <v>899</v>
      </c>
      <c r="W17" s="1" t="s">
        <v>890</v>
      </c>
    </row>
    <row r="18" spans="1:23" x14ac:dyDescent="0.25">
      <c r="A18" s="1">
        <v>25</v>
      </c>
      <c r="C18" s="7" t="s">
        <v>449</v>
      </c>
      <c r="D18" s="17">
        <v>25428</v>
      </c>
      <c r="E18" s="7" t="s">
        <v>11</v>
      </c>
      <c r="F18" s="7" t="s">
        <v>450</v>
      </c>
      <c r="G18" s="7" t="s">
        <v>171</v>
      </c>
      <c r="H18" s="7" t="s">
        <v>35</v>
      </c>
      <c r="I18" s="8">
        <v>510687</v>
      </c>
      <c r="J18" s="7" t="s">
        <v>451</v>
      </c>
      <c r="K18" s="38">
        <v>8</v>
      </c>
      <c r="L18" s="38">
        <v>1</v>
      </c>
      <c r="M18" s="38">
        <v>1</v>
      </c>
      <c r="N18" s="8" t="s">
        <v>357</v>
      </c>
      <c r="O18" s="8" t="s">
        <v>357</v>
      </c>
      <c r="P18" s="8" t="s">
        <v>119</v>
      </c>
      <c r="Q18" s="1">
        <f t="shared" si="1"/>
        <v>0</v>
      </c>
      <c r="W18" s="1" t="s">
        <v>890</v>
      </c>
    </row>
    <row r="19" spans="1:23" x14ac:dyDescent="0.25">
      <c r="A19" s="1">
        <v>29</v>
      </c>
      <c r="C19" s="7" t="s">
        <v>449</v>
      </c>
      <c r="D19" s="17">
        <v>21986</v>
      </c>
      <c r="E19" s="7" t="s">
        <v>8</v>
      </c>
      <c r="F19" s="7" t="s">
        <v>142</v>
      </c>
      <c r="G19" s="7" t="s">
        <v>105</v>
      </c>
      <c r="H19" s="7" t="s">
        <v>35</v>
      </c>
      <c r="I19" s="8">
        <v>374778</v>
      </c>
      <c r="J19" s="7" t="s">
        <v>452</v>
      </c>
      <c r="K19" s="38">
        <v>16</v>
      </c>
      <c r="L19" s="38">
        <v>2</v>
      </c>
      <c r="M19" s="38">
        <v>4</v>
      </c>
      <c r="N19" s="8" t="s">
        <v>161</v>
      </c>
      <c r="O19" s="8" t="s">
        <v>164</v>
      </c>
      <c r="P19" s="8" t="s">
        <v>141</v>
      </c>
      <c r="Q19" s="1">
        <f t="shared" si="1"/>
        <v>0</v>
      </c>
      <c r="W19" s="1" t="s">
        <v>890</v>
      </c>
    </row>
    <row r="20" spans="1:23" x14ac:dyDescent="0.25">
      <c r="A20" s="1">
        <v>33</v>
      </c>
      <c r="C20" s="7" t="s">
        <v>449</v>
      </c>
      <c r="D20" s="17">
        <v>25587</v>
      </c>
      <c r="E20" s="7" t="s">
        <v>11</v>
      </c>
      <c r="F20" s="7" t="s">
        <v>74</v>
      </c>
      <c r="G20" s="7" t="s">
        <v>288</v>
      </c>
      <c r="H20" s="7" t="s">
        <v>35</v>
      </c>
      <c r="I20" s="8">
        <v>374123</v>
      </c>
      <c r="J20" s="7" t="s">
        <v>412</v>
      </c>
      <c r="K20" s="38">
        <v>16</v>
      </c>
      <c r="L20" s="38">
        <v>2</v>
      </c>
      <c r="M20" s="38">
        <v>15</v>
      </c>
      <c r="N20" s="8" t="s">
        <v>192</v>
      </c>
      <c r="O20" s="8" t="s">
        <v>193</v>
      </c>
      <c r="P20" s="8" t="s">
        <v>173</v>
      </c>
      <c r="Q20" s="1">
        <f t="shared" si="1"/>
        <v>0</v>
      </c>
      <c r="V20" t="s">
        <v>899</v>
      </c>
      <c r="W20" s="1" t="s">
        <v>890</v>
      </c>
    </row>
    <row r="21" spans="1:23" s="131" customFormat="1" x14ac:dyDescent="0.25">
      <c r="A21" s="130">
        <v>6</v>
      </c>
      <c r="C21" s="132" t="s">
        <v>278</v>
      </c>
      <c r="D21" s="133">
        <v>25422</v>
      </c>
      <c r="E21" s="132" t="s">
        <v>11</v>
      </c>
      <c r="F21" s="132" t="s">
        <v>74</v>
      </c>
      <c r="G21" s="132" t="s">
        <v>89</v>
      </c>
      <c r="H21" s="134" t="s">
        <v>35</v>
      </c>
      <c r="I21" s="134">
        <v>570530</v>
      </c>
      <c r="J21" s="132" t="s">
        <v>446</v>
      </c>
      <c r="K21" s="137">
        <v>16</v>
      </c>
      <c r="L21" s="137">
        <v>4</v>
      </c>
      <c r="M21" s="137">
        <v>15</v>
      </c>
      <c r="N21" s="134" t="s">
        <v>425</v>
      </c>
      <c r="O21" s="136">
        <v>44329</v>
      </c>
      <c r="P21" s="134" t="s">
        <v>77</v>
      </c>
      <c r="Q21" s="130">
        <f t="shared" si="1"/>
        <v>1</v>
      </c>
      <c r="R21" s="8" t="s">
        <v>699</v>
      </c>
      <c r="S21" s="131">
        <v>8</v>
      </c>
      <c r="U21" t="s">
        <v>904</v>
      </c>
      <c r="V21" s="131" t="s">
        <v>899</v>
      </c>
      <c r="W21" s="130" t="s">
        <v>891</v>
      </c>
    </row>
    <row r="22" spans="1:23" x14ac:dyDescent="0.25">
      <c r="A22" s="1">
        <v>7</v>
      </c>
      <c r="C22" s="7" t="s">
        <v>319</v>
      </c>
      <c r="D22" s="17">
        <v>22089</v>
      </c>
      <c r="E22" s="7" t="s">
        <v>12</v>
      </c>
      <c r="F22" s="7" t="s">
        <v>442</v>
      </c>
      <c r="G22" s="7" t="s">
        <v>40</v>
      </c>
      <c r="H22" s="8" t="s">
        <v>35</v>
      </c>
      <c r="I22" s="8">
        <v>201275</v>
      </c>
      <c r="J22" s="7" t="s">
        <v>453</v>
      </c>
      <c r="K22" s="38">
        <v>24</v>
      </c>
      <c r="L22" s="38">
        <v>3</v>
      </c>
      <c r="M22" s="38">
        <v>10</v>
      </c>
      <c r="N22" s="8" t="s">
        <v>76</v>
      </c>
      <c r="O22" s="18">
        <v>44330</v>
      </c>
      <c r="P22" s="8" t="s">
        <v>77</v>
      </c>
      <c r="Q22" s="1">
        <f t="shared" si="1"/>
        <v>1</v>
      </c>
      <c r="R22" s="8" t="s">
        <v>699</v>
      </c>
      <c r="S22">
        <v>10</v>
      </c>
      <c r="U22" t="s">
        <v>904</v>
      </c>
      <c r="W22" s="1" t="s">
        <v>891</v>
      </c>
    </row>
    <row r="23" spans="1:23" x14ac:dyDescent="0.25">
      <c r="A23" s="1">
        <v>8</v>
      </c>
      <c r="C23" s="7" t="s">
        <v>278</v>
      </c>
      <c r="D23" s="17">
        <v>25412</v>
      </c>
      <c r="E23" s="7" t="s">
        <v>11</v>
      </c>
      <c r="F23" s="7" t="s">
        <v>74</v>
      </c>
      <c r="G23" s="7" t="s">
        <v>89</v>
      </c>
      <c r="H23" s="8" t="s">
        <v>35</v>
      </c>
      <c r="I23" s="8">
        <v>413600</v>
      </c>
      <c r="J23" s="7" t="s">
        <v>320</v>
      </c>
      <c r="K23" s="38">
        <v>16</v>
      </c>
      <c r="L23" s="38">
        <v>2</v>
      </c>
      <c r="M23" s="38">
        <v>15</v>
      </c>
      <c r="N23" s="8" t="s">
        <v>281</v>
      </c>
      <c r="O23" s="18">
        <v>44334</v>
      </c>
      <c r="P23" s="8" t="s">
        <v>77</v>
      </c>
      <c r="Q23" s="1">
        <f t="shared" si="1"/>
        <v>1</v>
      </c>
      <c r="R23" s="8" t="s">
        <v>699</v>
      </c>
      <c r="S23">
        <v>9</v>
      </c>
      <c r="V23" t="s">
        <v>899</v>
      </c>
      <c r="W23" s="1" t="s">
        <v>891</v>
      </c>
    </row>
    <row r="24" spans="1:23" x14ac:dyDescent="0.25">
      <c r="A24" s="1">
        <v>10</v>
      </c>
      <c r="C24" s="7" t="s">
        <v>449</v>
      </c>
      <c r="D24" s="17">
        <v>28216</v>
      </c>
      <c r="E24" s="7" t="s">
        <v>11</v>
      </c>
      <c r="F24" s="7" t="s">
        <v>450</v>
      </c>
      <c r="G24" s="7" t="s">
        <v>279</v>
      </c>
      <c r="H24" s="7" t="s">
        <v>35</v>
      </c>
      <c r="I24" s="8">
        <v>395269</v>
      </c>
      <c r="J24" s="7" t="s">
        <v>454</v>
      </c>
      <c r="K24" s="38">
        <v>16</v>
      </c>
      <c r="L24" s="38">
        <v>2</v>
      </c>
      <c r="M24" s="38">
        <v>20</v>
      </c>
      <c r="N24" s="8" t="s">
        <v>284</v>
      </c>
      <c r="O24" s="18">
        <v>44337</v>
      </c>
      <c r="P24" s="8" t="s">
        <v>77</v>
      </c>
      <c r="Q24" s="1">
        <f t="shared" si="1"/>
        <v>1</v>
      </c>
      <c r="R24" s="8" t="s">
        <v>699</v>
      </c>
      <c r="S24">
        <v>10</v>
      </c>
      <c r="U24" t="s">
        <v>905</v>
      </c>
      <c r="W24" s="1" t="s">
        <v>891</v>
      </c>
    </row>
    <row r="25" spans="1:23" x14ac:dyDescent="0.25">
      <c r="A25" s="1">
        <v>11</v>
      </c>
      <c r="C25" s="7" t="s">
        <v>449</v>
      </c>
      <c r="D25" s="17">
        <v>28209</v>
      </c>
      <c r="E25" s="7" t="s">
        <v>11</v>
      </c>
      <c r="F25" s="7" t="s">
        <v>450</v>
      </c>
      <c r="G25" s="7" t="s">
        <v>346</v>
      </c>
      <c r="H25" s="7" t="s">
        <v>35</v>
      </c>
      <c r="I25" s="8">
        <v>395269</v>
      </c>
      <c r="J25" s="7" t="s">
        <v>454</v>
      </c>
      <c r="K25" s="38">
        <v>16</v>
      </c>
      <c r="L25" s="38">
        <v>2</v>
      </c>
      <c r="M25" s="38">
        <v>20</v>
      </c>
      <c r="N25" s="8" t="s">
        <v>91</v>
      </c>
      <c r="O25" s="18">
        <v>44341</v>
      </c>
      <c r="P25" s="8" t="s">
        <v>77</v>
      </c>
      <c r="Q25" s="1">
        <v>1</v>
      </c>
      <c r="R25" s="8" t="s">
        <v>699</v>
      </c>
      <c r="S25">
        <v>10</v>
      </c>
      <c r="U25" t="s">
        <v>905</v>
      </c>
      <c r="W25" s="1" t="s">
        <v>891</v>
      </c>
    </row>
    <row r="26" spans="1:23" x14ac:dyDescent="0.25">
      <c r="A26" s="1">
        <v>12</v>
      </c>
      <c r="C26" s="7" t="s">
        <v>319</v>
      </c>
      <c r="D26" s="17">
        <v>28210</v>
      </c>
      <c r="E26" s="7" t="s">
        <v>11</v>
      </c>
      <c r="F26" s="7" t="s">
        <v>450</v>
      </c>
      <c r="G26" s="7" t="s">
        <v>346</v>
      </c>
      <c r="H26" s="8" t="s">
        <v>35</v>
      </c>
      <c r="I26" s="8">
        <v>395269</v>
      </c>
      <c r="J26" s="7" t="s">
        <v>454</v>
      </c>
      <c r="K26" s="38">
        <v>16</v>
      </c>
      <c r="L26" s="38">
        <v>2</v>
      </c>
      <c r="M26" s="38">
        <v>20</v>
      </c>
      <c r="N26" s="8" t="s">
        <v>97</v>
      </c>
      <c r="O26" s="18">
        <v>44344</v>
      </c>
      <c r="P26" s="8" t="s">
        <v>77</v>
      </c>
      <c r="Q26" s="1">
        <v>1</v>
      </c>
      <c r="R26" s="8" t="s">
        <v>699</v>
      </c>
      <c r="S26">
        <v>10</v>
      </c>
      <c r="U26" t="s">
        <v>906</v>
      </c>
      <c r="W26" s="1" t="s">
        <v>891</v>
      </c>
    </row>
    <row r="27" spans="1:23" x14ac:dyDescent="0.25">
      <c r="A27" s="1">
        <v>13</v>
      </c>
      <c r="C27" s="7" t="s">
        <v>449</v>
      </c>
      <c r="D27" s="17">
        <v>25393</v>
      </c>
      <c r="E27" s="7" t="s">
        <v>11</v>
      </c>
      <c r="F27" s="7" t="s">
        <v>74</v>
      </c>
      <c r="G27" s="7" t="s">
        <v>127</v>
      </c>
      <c r="H27" s="7" t="s">
        <v>35</v>
      </c>
      <c r="I27" s="8">
        <v>501348</v>
      </c>
      <c r="J27" s="7" t="s">
        <v>455</v>
      </c>
      <c r="K27" s="38">
        <v>16</v>
      </c>
      <c r="L27" s="38">
        <v>2</v>
      </c>
      <c r="M27" s="38">
        <v>15</v>
      </c>
      <c r="N27" s="8" t="s">
        <v>97</v>
      </c>
      <c r="O27" s="18">
        <v>44344</v>
      </c>
      <c r="P27" s="8" t="s">
        <v>77</v>
      </c>
      <c r="Q27" s="1">
        <v>1</v>
      </c>
      <c r="R27" s="8" t="s">
        <v>699</v>
      </c>
      <c r="S27">
        <v>10</v>
      </c>
      <c r="U27" t="s">
        <v>907</v>
      </c>
      <c r="V27" t="s">
        <v>899</v>
      </c>
      <c r="W27" s="1" t="s">
        <v>891</v>
      </c>
    </row>
    <row r="28" spans="1:23" x14ac:dyDescent="0.25">
      <c r="A28" s="1">
        <v>15</v>
      </c>
      <c r="C28" s="7" t="s">
        <v>449</v>
      </c>
      <c r="D28" s="17">
        <v>23557</v>
      </c>
      <c r="E28" s="7" t="s">
        <v>11</v>
      </c>
      <c r="F28" s="7" t="s">
        <v>450</v>
      </c>
      <c r="G28" s="7" t="s">
        <v>40</v>
      </c>
      <c r="H28" s="7" t="s">
        <v>35</v>
      </c>
      <c r="I28" s="8">
        <v>395269</v>
      </c>
      <c r="J28" s="7" t="s">
        <v>454</v>
      </c>
      <c r="K28" s="38">
        <v>24</v>
      </c>
      <c r="L28" s="38">
        <v>3</v>
      </c>
      <c r="M28" s="38">
        <v>20</v>
      </c>
      <c r="N28" s="8" t="s">
        <v>99</v>
      </c>
      <c r="O28" s="8" t="s">
        <v>289</v>
      </c>
      <c r="P28" s="8" t="s">
        <v>100</v>
      </c>
      <c r="Q28" s="1">
        <v>1</v>
      </c>
      <c r="R28" s="8" t="s">
        <v>699</v>
      </c>
      <c r="S28">
        <v>10</v>
      </c>
      <c r="U28" t="s">
        <v>905</v>
      </c>
      <c r="W28" s="1" t="s">
        <v>891</v>
      </c>
    </row>
    <row r="29" spans="1:23" x14ac:dyDescent="0.25">
      <c r="A29" s="1">
        <v>16</v>
      </c>
      <c r="C29" s="7" t="s">
        <v>319</v>
      </c>
      <c r="D29" s="17">
        <v>22019</v>
      </c>
      <c r="E29" s="7" t="s">
        <v>12</v>
      </c>
      <c r="F29" s="7" t="s">
        <v>442</v>
      </c>
      <c r="G29" s="7" t="s">
        <v>199</v>
      </c>
      <c r="H29" s="8" t="s">
        <v>35</v>
      </c>
      <c r="I29" s="8">
        <v>201275</v>
      </c>
      <c r="J29" s="7" t="s">
        <v>453</v>
      </c>
      <c r="K29" s="38">
        <v>8</v>
      </c>
      <c r="L29" s="38">
        <v>1</v>
      </c>
      <c r="M29" s="38">
        <v>8</v>
      </c>
      <c r="N29" s="8" t="s">
        <v>295</v>
      </c>
      <c r="O29" s="18">
        <v>44354</v>
      </c>
      <c r="P29" s="8" t="s">
        <v>100</v>
      </c>
      <c r="Q29" s="1">
        <f t="shared" si="1"/>
        <v>1</v>
      </c>
      <c r="R29" s="8" t="s">
        <v>699</v>
      </c>
      <c r="S29">
        <v>10</v>
      </c>
      <c r="U29" t="s">
        <v>905</v>
      </c>
      <c r="W29" s="1" t="s">
        <v>891</v>
      </c>
    </row>
    <row r="30" spans="1:23" x14ac:dyDescent="0.25">
      <c r="A30" s="1">
        <v>17</v>
      </c>
      <c r="C30" s="7" t="s">
        <v>319</v>
      </c>
      <c r="D30" s="17">
        <v>23556</v>
      </c>
      <c r="E30" s="7" t="s">
        <v>11</v>
      </c>
      <c r="F30" s="7" t="s">
        <v>450</v>
      </c>
      <c r="G30" s="7" t="s">
        <v>40</v>
      </c>
      <c r="H30" s="8" t="s">
        <v>35</v>
      </c>
      <c r="I30" s="8">
        <v>395269</v>
      </c>
      <c r="J30" s="7" t="s">
        <v>454</v>
      </c>
      <c r="K30" s="38">
        <v>24</v>
      </c>
      <c r="L30" s="38">
        <v>3</v>
      </c>
      <c r="M30" s="38">
        <v>16</v>
      </c>
      <c r="N30" s="8" t="s">
        <v>295</v>
      </c>
      <c r="O30" s="18">
        <v>44356</v>
      </c>
      <c r="P30" s="8" t="s">
        <v>100</v>
      </c>
      <c r="Q30" s="1">
        <f t="shared" si="1"/>
        <v>1</v>
      </c>
      <c r="R30" s="8" t="s">
        <v>699</v>
      </c>
      <c r="S30">
        <v>10</v>
      </c>
      <c r="U30" t="s">
        <v>905</v>
      </c>
      <c r="W30" s="1" t="s">
        <v>891</v>
      </c>
    </row>
    <row r="31" spans="1:23" x14ac:dyDescent="0.25">
      <c r="A31" s="1">
        <v>18</v>
      </c>
      <c r="C31" s="7" t="s">
        <v>449</v>
      </c>
      <c r="D31" s="17">
        <v>25392</v>
      </c>
      <c r="E31" s="7" t="s">
        <v>11</v>
      </c>
      <c r="F31" s="7" t="s">
        <v>74</v>
      </c>
      <c r="G31" s="7" t="s">
        <v>127</v>
      </c>
      <c r="H31" s="7" t="s">
        <v>35</v>
      </c>
      <c r="I31" s="8">
        <v>501348</v>
      </c>
      <c r="J31" s="7" t="s">
        <v>455</v>
      </c>
      <c r="K31" s="38">
        <v>16</v>
      </c>
      <c r="L31" s="38">
        <v>2</v>
      </c>
      <c r="M31" s="38">
        <v>15</v>
      </c>
      <c r="N31" s="8" t="s">
        <v>104</v>
      </c>
      <c r="O31" s="8" t="s">
        <v>298</v>
      </c>
      <c r="P31" s="8" t="s">
        <v>100</v>
      </c>
      <c r="Q31" s="1">
        <v>1</v>
      </c>
      <c r="R31" s="8" t="s">
        <v>699</v>
      </c>
      <c r="S31">
        <v>10</v>
      </c>
      <c r="U31" t="s">
        <v>905</v>
      </c>
      <c r="V31" t="s">
        <v>899</v>
      </c>
      <c r="W31" s="1" t="s">
        <v>891</v>
      </c>
    </row>
    <row r="32" spans="1:23" x14ac:dyDescent="0.25">
      <c r="A32" s="1">
        <v>19</v>
      </c>
      <c r="C32" s="7" t="s">
        <v>449</v>
      </c>
      <c r="D32" s="17">
        <v>23558</v>
      </c>
      <c r="E32" s="7" t="s">
        <v>11</v>
      </c>
      <c r="F32" s="7" t="s">
        <v>450</v>
      </c>
      <c r="G32" s="7" t="s">
        <v>40</v>
      </c>
      <c r="H32" s="7" t="s">
        <v>35</v>
      </c>
      <c r="I32" s="8">
        <v>395269</v>
      </c>
      <c r="J32" s="7" t="s">
        <v>454</v>
      </c>
      <c r="K32" s="38">
        <v>24</v>
      </c>
      <c r="L32" s="38">
        <v>3</v>
      </c>
      <c r="M32" s="38">
        <v>20</v>
      </c>
      <c r="N32" s="8" t="s">
        <v>299</v>
      </c>
      <c r="O32" s="8" t="s">
        <v>107</v>
      </c>
      <c r="P32" s="8" t="s">
        <v>100</v>
      </c>
      <c r="Q32" s="1">
        <v>1</v>
      </c>
      <c r="R32" s="8" t="s">
        <v>699</v>
      </c>
      <c r="S32">
        <v>10</v>
      </c>
      <c r="U32" t="s">
        <v>905</v>
      </c>
      <c r="W32" s="1" t="s">
        <v>891</v>
      </c>
    </row>
    <row r="33" spans="1:23" x14ac:dyDescent="0.25">
      <c r="A33" s="1">
        <v>20</v>
      </c>
      <c r="C33" s="7" t="s">
        <v>449</v>
      </c>
      <c r="D33" s="17">
        <v>27736</v>
      </c>
      <c r="E33" s="7" t="s">
        <v>11</v>
      </c>
      <c r="F33" s="7" t="s">
        <v>450</v>
      </c>
      <c r="G33" s="7" t="s">
        <v>89</v>
      </c>
      <c r="H33" s="7" t="s">
        <v>35</v>
      </c>
      <c r="I33" s="8">
        <v>395269</v>
      </c>
      <c r="J33" s="7" t="s">
        <v>454</v>
      </c>
      <c r="K33" s="38">
        <v>16</v>
      </c>
      <c r="L33" s="38">
        <v>2</v>
      </c>
      <c r="M33" s="38">
        <v>20</v>
      </c>
      <c r="N33" s="8" t="s">
        <v>106</v>
      </c>
      <c r="O33" s="8" t="s">
        <v>303</v>
      </c>
      <c r="P33" s="8" t="s">
        <v>100</v>
      </c>
      <c r="Q33" s="1">
        <v>1</v>
      </c>
      <c r="R33" s="8" t="s">
        <v>699</v>
      </c>
      <c r="S33">
        <v>10</v>
      </c>
      <c r="U33" t="s">
        <v>905</v>
      </c>
      <c r="W33" s="1" t="s">
        <v>891</v>
      </c>
    </row>
    <row r="34" spans="1:23" x14ac:dyDescent="0.25">
      <c r="A34" s="1">
        <v>21</v>
      </c>
      <c r="C34" s="7" t="s">
        <v>278</v>
      </c>
      <c r="D34" s="17">
        <v>22090</v>
      </c>
      <c r="E34" s="7" t="s">
        <v>12</v>
      </c>
      <c r="F34" s="7" t="s">
        <v>442</v>
      </c>
      <c r="G34" s="7" t="s">
        <v>40</v>
      </c>
      <c r="H34" s="8" t="s">
        <v>35</v>
      </c>
      <c r="I34" s="8">
        <v>395269</v>
      </c>
      <c r="J34" s="7" t="s">
        <v>454</v>
      </c>
      <c r="K34" s="38">
        <v>24</v>
      </c>
      <c r="L34" s="38">
        <v>3</v>
      </c>
      <c r="M34" s="38">
        <v>8</v>
      </c>
      <c r="N34" s="8" t="s">
        <v>108</v>
      </c>
      <c r="O34" s="18">
        <v>44370</v>
      </c>
      <c r="P34" s="8" t="s">
        <v>100</v>
      </c>
      <c r="Q34" s="1">
        <v>1</v>
      </c>
      <c r="R34" s="8" t="s">
        <v>699</v>
      </c>
      <c r="S34">
        <v>8</v>
      </c>
      <c r="U34" t="s">
        <v>905</v>
      </c>
      <c r="W34" s="1" t="s">
        <v>891</v>
      </c>
    </row>
    <row r="35" spans="1:23" x14ac:dyDescent="0.25">
      <c r="A35" s="1">
        <v>26</v>
      </c>
      <c r="C35" s="7" t="s">
        <v>319</v>
      </c>
      <c r="D35" s="17">
        <v>27738</v>
      </c>
      <c r="E35" s="7" t="s">
        <v>11</v>
      </c>
      <c r="F35" s="7" t="s">
        <v>450</v>
      </c>
      <c r="G35" s="7" t="s">
        <v>68</v>
      </c>
      <c r="H35" s="8" t="s">
        <v>35</v>
      </c>
      <c r="I35" s="8">
        <v>395269</v>
      </c>
      <c r="J35" s="7" t="s">
        <v>454</v>
      </c>
      <c r="K35" s="38">
        <v>24</v>
      </c>
      <c r="L35" s="38">
        <v>3</v>
      </c>
      <c r="M35" s="38">
        <v>15</v>
      </c>
      <c r="N35" s="8" t="s">
        <v>131</v>
      </c>
      <c r="O35" s="18">
        <v>44400</v>
      </c>
      <c r="P35" s="8" t="s">
        <v>119</v>
      </c>
      <c r="Q35" s="1">
        <f t="shared" si="0"/>
        <v>1</v>
      </c>
      <c r="R35" s="173" t="s">
        <v>701</v>
      </c>
      <c r="W35" s="1" t="s">
        <v>891</v>
      </c>
    </row>
    <row r="36" spans="1:23" x14ac:dyDescent="0.25">
      <c r="A36" s="1">
        <v>27</v>
      </c>
      <c r="C36" s="7" t="s">
        <v>319</v>
      </c>
      <c r="D36" s="17">
        <v>28215</v>
      </c>
      <c r="E36" s="7" t="s">
        <v>11</v>
      </c>
      <c r="F36" s="7" t="s">
        <v>450</v>
      </c>
      <c r="G36" s="7" t="s">
        <v>279</v>
      </c>
      <c r="H36" s="8" t="s">
        <v>35</v>
      </c>
      <c r="I36" s="8">
        <v>395269</v>
      </c>
      <c r="J36" s="7" t="s">
        <v>454</v>
      </c>
      <c r="K36" s="38">
        <v>16</v>
      </c>
      <c r="L36" s="38">
        <v>2</v>
      </c>
      <c r="M36" s="38">
        <v>20</v>
      </c>
      <c r="N36" s="8" t="s">
        <v>145</v>
      </c>
      <c r="O36" s="18">
        <v>44414</v>
      </c>
      <c r="P36" s="8" t="s">
        <v>141</v>
      </c>
      <c r="Q36" s="1">
        <f t="shared" si="0"/>
        <v>1</v>
      </c>
      <c r="R36" s="173" t="s">
        <v>701</v>
      </c>
      <c r="W36" s="1" t="s">
        <v>891</v>
      </c>
    </row>
    <row r="37" spans="1:23" x14ac:dyDescent="0.25">
      <c r="A37" s="1">
        <v>28</v>
      </c>
      <c r="C37" s="7" t="s">
        <v>449</v>
      </c>
      <c r="D37" s="17">
        <v>21984</v>
      </c>
      <c r="E37" s="7" t="s">
        <v>8</v>
      </c>
      <c r="F37" s="7" t="s">
        <v>142</v>
      </c>
      <c r="G37" s="7" t="s">
        <v>105</v>
      </c>
      <c r="H37" s="7" t="s">
        <v>35</v>
      </c>
      <c r="I37" s="8">
        <v>374778</v>
      </c>
      <c r="J37" s="7" t="s">
        <v>452</v>
      </c>
      <c r="K37" s="38">
        <v>16</v>
      </c>
      <c r="L37" s="38">
        <v>2</v>
      </c>
      <c r="M37" s="38">
        <v>11</v>
      </c>
      <c r="N37" s="8" t="s">
        <v>153</v>
      </c>
      <c r="O37" s="18">
        <v>44421</v>
      </c>
      <c r="P37" s="8" t="s">
        <v>141</v>
      </c>
      <c r="Q37" s="1">
        <f t="shared" si="0"/>
        <v>1</v>
      </c>
      <c r="R37" s="173" t="s">
        <v>701</v>
      </c>
      <c r="W37" s="1" t="s">
        <v>891</v>
      </c>
    </row>
    <row r="38" spans="1:23" x14ac:dyDescent="0.25">
      <c r="A38" s="1">
        <v>30</v>
      </c>
      <c r="C38" s="7" t="s">
        <v>449</v>
      </c>
      <c r="D38" s="17">
        <v>25588</v>
      </c>
      <c r="E38" s="7" t="s">
        <v>11</v>
      </c>
      <c r="F38" s="7" t="s">
        <v>74</v>
      </c>
      <c r="G38" s="7" t="s">
        <v>288</v>
      </c>
      <c r="H38" s="7" t="s">
        <v>35</v>
      </c>
      <c r="I38" s="8">
        <v>501348</v>
      </c>
      <c r="J38" s="7" t="s">
        <v>455</v>
      </c>
      <c r="K38" s="38">
        <v>16</v>
      </c>
      <c r="L38" s="38">
        <v>2</v>
      </c>
      <c r="M38" s="38">
        <v>15</v>
      </c>
      <c r="N38" s="8" t="s">
        <v>166</v>
      </c>
      <c r="O38" s="18">
        <v>44435</v>
      </c>
      <c r="P38" s="8" t="s">
        <v>141</v>
      </c>
      <c r="Q38" s="1">
        <f t="shared" si="0"/>
        <v>1</v>
      </c>
      <c r="R38" s="173" t="s">
        <v>701</v>
      </c>
      <c r="V38" t="s">
        <v>899</v>
      </c>
      <c r="W38" s="1" t="s">
        <v>891</v>
      </c>
    </row>
    <row r="39" spans="1:23" x14ac:dyDescent="0.25">
      <c r="A39" s="1">
        <v>31</v>
      </c>
      <c r="C39" s="7" t="s">
        <v>449</v>
      </c>
      <c r="D39" s="17">
        <v>21985</v>
      </c>
      <c r="E39" s="7" t="s">
        <v>8</v>
      </c>
      <c r="F39" s="7" t="s">
        <v>142</v>
      </c>
      <c r="G39" s="7" t="s">
        <v>105</v>
      </c>
      <c r="H39" s="7" t="s">
        <v>35</v>
      </c>
      <c r="I39" s="8">
        <v>305145</v>
      </c>
      <c r="J39" s="7" t="s">
        <v>456</v>
      </c>
      <c r="K39" s="38">
        <v>16</v>
      </c>
      <c r="L39" s="38">
        <v>2</v>
      </c>
      <c r="M39" s="38">
        <v>12</v>
      </c>
      <c r="N39" s="8" t="s">
        <v>168</v>
      </c>
      <c r="O39" s="18">
        <v>44439</v>
      </c>
      <c r="P39" s="8" t="s">
        <v>141</v>
      </c>
      <c r="Q39" s="1">
        <f t="shared" si="0"/>
        <v>1</v>
      </c>
      <c r="R39" s="173" t="s">
        <v>701</v>
      </c>
      <c r="W39" s="1" t="s">
        <v>891</v>
      </c>
    </row>
    <row r="40" spans="1:23" x14ac:dyDescent="0.25">
      <c r="A40" s="1">
        <v>32</v>
      </c>
      <c r="C40" s="7" t="s">
        <v>449</v>
      </c>
      <c r="D40" s="17">
        <v>28213</v>
      </c>
      <c r="E40" s="7" t="s">
        <v>11</v>
      </c>
      <c r="F40" s="7" t="s">
        <v>450</v>
      </c>
      <c r="G40" s="7" t="s">
        <v>279</v>
      </c>
      <c r="H40" s="7" t="s">
        <v>35</v>
      </c>
      <c r="I40" s="8">
        <v>395269</v>
      </c>
      <c r="J40" s="7" t="s">
        <v>454</v>
      </c>
      <c r="K40" s="38">
        <v>16</v>
      </c>
      <c r="L40" s="38">
        <v>2</v>
      </c>
      <c r="M40" s="38">
        <v>20</v>
      </c>
      <c r="N40" s="8" t="s">
        <v>172</v>
      </c>
      <c r="O40" s="18">
        <v>44442</v>
      </c>
      <c r="P40" s="8" t="s">
        <v>173</v>
      </c>
      <c r="Q40" s="1">
        <f t="shared" si="0"/>
        <v>1</v>
      </c>
      <c r="R40" s="173" t="s">
        <v>701</v>
      </c>
      <c r="W40" s="1" t="s">
        <v>891</v>
      </c>
    </row>
    <row r="41" spans="1:23" x14ac:dyDescent="0.25">
      <c r="A41" s="1">
        <v>34</v>
      </c>
      <c r="C41" s="7" t="s">
        <v>449</v>
      </c>
      <c r="D41" s="17">
        <v>21981</v>
      </c>
      <c r="E41" s="7" t="s">
        <v>8</v>
      </c>
      <c r="F41" s="7" t="s">
        <v>142</v>
      </c>
      <c r="G41" s="7" t="s">
        <v>40</v>
      </c>
      <c r="H41" s="7" t="s">
        <v>35</v>
      </c>
      <c r="I41" s="8">
        <v>971841</v>
      </c>
      <c r="J41" s="7" t="s">
        <v>457</v>
      </c>
      <c r="K41" s="38">
        <v>24</v>
      </c>
      <c r="L41" s="38">
        <v>3</v>
      </c>
      <c r="M41" s="38">
        <v>10</v>
      </c>
      <c r="N41" s="8" t="s">
        <v>327</v>
      </c>
      <c r="O41" s="18">
        <v>44475</v>
      </c>
      <c r="P41" s="8" t="s">
        <v>202</v>
      </c>
      <c r="Q41" s="1">
        <f t="shared" si="0"/>
        <v>1</v>
      </c>
      <c r="R41" s="173" t="s">
        <v>701</v>
      </c>
      <c r="W41" s="144"/>
    </row>
    <row r="42" spans="1:23" x14ac:dyDescent="0.25">
      <c r="A42" s="1">
        <v>35</v>
      </c>
      <c r="C42" s="7" t="s">
        <v>449</v>
      </c>
      <c r="D42" s="17">
        <v>27739</v>
      </c>
      <c r="E42" s="7" t="s">
        <v>11</v>
      </c>
      <c r="F42" s="7" t="s">
        <v>450</v>
      </c>
      <c r="G42" s="7" t="s">
        <v>68</v>
      </c>
      <c r="H42" s="7" t="s">
        <v>35</v>
      </c>
      <c r="I42" s="8">
        <v>395269</v>
      </c>
      <c r="J42" s="7" t="s">
        <v>454</v>
      </c>
      <c r="K42" s="38">
        <v>24</v>
      </c>
      <c r="L42" s="38">
        <v>3</v>
      </c>
      <c r="M42" s="38">
        <v>20</v>
      </c>
      <c r="N42" s="8" t="s">
        <v>209</v>
      </c>
      <c r="O42" s="18">
        <v>44484</v>
      </c>
      <c r="P42" s="8" t="s">
        <v>202</v>
      </c>
      <c r="Q42" s="1">
        <f t="shared" si="0"/>
        <v>1</v>
      </c>
      <c r="R42" s="173" t="s">
        <v>701</v>
      </c>
      <c r="W42" s="1" t="s">
        <v>891</v>
      </c>
    </row>
    <row r="43" spans="1:23" x14ac:dyDescent="0.25">
      <c r="A43" s="1">
        <v>36</v>
      </c>
      <c r="C43" s="7" t="s">
        <v>278</v>
      </c>
      <c r="D43" s="17">
        <v>25419</v>
      </c>
      <c r="E43" s="7" t="s">
        <v>11</v>
      </c>
      <c r="F43" s="7" t="s">
        <v>74</v>
      </c>
      <c r="G43" s="7" t="s">
        <v>89</v>
      </c>
      <c r="H43" s="8" t="s">
        <v>35</v>
      </c>
      <c r="I43" s="8">
        <v>570530</v>
      </c>
      <c r="J43" s="7" t="s">
        <v>446</v>
      </c>
      <c r="K43" s="38">
        <v>16</v>
      </c>
      <c r="L43" s="38">
        <v>2</v>
      </c>
      <c r="M43" s="38">
        <v>15</v>
      </c>
      <c r="N43" s="8" t="s">
        <v>458</v>
      </c>
      <c r="O43" s="18">
        <v>44503</v>
      </c>
      <c r="P43" s="8" t="s">
        <v>227</v>
      </c>
      <c r="Q43" s="1">
        <f t="shared" si="0"/>
        <v>1</v>
      </c>
      <c r="R43" s="173" t="s">
        <v>701</v>
      </c>
      <c r="V43" t="s">
        <v>899</v>
      </c>
      <c r="W43" s="144"/>
    </row>
    <row r="44" spans="1:23" x14ac:dyDescent="0.25">
      <c r="A44" s="1">
        <v>37</v>
      </c>
      <c r="C44" s="7" t="s">
        <v>449</v>
      </c>
      <c r="D44" s="17">
        <v>23559</v>
      </c>
      <c r="E44" s="7" t="s">
        <v>11</v>
      </c>
      <c r="F44" s="7" t="s">
        <v>450</v>
      </c>
      <c r="G44" s="7" t="s">
        <v>40</v>
      </c>
      <c r="H44" s="7" t="s">
        <v>35</v>
      </c>
      <c r="I44" s="8">
        <v>395269</v>
      </c>
      <c r="J44" s="7" t="s">
        <v>454</v>
      </c>
      <c r="K44" s="38">
        <v>24</v>
      </c>
      <c r="L44" s="38">
        <v>3</v>
      </c>
      <c r="M44" s="38">
        <v>20</v>
      </c>
      <c r="N44" s="8" t="s">
        <v>238</v>
      </c>
      <c r="O44" s="18">
        <v>44519</v>
      </c>
      <c r="P44" s="8" t="s">
        <v>227</v>
      </c>
      <c r="Q44" s="1">
        <v>1</v>
      </c>
      <c r="R44" s="8" t="s">
        <v>699</v>
      </c>
      <c r="S44">
        <v>8</v>
      </c>
      <c r="U44" t="s">
        <v>905</v>
      </c>
      <c r="W44" s="1" t="s">
        <v>891</v>
      </c>
    </row>
    <row r="45" spans="1:23" x14ac:dyDescent="0.25">
      <c r="A45" s="1">
        <v>38</v>
      </c>
      <c r="C45" s="7" t="s">
        <v>319</v>
      </c>
      <c r="D45" s="17">
        <v>27737</v>
      </c>
      <c r="E45" s="7" t="s">
        <v>11</v>
      </c>
      <c r="F45" s="7" t="s">
        <v>450</v>
      </c>
      <c r="G45" s="7" t="s">
        <v>89</v>
      </c>
      <c r="H45" s="8" t="s">
        <v>35</v>
      </c>
      <c r="I45" s="8">
        <v>395269</v>
      </c>
      <c r="J45" s="7" t="s">
        <v>454</v>
      </c>
      <c r="K45" s="38">
        <v>16</v>
      </c>
      <c r="L45" s="38">
        <v>2</v>
      </c>
      <c r="M45" s="38">
        <v>20</v>
      </c>
      <c r="N45" s="8" t="s">
        <v>335</v>
      </c>
      <c r="O45" s="18">
        <v>44523</v>
      </c>
      <c r="P45" s="8" t="s">
        <v>227</v>
      </c>
      <c r="Q45" s="1">
        <f t="shared" si="0"/>
        <v>1</v>
      </c>
      <c r="R45" s="8" t="s">
        <v>699</v>
      </c>
      <c r="S45">
        <v>9</v>
      </c>
      <c r="W45" s="1" t="s">
        <v>891</v>
      </c>
    </row>
    <row r="46" spans="1:23" x14ac:dyDescent="0.25">
      <c r="A46" s="1">
        <v>39</v>
      </c>
      <c r="C46" s="7" t="s">
        <v>319</v>
      </c>
      <c r="D46" s="17">
        <v>23560</v>
      </c>
      <c r="E46" s="7" t="s">
        <v>11</v>
      </c>
      <c r="F46" s="7" t="s">
        <v>450</v>
      </c>
      <c r="G46" s="7" t="s">
        <v>40</v>
      </c>
      <c r="H46" s="8" t="s">
        <v>35</v>
      </c>
      <c r="I46" s="8">
        <v>395269</v>
      </c>
      <c r="J46" s="7" t="s">
        <v>454</v>
      </c>
      <c r="K46" s="38">
        <v>24</v>
      </c>
      <c r="L46" s="38">
        <v>3</v>
      </c>
      <c r="M46" s="38">
        <v>20</v>
      </c>
      <c r="N46" s="8" t="s">
        <v>243</v>
      </c>
      <c r="O46" s="18">
        <v>44526</v>
      </c>
      <c r="P46" s="8" t="s">
        <v>227</v>
      </c>
      <c r="Q46" s="1">
        <f t="shared" si="0"/>
        <v>1</v>
      </c>
      <c r="R46" s="8" t="s">
        <v>699</v>
      </c>
      <c r="S46">
        <v>8</v>
      </c>
      <c r="U46" t="s">
        <v>905</v>
      </c>
      <c r="W46" s="1" t="s">
        <v>891</v>
      </c>
    </row>
    <row r="47" spans="1:23" x14ac:dyDescent="0.25">
      <c r="A47" s="1">
        <v>40</v>
      </c>
      <c r="C47" s="7" t="s">
        <v>449</v>
      </c>
      <c r="D47" s="17">
        <v>23561</v>
      </c>
      <c r="E47" s="7" t="s">
        <v>11</v>
      </c>
      <c r="F47" s="7" t="s">
        <v>450</v>
      </c>
      <c r="G47" s="7" t="s">
        <v>40</v>
      </c>
      <c r="H47" s="7" t="s">
        <v>35</v>
      </c>
      <c r="I47" s="8">
        <v>395269</v>
      </c>
      <c r="J47" s="7" t="s">
        <v>454</v>
      </c>
      <c r="K47" s="38">
        <v>24</v>
      </c>
      <c r="L47" s="38">
        <v>3</v>
      </c>
      <c r="M47" s="38">
        <v>15</v>
      </c>
      <c r="N47" s="8" t="s">
        <v>384</v>
      </c>
      <c r="O47" s="18">
        <v>44531</v>
      </c>
      <c r="P47" s="8" t="s">
        <v>227</v>
      </c>
      <c r="Q47" s="1">
        <f t="shared" si="0"/>
        <v>1</v>
      </c>
      <c r="R47" s="16" t="s">
        <v>701</v>
      </c>
      <c r="W47" s="1" t="s">
        <v>891</v>
      </c>
    </row>
    <row r="48" spans="1:23" x14ac:dyDescent="0.25">
      <c r="A48" s="1">
        <v>41</v>
      </c>
      <c r="C48" s="7" t="s">
        <v>449</v>
      </c>
      <c r="D48" s="17">
        <v>27740</v>
      </c>
      <c r="E48" s="7" t="s">
        <v>11</v>
      </c>
      <c r="F48" s="7" t="s">
        <v>450</v>
      </c>
      <c r="G48" s="7" t="s">
        <v>68</v>
      </c>
      <c r="H48" s="7" t="s">
        <v>35</v>
      </c>
      <c r="I48" s="8">
        <v>395269</v>
      </c>
      <c r="J48" s="7" t="s">
        <v>454</v>
      </c>
      <c r="K48" s="38">
        <v>24</v>
      </c>
      <c r="L48" s="38">
        <v>3</v>
      </c>
      <c r="M48" s="38">
        <v>20</v>
      </c>
      <c r="N48" s="8" t="s">
        <v>250</v>
      </c>
      <c r="O48" s="18">
        <v>44538</v>
      </c>
      <c r="P48" s="8" t="s">
        <v>249</v>
      </c>
      <c r="Q48" s="1">
        <f t="shared" si="0"/>
        <v>1</v>
      </c>
      <c r="R48" s="16" t="s">
        <v>701</v>
      </c>
      <c r="W48" s="1" t="s">
        <v>891</v>
      </c>
    </row>
  </sheetData>
  <autoFilter ref="A7:W48" xr:uid="{00000000-0001-0000-1000-000000000000}"/>
  <sortState xmlns:xlrd2="http://schemas.microsoft.com/office/spreadsheetml/2017/richdata2" ref="A8:P48">
    <sortCondition ref="O8:O48"/>
  </sortState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Catalogo!$B$5:$B$6</xm:f>
          </x14:formula1>
          <xm:sqref>V28:V30 V16 V39:V42 V44:V48 V22 V24:V26 V18:V19 V32:V37 R8:R48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tabColor theme="9" tint="0.79998168889431442"/>
  </sheetPr>
  <dimension ref="A1:W63"/>
  <sheetViews>
    <sheetView workbookViewId="0">
      <pane xSplit="4" ySplit="7" topLeftCell="F37" activePane="bottomRight" state="frozenSplit"/>
      <selection pane="topRight" activeCell="G1" sqref="G1"/>
      <selection pane="bottomLeft" activeCell="A8" sqref="A8"/>
      <selection pane="bottomRight" activeCell="P69" sqref="P69"/>
    </sheetView>
  </sheetViews>
  <sheetFormatPr baseColWidth="10" defaultColWidth="11.42578125" defaultRowHeight="15" x14ac:dyDescent="0.25"/>
  <cols>
    <col min="1" max="1" width="6.7109375" customWidth="1"/>
    <col min="2" max="2" width="10.28515625" customWidth="1"/>
    <col min="5" max="5" width="33.42578125" customWidth="1"/>
    <col min="6" max="6" width="22.140625" customWidth="1"/>
    <col min="7" max="7" width="43.85546875" customWidth="1"/>
    <col min="8" max="8" width="14.42578125" style="1" customWidth="1"/>
    <col min="9" max="9" width="10.140625" style="1" hidden="1" customWidth="1"/>
    <col min="10" max="10" width="14.28515625" hidden="1" customWidth="1"/>
    <col min="11" max="11" width="18.140625" style="43" customWidth="1"/>
    <col min="12" max="12" width="8" style="43" customWidth="1"/>
    <col min="13" max="13" width="11.42578125" style="43"/>
    <col min="17" max="17" width="10.42578125" customWidth="1"/>
    <col min="18" max="18" width="11" style="101" customWidth="1"/>
    <col min="19" max="19" width="14.85546875" customWidth="1"/>
    <col min="22" max="22" width="28" customWidth="1"/>
    <col min="23" max="23" width="11.42578125" style="1"/>
  </cols>
  <sheetData>
    <row r="1" spans="1:23" s="28" customFormat="1" ht="14.25" customHeight="1" x14ac:dyDescent="0.3">
      <c r="B1" s="29"/>
      <c r="C1" s="29"/>
      <c r="D1" s="29"/>
      <c r="G1" s="34" t="s">
        <v>713</v>
      </c>
      <c r="H1" s="29">
        <f>COUNT(M8:M15)</f>
        <v>8</v>
      </c>
      <c r="I1" s="30"/>
      <c r="J1" s="29"/>
      <c r="K1" s="28" t="s">
        <v>717</v>
      </c>
      <c r="L1" s="30">
        <f>COUNT(M16:M46)</f>
        <v>31</v>
      </c>
      <c r="M1" s="30"/>
      <c r="O1" s="31"/>
      <c r="P1" s="32"/>
      <c r="Q1" s="32"/>
      <c r="R1" s="98"/>
      <c r="S1" s="29"/>
      <c r="T1" s="29"/>
      <c r="W1" s="29"/>
    </row>
    <row r="2" spans="1:23" s="28" customFormat="1" x14ac:dyDescent="0.3">
      <c r="B2" s="29"/>
      <c r="C2" s="32"/>
      <c r="D2" s="29"/>
      <c r="E2" s="34" t="s">
        <v>715</v>
      </c>
      <c r="F2" s="29">
        <f>COUNT(D8:D202)</f>
        <v>55</v>
      </c>
      <c r="G2" s="34" t="s">
        <v>716</v>
      </c>
      <c r="H2" s="29">
        <f>SUM(M8:M15)</f>
        <v>95</v>
      </c>
      <c r="I2" s="41"/>
      <c r="J2" s="29"/>
      <c r="K2" s="28" t="s">
        <v>717</v>
      </c>
      <c r="L2" s="30">
        <f>SUM(M16:M46)</f>
        <v>316</v>
      </c>
      <c r="M2" s="30"/>
      <c r="O2" s="35"/>
      <c r="P2" s="29"/>
      <c r="Q2" s="32"/>
      <c r="R2" s="98"/>
      <c r="S2" s="29"/>
      <c r="T2" s="29"/>
      <c r="W2" s="29"/>
    </row>
    <row r="3" spans="1:23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SUM(M8:M202)</f>
        <v>622</v>
      </c>
      <c r="G3" s="34" t="s">
        <v>719</v>
      </c>
      <c r="H3" s="29">
        <f>COUNTIFS($Q$8:$Q$202,1,$R$8:$R$202,"Realizado")</f>
        <v>12</v>
      </c>
      <c r="I3" s="41"/>
      <c r="J3" s="29"/>
      <c r="K3" s="30" t="s">
        <v>720</v>
      </c>
      <c r="L3" s="30">
        <f>SUM(M47:M62)</f>
        <v>211</v>
      </c>
      <c r="M3" s="30"/>
      <c r="O3" s="35"/>
      <c r="P3" s="29"/>
      <c r="Q3" s="29"/>
      <c r="R3" s="99"/>
      <c r="S3" s="29"/>
      <c r="T3" s="29"/>
      <c r="W3" s="29"/>
    </row>
    <row r="4" spans="1:23" s="28" customFormat="1" x14ac:dyDescent="0.3">
      <c r="B4" s="29"/>
      <c r="C4" s="32"/>
      <c r="D4" s="29"/>
      <c r="E4" s="34" t="s">
        <v>721</v>
      </c>
      <c r="F4" s="29">
        <f>COUNTIF($Q$47:$Q$202,1)</f>
        <v>16</v>
      </c>
      <c r="G4" s="34" t="s">
        <v>722</v>
      </c>
      <c r="H4" s="29">
        <f>SUMIF($R$37:$R$202,"Realizado",$S$37:$S$202)</f>
        <v>81</v>
      </c>
      <c r="I4" s="41"/>
      <c r="J4" s="29"/>
      <c r="K4" s="30" t="s">
        <v>723</v>
      </c>
      <c r="L4" s="30">
        <f>COUNT(M47:M62)</f>
        <v>16</v>
      </c>
      <c r="M4" s="30"/>
      <c r="O4" s="35"/>
      <c r="P4" s="29"/>
      <c r="Q4" s="29"/>
      <c r="R4" s="99"/>
      <c r="S4" s="29"/>
      <c r="T4" s="29"/>
      <c r="W4" s="29"/>
    </row>
    <row r="5" spans="1:23" s="28" customFormat="1" x14ac:dyDescent="0.3">
      <c r="B5" s="29"/>
      <c r="C5" s="32"/>
      <c r="D5" s="29"/>
      <c r="E5" s="34" t="s">
        <v>724</v>
      </c>
      <c r="F5" s="29">
        <f>SUMIF(Q47:Q202,1,M47:M202)</f>
        <v>211</v>
      </c>
      <c r="G5" s="34" t="s">
        <v>725</v>
      </c>
      <c r="H5" s="29">
        <f>COUNTIFS($Q$47:$Q$202,1,$R$47:$R$202,"Cancelado")</f>
        <v>12</v>
      </c>
      <c r="I5" s="41"/>
      <c r="J5" s="29"/>
      <c r="K5" s="30"/>
      <c r="L5" s="30"/>
      <c r="M5" s="30"/>
      <c r="O5" s="35"/>
      <c r="P5" s="29"/>
      <c r="Q5" s="29"/>
      <c r="R5" s="99"/>
      <c r="S5" s="29"/>
      <c r="T5" s="29"/>
      <c r="W5" s="29"/>
    </row>
    <row r="6" spans="1:23" x14ac:dyDescent="0.25">
      <c r="B6" s="1"/>
      <c r="C6" s="1"/>
      <c r="D6" s="1"/>
      <c r="I6" s="2"/>
      <c r="J6" s="1"/>
      <c r="K6" s="2"/>
      <c r="L6" s="2"/>
      <c r="M6" s="2"/>
      <c r="O6" s="19"/>
      <c r="P6" s="1"/>
      <c r="Q6" s="1"/>
      <c r="R6" s="99"/>
      <c r="S6" s="1"/>
      <c r="T6" s="1"/>
    </row>
    <row r="7" spans="1:23" s="3" customFormat="1" ht="25.5" x14ac:dyDescent="0.25">
      <c r="A7" s="100" t="s">
        <v>20</v>
      </c>
      <c r="B7" s="100" t="s">
        <v>21</v>
      </c>
      <c r="C7" s="100" t="s">
        <v>2</v>
      </c>
      <c r="D7" s="100" t="s">
        <v>22</v>
      </c>
      <c r="E7" s="100" t="s">
        <v>23</v>
      </c>
      <c r="F7" s="100" t="s">
        <v>24</v>
      </c>
      <c r="G7" s="100" t="s">
        <v>25</v>
      </c>
      <c r="H7" s="100" t="s">
        <v>26</v>
      </c>
      <c r="I7" s="100" t="s">
        <v>27</v>
      </c>
      <c r="J7" s="100" t="s">
        <v>28</v>
      </c>
      <c r="K7" s="100" t="s">
        <v>29</v>
      </c>
      <c r="L7" s="100" t="s">
        <v>30</v>
      </c>
      <c r="M7" s="100" t="s">
        <v>31</v>
      </c>
      <c r="N7" s="100" t="s">
        <v>0</v>
      </c>
      <c r="O7" s="100" t="s">
        <v>19</v>
      </c>
      <c r="P7" s="100" t="s">
        <v>17</v>
      </c>
      <c r="Q7" s="100" t="s">
        <v>516</v>
      </c>
      <c r="R7" s="100" t="s">
        <v>727</v>
      </c>
      <c r="S7" s="100" t="s">
        <v>523</v>
      </c>
      <c r="T7" s="100" t="s">
        <v>728</v>
      </c>
      <c r="U7" s="100" t="s">
        <v>28</v>
      </c>
      <c r="V7" s="100" t="s">
        <v>599</v>
      </c>
      <c r="W7" s="100" t="s">
        <v>889</v>
      </c>
    </row>
    <row r="8" spans="1:23" hidden="1" x14ac:dyDescent="0.25">
      <c r="A8" s="1">
        <v>1</v>
      </c>
      <c r="C8" s="7" t="s">
        <v>459</v>
      </c>
      <c r="D8" s="17">
        <v>25424</v>
      </c>
      <c r="E8" s="7" t="s">
        <v>11</v>
      </c>
      <c r="F8" s="7" t="s">
        <v>74</v>
      </c>
      <c r="G8" s="7" t="s">
        <v>89</v>
      </c>
      <c r="H8" s="8" t="s">
        <v>35</v>
      </c>
      <c r="I8" s="8">
        <v>197995</v>
      </c>
      <c r="J8" s="7" t="s">
        <v>150</v>
      </c>
      <c r="K8" s="44">
        <v>16</v>
      </c>
      <c r="L8" s="44">
        <v>2</v>
      </c>
      <c r="M8" s="44">
        <v>20</v>
      </c>
      <c r="N8" s="8" t="s">
        <v>47</v>
      </c>
      <c r="O8" s="18">
        <v>44250</v>
      </c>
      <c r="P8" s="8" t="s">
        <v>38</v>
      </c>
      <c r="Q8" s="1">
        <f t="shared" ref="Q8:Q21" si="0">IF(O8&lt;=$D$3,1,0)</f>
        <v>1</v>
      </c>
      <c r="R8" s="101" t="s">
        <v>701</v>
      </c>
      <c r="W8" s="1" t="s">
        <v>890</v>
      </c>
    </row>
    <row r="9" spans="1:23" hidden="1" x14ac:dyDescent="0.25">
      <c r="A9" s="1">
        <v>2</v>
      </c>
      <c r="C9" s="7" t="s">
        <v>460</v>
      </c>
      <c r="D9" s="17">
        <v>23745</v>
      </c>
      <c r="E9" s="7" t="s">
        <v>11</v>
      </c>
      <c r="F9" s="7" t="s">
        <v>461</v>
      </c>
      <c r="G9" s="7" t="s">
        <v>34</v>
      </c>
      <c r="H9" s="8" t="s">
        <v>35</v>
      </c>
      <c r="I9" s="8">
        <v>675132</v>
      </c>
      <c r="J9" s="7" t="s">
        <v>462</v>
      </c>
      <c r="K9" s="44">
        <v>8</v>
      </c>
      <c r="L9" s="44">
        <v>1</v>
      </c>
      <c r="M9" s="44">
        <v>11</v>
      </c>
      <c r="N9" s="8" t="s">
        <v>49</v>
      </c>
      <c r="O9" s="18">
        <v>44256</v>
      </c>
      <c r="P9" s="8" t="s">
        <v>50</v>
      </c>
      <c r="Q9" s="1">
        <f t="shared" si="0"/>
        <v>1</v>
      </c>
      <c r="R9" s="101" t="s">
        <v>701</v>
      </c>
      <c r="W9" s="1" t="s">
        <v>890</v>
      </c>
    </row>
    <row r="10" spans="1:23" hidden="1" x14ac:dyDescent="0.25">
      <c r="A10" s="1">
        <v>3</v>
      </c>
      <c r="C10" s="7" t="s">
        <v>460</v>
      </c>
      <c r="D10" s="17">
        <v>23746</v>
      </c>
      <c r="E10" s="7" t="s">
        <v>11</v>
      </c>
      <c r="F10" s="7" t="s">
        <v>461</v>
      </c>
      <c r="G10" s="7" t="s">
        <v>34</v>
      </c>
      <c r="H10" s="8" t="s">
        <v>35</v>
      </c>
      <c r="I10" s="8">
        <v>675132</v>
      </c>
      <c r="J10" s="7" t="s">
        <v>462</v>
      </c>
      <c r="K10" s="44">
        <v>8</v>
      </c>
      <c r="L10" s="44">
        <v>1</v>
      </c>
      <c r="M10" s="44">
        <v>12</v>
      </c>
      <c r="N10" s="8" t="s">
        <v>463</v>
      </c>
      <c r="O10" s="18">
        <v>44258</v>
      </c>
      <c r="P10" s="8" t="s">
        <v>50</v>
      </c>
      <c r="Q10" s="1">
        <f t="shared" si="0"/>
        <v>1</v>
      </c>
      <c r="R10" s="101" t="s">
        <v>701</v>
      </c>
      <c r="W10" s="1" t="s">
        <v>890</v>
      </c>
    </row>
    <row r="11" spans="1:23" hidden="1" x14ac:dyDescent="0.25">
      <c r="A11" s="1">
        <v>4</v>
      </c>
      <c r="C11" s="7" t="s">
        <v>460</v>
      </c>
      <c r="D11" s="17">
        <v>23747</v>
      </c>
      <c r="E11" s="7" t="s">
        <v>11</v>
      </c>
      <c r="F11" s="7" t="s">
        <v>461</v>
      </c>
      <c r="G11" s="7" t="s">
        <v>34</v>
      </c>
      <c r="H11" s="8" t="s">
        <v>35</v>
      </c>
      <c r="I11" s="8">
        <v>675132</v>
      </c>
      <c r="J11" s="7" t="s">
        <v>462</v>
      </c>
      <c r="K11" s="44">
        <v>8</v>
      </c>
      <c r="L11" s="44">
        <v>1</v>
      </c>
      <c r="M11" s="44">
        <v>12</v>
      </c>
      <c r="N11" s="8" t="s">
        <v>52</v>
      </c>
      <c r="O11" s="18">
        <v>44260</v>
      </c>
      <c r="P11" s="8" t="s">
        <v>50</v>
      </c>
      <c r="Q11" s="1">
        <f t="shared" si="0"/>
        <v>1</v>
      </c>
      <c r="R11" s="101" t="s">
        <v>701</v>
      </c>
      <c r="W11" s="1" t="s">
        <v>890</v>
      </c>
    </row>
    <row r="12" spans="1:23" hidden="1" x14ac:dyDescent="0.25">
      <c r="A12" s="1">
        <v>5</v>
      </c>
      <c r="C12" s="7" t="s">
        <v>460</v>
      </c>
      <c r="D12" s="17">
        <v>23748</v>
      </c>
      <c r="E12" s="7" t="s">
        <v>11</v>
      </c>
      <c r="F12" s="7" t="s">
        <v>461</v>
      </c>
      <c r="G12" s="7" t="s">
        <v>34</v>
      </c>
      <c r="H12" s="8" t="s">
        <v>35</v>
      </c>
      <c r="I12" s="8">
        <v>675132</v>
      </c>
      <c r="J12" s="7" t="s">
        <v>462</v>
      </c>
      <c r="K12" s="44">
        <v>8</v>
      </c>
      <c r="L12" s="44">
        <v>1</v>
      </c>
      <c r="M12" s="44">
        <v>12</v>
      </c>
      <c r="N12" s="8" t="s">
        <v>339</v>
      </c>
      <c r="O12" s="18">
        <v>44263</v>
      </c>
      <c r="P12" s="8" t="s">
        <v>50</v>
      </c>
      <c r="Q12" s="1">
        <f t="shared" si="0"/>
        <v>1</v>
      </c>
      <c r="R12" s="101" t="s">
        <v>701</v>
      </c>
      <c r="W12" s="1" t="s">
        <v>890</v>
      </c>
    </row>
    <row r="13" spans="1:23" hidden="1" x14ac:dyDescent="0.25">
      <c r="A13" s="1">
        <v>6</v>
      </c>
      <c r="C13" s="7" t="s">
        <v>460</v>
      </c>
      <c r="D13" s="17">
        <v>23198</v>
      </c>
      <c r="E13" s="7" t="s">
        <v>11</v>
      </c>
      <c r="F13" s="7" t="s">
        <v>461</v>
      </c>
      <c r="G13" s="7" t="s">
        <v>264</v>
      </c>
      <c r="H13" s="8" t="s">
        <v>35</v>
      </c>
      <c r="I13" s="8">
        <v>342974</v>
      </c>
      <c r="J13" s="7" t="s">
        <v>464</v>
      </c>
      <c r="K13" s="44">
        <v>8</v>
      </c>
      <c r="L13" s="44">
        <v>1</v>
      </c>
      <c r="M13" s="44">
        <v>10</v>
      </c>
      <c r="N13" s="8" t="s">
        <v>410</v>
      </c>
      <c r="O13" s="18">
        <v>44292</v>
      </c>
      <c r="P13" s="8" t="s">
        <v>60</v>
      </c>
      <c r="Q13" s="1">
        <f t="shared" si="0"/>
        <v>1</v>
      </c>
      <c r="R13" s="101" t="s">
        <v>701</v>
      </c>
      <c r="W13" s="1" t="s">
        <v>890</v>
      </c>
    </row>
    <row r="14" spans="1:23" hidden="1" x14ac:dyDescent="0.25">
      <c r="A14" s="1">
        <v>7</v>
      </c>
      <c r="C14" s="7" t="s">
        <v>460</v>
      </c>
      <c r="D14" s="17">
        <v>23208</v>
      </c>
      <c r="E14" s="7" t="s">
        <v>11</v>
      </c>
      <c r="F14" s="7" t="s">
        <v>461</v>
      </c>
      <c r="G14" s="7" t="s">
        <v>199</v>
      </c>
      <c r="H14" s="8" t="s">
        <v>35</v>
      </c>
      <c r="I14" s="8">
        <v>342974</v>
      </c>
      <c r="J14" s="7" t="s">
        <v>464</v>
      </c>
      <c r="K14" s="44">
        <v>8</v>
      </c>
      <c r="L14" s="44">
        <v>1</v>
      </c>
      <c r="M14" s="44">
        <v>7</v>
      </c>
      <c r="N14" s="8" t="s">
        <v>343</v>
      </c>
      <c r="O14" s="18">
        <v>44294</v>
      </c>
      <c r="P14" s="8" t="s">
        <v>60</v>
      </c>
      <c r="Q14" s="1">
        <f t="shared" si="0"/>
        <v>1</v>
      </c>
      <c r="R14" s="101" t="s">
        <v>701</v>
      </c>
      <c r="W14" s="1" t="s">
        <v>890</v>
      </c>
    </row>
    <row r="15" spans="1:23" hidden="1" x14ac:dyDescent="0.25">
      <c r="A15" s="1">
        <v>8</v>
      </c>
      <c r="C15" s="7" t="s">
        <v>460</v>
      </c>
      <c r="D15" s="17">
        <v>26237</v>
      </c>
      <c r="E15" s="7" t="s">
        <v>11</v>
      </c>
      <c r="F15" s="7" t="s">
        <v>461</v>
      </c>
      <c r="G15" s="7" t="s">
        <v>89</v>
      </c>
      <c r="H15" s="8" t="s">
        <v>35</v>
      </c>
      <c r="I15" s="8">
        <v>335177</v>
      </c>
      <c r="J15" s="7" t="s">
        <v>465</v>
      </c>
      <c r="K15" s="44">
        <v>16</v>
      </c>
      <c r="L15" s="44">
        <v>2</v>
      </c>
      <c r="M15" s="44">
        <v>11</v>
      </c>
      <c r="N15" s="8" t="s">
        <v>344</v>
      </c>
      <c r="O15" s="18">
        <v>44299</v>
      </c>
      <c r="P15" s="8" t="s">
        <v>60</v>
      </c>
      <c r="Q15" s="1">
        <f t="shared" si="0"/>
        <v>1</v>
      </c>
      <c r="R15" s="101" t="s">
        <v>701</v>
      </c>
      <c r="W15" s="1" t="s">
        <v>890</v>
      </c>
    </row>
    <row r="16" spans="1:23" s="110" customFormat="1" hidden="1" x14ac:dyDescent="0.25">
      <c r="A16" s="106">
        <v>9</v>
      </c>
      <c r="C16" s="107" t="s">
        <v>460</v>
      </c>
      <c r="D16" s="108">
        <v>26236</v>
      </c>
      <c r="E16" s="107" t="s">
        <v>11</v>
      </c>
      <c r="F16" s="107" t="s">
        <v>461</v>
      </c>
      <c r="G16" s="107" t="s">
        <v>89</v>
      </c>
      <c r="H16" s="46" t="s">
        <v>35</v>
      </c>
      <c r="I16" s="46">
        <v>335177</v>
      </c>
      <c r="J16" s="107" t="s">
        <v>465</v>
      </c>
      <c r="K16" s="124">
        <v>16</v>
      </c>
      <c r="L16" s="124">
        <v>2</v>
      </c>
      <c r="M16" s="124">
        <v>11</v>
      </c>
      <c r="N16" s="46" t="s">
        <v>67</v>
      </c>
      <c r="O16" s="47">
        <v>44306</v>
      </c>
      <c r="P16" s="46" t="s">
        <v>60</v>
      </c>
      <c r="Q16" s="106">
        <f t="shared" si="0"/>
        <v>1</v>
      </c>
      <c r="R16" s="127" t="s">
        <v>701</v>
      </c>
      <c r="W16" s="1" t="s">
        <v>890</v>
      </c>
    </row>
    <row r="17" spans="1:23" hidden="1" x14ac:dyDescent="0.25">
      <c r="A17" s="1">
        <v>10</v>
      </c>
      <c r="C17" s="7" t="s">
        <v>460</v>
      </c>
      <c r="D17" s="17">
        <v>26235</v>
      </c>
      <c r="E17" s="7" t="s">
        <v>11</v>
      </c>
      <c r="F17" s="7" t="s">
        <v>461</v>
      </c>
      <c r="G17" s="7" t="s">
        <v>89</v>
      </c>
      <c r="H17" s="8" t="s">
        <v>35</v>
      </c>
      <c r="I17" s="8">
        <v>335177</v>
      </c>
      <c r="J17" s="7" t="s">
        <v>465</v>
      </c>
      <c r="K17" s="44">
        <v>16</v>
      </c>
      <c r="L17" s="44">
        <v>2</v>
      </c>
      <c r="M17" s="44">
        <v>12</v>
      </c>
      <c r="N17" s="8" t="s">
        <v>377</v>
      </c>
      <c r="O17" s="18">
        <v>44313</v>
      </c>
      <c r="P17" s="8" t="s">
        <v>60</v>
      </c>
      <c r="Q17" s="1">
        <f t="shared" si="0"/>
        <v>1</v>
      </c>
      <c r="R17" s="101" t="s">
        <v>701</v>
      </c>
      <c r="W17" s="1" t="s">
        <v>890</v>
      </c>
    </row>
    <row r="18" spans="1:23" hidden="1" x14ac:dyDescent="0.25">
      <c r="A18" s="1">
        <v>11</v>
      </c>
      <c r="C18" s="7" t="s">
        <v>466</v>
      </c>
      <c r="D18" s="17">
        <v>25402</v>
      </c>
      <c r="E18" s="7" t="s">
        <v>11</v>
      </c>
      <c r="F18" s="7" t="s">
        <v>74</v>
      </c>
      <c r="G18" s="7" t="s">
        <v>89</v>
      </c>
      <c r="H18" s="8" t="s">
        <v>35</v>
      </c>
      <c r="I18" s="8">
        <v>432309</v>
      </c>
      <c r="J18" s="7" t="s">
        <v>467</v>
      </c>
      <c r="K18" s="44">
        <v>16</v>
      </c>
      <c r="L18" s="44">
        <v>2</v>
      </c>
      <c r="M18" s="44">
        <v>20</v>
      </c>
      <c r="N18" s="8" t="s">
        <v>377</v>
      </c>
      <c r="O18" s="18">
        <v>44313</v>
      </c>
      <c r="P18" s="8" t="s">
        <v>60</v>
      </c>
      <c r="Q18" s="1">
        <f t="shared" si="0"/>
        <v>1</v>
      </c>
      <c r="R18" s="101" t="s">
        <v>701</v>
      </c>
      <c r="W18" s="1" t="s">
        <v>890</v>
      </c>
    </row>
    <row r="19" spans="1:23" hidden="1" x14ac:dyDescent="0.25">
      <c r="A19" s="1">
        <v>12</v>
      </c>
      <c r="C19" s="7" t="s">
        <v>466</v>
      </c>
      <c r="D19" s="17">
        <v>25279</v>
      </c>
      <c r="E19" s="7" t="s">
        <v>11</v>
      </c>
      <c r="F19" s="7" t="s">
        <v>461</v>
      </c>
      <c r="G19" s="7" t="s">
        <v>84</v>
      </c>
      <c r="H19" s="8" t="s">
        <v>35</v>
      </c>
      <c r="I19" s="8">
        <v>338174</v>
      </c>
      <c r="J19" s="7" t="s">
        <v>468</v>
      </c>
      <c r="K19" s="44">
        <v>16</v>
      </c>
      <c r="L19" s="44">
        <v>8</v>
      </c>
      <c r="M19" s="44">
        <v>4</v>
      </c>
      <c r="N19" s="8" t="s">
        <v>67</v>
      </c>
      <c r="O19" s="18">
        <v>44323</v>
      </c>
      <c r="P19" s="8" t="s">
        <v>60</v>
      </c>
      <c r="Q19" s="1">
        <f t="shared" si="0"/>
        <v>1</v>
      </c>
      <c r="R19" s="101" t="s">
        <v>701</v>
      </c>
      <c r="W19" s="1" t="s">
        <v>890</v>
      </c>
    </row>
    <row r="20" spans="1:23" hidden="1" x14ac:dyDescent="0.25">
      <c r="A20" s="1">
        <v>13</v>
      </c>
      <c r="C20" s="7" t="s">
        <v>460</v>
      </c>
      <c r="D20" s="17">
        <v>23754</v>
      </c>
      <c r="E20" s="7" t="s">
        <v>11</v>
      </c>
      <c r="F20" s="7" t="s">
        <v>461</v>
      </c>
      <c r="G20" s="7" t="s">
        <v>40</v>
      </c>
      <c r="H20" s="8" t="s">
        <v>35</v>
      </c>
      <c r="I20" s="8">
        <v>675132</v>
      </c>
      <c r="J20" s="7" t="s">
        <v>462</v>
      </c>
      <c r="K20" s="44">
        <v>24</v>
      </c>
      <c r="L20" s="44">
        <v>3</v>
      </c>
      <c r="M20" s="44">
        <v>11</v>
      </c>
      <c r="N20" s="8" t="s">
        <v>80</v>
      </c>
      <c r="O20" s="18">
        <v>44329</v>
      </c>
      <c r="P20" s="8" t="s">
        <v>77</v>
      </c>
      <c r="Q20" s="1">
        <f t="shared" si="0"/>
        <v>1</v>
      </c>
      <c r="W20" s="1" t="s">
        <v>890</v>
      </c>
    </row>
    <row r="21" spans="1:23" hidden="1" x14ac:dyDescent="0.25">
      <c r="A21" s="1">
        <v>14</v>
      </c>
      <c r="C21" s="7" t="s">
        <v>460</v>
      </c>
      <c r="D21" s="17">
        <v>23755</v>
      </c>
      <c r="E21" s="7" t="s">
        <v>11</v>
      </c>
      <c r="F21" s="7" t="s">
        <v>461</v>
      </c>
      <c r="G21" s="7" t="s">
        <v>40</v>
      </c>
      <c r="H21" s="8" t="s">
        <v>35</v>
      </c>
      <c r="I21" s="8">
        <v>675132</v>
      </c>
      <c r="J21" s="7" t="s">
        <v>462</v>
      </c>
      <c r="K21" s="44">
        <v>24</v>
      </c>
      <c r="L21" s="44">
        <v>3</v>
      </c>
      <c r="M21" s="44">
        <v>10</v>
      </c>
      <c r="N21" s="8" t="s">
        <v>86</v>
      </c>
      <c r="O21" s="18">
        <v>44336</v>
      </c>
      <c r="P21" s="8" t="s">
        <v>77</v>
      </c>
      <c r="Q21" s="1">
        <f t="shared" si="0"/>
        <v>1</v>
      </c>
      <c r="W21" s="1" t="s">
        <v>890</v>
      </c>
    </row>
    <row r="22" spans="1:23" hidden="1" x14ac:dyDescent="0.25">
      <c r="A22" s="1">
        <v>16</v>
      </c>
      <c r="C22" s="7" t="s">
        <v>469</v>
      </c>
      <c r="D22" s="17">
        <v>26755</v>
      </c>
      <c r="E22" s="7" t="s">
        <v>6</v>
      </c>
      <c r="F22" s="7" t="s">
        <v>352</v>
      </c>
      <c r="G22" s="7" t="s">
        <v>159</v>
      </c>
      <c r="H22" s="8" t="s">
        <v>35</v>
      </c>
      <c r="I22" s="8">
        <v>308159</v>
      </c>
      <c r="J22" s="7" t="s">
        <v>470</v>
      </c>
      <c r="K22" s="44">
        <v>16</v>
      </c>
      <c r="L22" s="44">
        <v>2</v>
      </c>
      <c r="M22" s="44">
        <v>2</v>
      </c>
      <c r="N22" s="8" t="s">
        <v>97</v>
      </c>
      <c r="O22" s="18">
        <v>44344</v>
      </c>
      <c r="P22" s="8" t="s">
        <v>77</v>
      </c>
      <c r="Q22" s="1">
        <f t="shared" ref="Q22:Q36" si="1">IF(O22&lt;=$D$3,1,0)</f>
        <v>1</v>
      </c>
      <c r="R22" s="101" t="s">
        <v>701</v>
      </c>
      <c r="W22" s="1" t="s">
        <v>890</v>
      </c>
    </row>
    <row r="23" spans="1:23" hidden="1" x14ac:dyDescent="0.25">
      <c r="A23" s="1">
        <v>17</v>
      </c>
      <c r="C23" s="7" t="s">
        <v>460</v>
      </c>
      <c r="D23" s="17">
        <v>27893</v>
      </c>
      <c r="E23" s="7" t="s">
        <v>11</v>
      </c>
      <c r="F23" s="7" t="s">
        <v>461</v>
      </c>
      <c r="G23" s="7" t="s">
        <v>401</v>
      </c>
      <c r="H23" s="8" t="s">
        <v>35</v>
      </c>
      <c r="I23" s="8">
        <v>390730</v>
      </c>
      <c r="J23" s="7" t="s">
        <v>471</v>
      </c>
      <c r="K23" s="44">
        <v>16</v>
      </c>
      <c r="L23" s="44">
        <v>2</v>
      </c>
      <c r="M23" s="44">
        <v>9</v>
      </c>
      <c r="N23" s="8" t="s">
        <v>350</v>
      </c>
      <c r="O23" s="18">
        <v>44348</v>
      </c>
      <c r="P23" s="8" t="s">
        <v>77</v>
      </c>
      <c r="Q23" s="1">
        <f t="shared" si="1"/>
        <v>1</v>
      </c>
      <c r="W23" s="1" t="s">
        <v>890</v>
      </c>
    </row>
    <row r="24" spans="1:23" hidden="1" x14ac:dyDescent="0.25">
      <c r="A24" s="106">
        <v>18</v>
      </c>
      <c r="C24" s="7" t="s">
        <v>460</v>
      </c>
      <c r="D24" s="17">
        <v>24793</v>
      </c>
      <c r="E24" s="7" t="s">
        <v>11</v>
      </c>
      <c r="F24" s="7" t="s">
        <v>461</v>
      </c>
      <c r="G24" s="7" t="s">
        <v>346</v>
      </c>
      <c r="H24" s="8" t="s">
        <v>35</v>
      </c>
      <c r="I24" s="8">
        <v>523589</v>
      </c>
      <c r="J24" s="7" t="s">
        <v>472</v>
      </c>
      <c r="K24" s="44">
        <v>16</v>
      </c>
      <c r="L24" s="44">
        <v>2</v>
      </c>
      <c r="M24" s="44">
        <v>11</v>
      </c>
      <c r="N24" s="8" t="s">
        <v>289</v>
      </c>
      <c r="O24" s="8" t="s">
        <v>290</v>
      </c>
      <c r="P24" s="8" t="s">
        <v>100</v>
      </c>
      <c r="Q24" s="1">
        <f t="shared" si="1"/>
        <v>0</v>
      </c>
      <c r="W24" s="1" t="s">
        <v>890</v>
      </c>
    </row>
    <row r="25" spans="1:23" hidden="1" x14ac:dyDescent="0.25">
      <c r="A25" s="1">
        <v>19</v>
      </c>
      <c r="C25" s="7" t="s">
        <v>460</v>
      </c>
      <c r="D25" s="17">
        <v>24792</v>
      </c>
      <c r="E25" s="7" t="s">
        <v>11</v>
      </c>
      <c r="F25" s="7" t="s">
        <v>461</v>
      </c>
      <c r="G25" s="7" t="s">
        <v>346</v>
      </c>
      <c r="H25" s="8" t="s">
        <v>35</v>
      </c>
      <c r="I25" s="8">
        <v>523589</v>
      </c>
      <c r="J25" s="7" t="s">
        <v>472</v>
      </c>
      <c r="K25" s="44">
        <v>16</v>
      </c>
      <c r="L25" s="44">
        <v>2</v>
      </c>
      <c r="M25" s="44">
        <v>11</v>
      </c>
      <c r="N25" s="8" t="s">
        <v>295</v>
      </c>
      <c r="O25" s="8" t="s">
        <v>102</v>
      </c>
      <c r="P25" s="8" t="s">
        <v>100</v>
      </c>
      <c r="Q25" s="1">
        <f t="shared" si="1"/>
        <v>0</v>
      </c>
      <c r="W25" s="1" t="s">
        <v>890</v>
      </c>
    </row>
    <row r="26" spans="1:23" hidden="1" x14ac:dyDescent="0.25">
      <c r="A26" s="1">
        <v>20</v>
      </c>
      <c r="C26" s="7" t="s">
        <v>460</v>
      </c>
      <c r="D26" s="17">
        <v>23749</v>
      </c>
      <c r="E26" s="7" t="s">
        <v>11</v>
      </c>
      <c r="F26" s="7" t="s">
        <v>461</v>
      </c>
      <c r="G26" s="7" t="s">
        <v>317</v>
      </c>
      <c r="H26" s="8" t="s">
        <v>35</v>
      </c>
      <c r="I26" s="8">
        <v>523589</v>
      </c>
      <c r="J26" s="7" t="s">
        <v>472</v>
      </c>
      <c r="K26" s="44">
        <v>16</v>
      </c>
      <c r="L26" s="44">
        <v>2</v>
      </c>
      <c r="M26" s="44">
        <v>11</v>
      </c>
      <c r="N26" s="8" t="s">
        <v>104</v>
      </c>
      <c r="O26" s="8" t="s">
        <v>298</v>
      </c>
      <c r="P26" s="8" t="s">
        <v>100</v>
      </c>
      <c r="Q26" s="1">
        <f t="shared" si="1"/>
        <v>0</v>
      </c>
      <c r="W26" s="1" t="s">
        <v>890</v>
      </c>
    </row>
    <row r="27" spans="1:23" hidden="1" x14ac:dyDescent="0.25">
      <c r="A27" s="1">
        <v>22</v>
      </c>
      <c r="C27" s="7" t="s">
        <v>460</v>
      </c>
      <c r="D27" s="17">
        <v>23750</v>
      </c>
      <c r="E27" s="7" t="s">
        <v>11</v>
      </c>
      <c r="F27" s="7" t="s">
        <v>461</v>
      </c>
      <c r="G27" s="7" t="s">
        <v>317</v>
      </c>
      <c r="H27" s="8" t="s">
        <v>35</v>
      </c>
      <c r="I27" s="8">
        <v>523589</v>
      </c>
      <c r="J27" s="7" t="s">
        <v>472</v>
      </c>
      <c r="K27" s="44">
        <v>16</v>
      </c>
      <c r="L27" s="44">
        <v>2</v>
      </c>
      <c r="M27" s="44">
        <v>11</v>
      </c>
      <c r="N27" s="8" t="s">
        <v>299</v>
      </c>
      <c r="O27" s="8" t="s">
        <v>300</v>
      </c>
      <c r="P27" s="8" t="s">
        <v>100</v>
      </c>
      <c r="Q27" s="1">
        <f t="shared" si="1"/>
        <v>0</v>
      </c>
      <c r="W27" s="1" t="s">
        <v>890</v>
      </c>
    </row>
    <row r="28" spans="1:23" hidden="1" x14ac:dyDescent="0.25">
      <c r="A28" s="1">
        <v>25</v>
      </c>
      <c r="C28" s="7" t="s">
        <v>466</v>
      </c>
      <c r="D28" s="17">
        <v>25607</v>
      </c>
      <c r="E28" s="7" t="s">
        <v>11</v>
      </c>
      <c r="F28" s="7" t="s">
        <v>74</v>
      </c>
      <c r="G28" s="7" t="s">
        <v>84</v>
      </c>
      <c r="H28" s="8" t="s">
        <v>35</v>
      </c>
      <c r="I28" s="8">
        <v>432309</v>
      </c>
      <c r="J28" s="7" t="s">
        <v>467</v>
      </c>
      <c r="K28" s="44">
        <v>16</v>
      </c>
      <c r="L28" s="44">
        <v>2</v>
      </c>
      <c r="M28" s="44">
        <v>5</v>
      </c>
      <c r="N28" s="8" t="s">
        <v>304</v>
      </c>
      <c r="O28" s="8" t="s">
        <v>305</v>
      </c>
      <c r="P28" s="8" t="s">
        <v>100</v>
      </c>
      <c r="Q28" s="1">
        <f t="shared" si="1"/>
        <v>0</v>
      </c>
      <c r="R28" s="97" t="s">
        <v>701</v>
      </c>
      <c r="W28" s="1" t="s">
        <v>890</v>
      </c>
    </row>
    <row r="29" spans="1:23" hidden="1" x14ac:dyDescent="0.25">
      <c r="A29" s="1">
        <v>26</v>
      </c>
      <c r="C29" s="7" t="s">
        <v>460</v>
      </c>
      <c r="D29" s="17">
        <v>23231</v>
      </c>
      <c r="E29" s="7" t="s">
        <v>11</v>
      </c>
      <c r="F29" s="7" t="s">
        <v>461</v>
      </c>
      <c r="G29" s="7" t="s">
        <v>294</v>
      </c>
      <c r="H29" s="8" t="s">
        <v>35</v>
      </c>
      <c r="I29" s="8">
        <v>335177</v>
      </c>
      <c r="J29" s="7" t="s">
        <v>465</v>
      </c>
      <c r="K29" s="44">
        <v>8</v>
      </c>
      <c r="L29" s="44">
        <v>4</v>
      </c>
      <c r="M29" s="44">
        <v>11</v>
      </c>
      <c r="N29" s="8" t="s">
        <v>304</v>
      </c>
      <c r="O29" s="8" t="s">
        <v>113</v>
      </c>
      <c r="P29" s="8" t="s">
        <v>100</v>
      </c>
      <c r="Q29" s="1">
        <f t="shared" si="1"/>
        <v>0</v>
      </c>
      <c r="W29" s="1" t="s">
        <v>890</v>
      </c>
    </row>
    <row r="30" spans="1:23" hidden="1" x14ac:dyDescent="0.25">
      <c r="A30" s="1">
        <v>29</v>
      </c>
      <c r="C30" s="7" t="s">
        <v>460</v>
      </c>
      <c r="D30" s="17">
        <v>23741</v>
      </c>
      <c r="E30" s="7" t="s">
        <v>11</v>
      </c>
      <c r="F30" s="7" t="s">
        <v>461</v>
      </c>
      <c r="G30" s="7" t="s">
        <v>279</v>
      </c>
      <c r="H30" s="8" t="s">
        <v>35</v>
      </c>
      <c r="I30" s="8">
        <v>335177</v>
      </c>
      <c r="J30" s="7" t="s">
        <v>465</v>
      </c>
      <c r="K30" s="44">
        <v>16</v>
      </c>
      <c r="L30" s="44">
        <v>2</v>
      </c>
      <c r="M30" s="44">
        <v>11</v>
      </c>
      <c r="N30" s="8" t="s">
        <v>310</v>
      </c>
      <c r="O30" s="8" t="s">
        <v>311</v>
      </c>
      <c r="P30" s="8" t="s">
        <v>119</v>
      </c>
      <c r="Q30" s="1">
        <f t="shared" si="1"/>
        <v>0</v>
      </c>
      <c r="W30" s="1" t="s">
        <v>890</v>
      </c>
    </row>
    <row r="31" spans="1:23" hidden="1" x14ac:dyDescent="0.25">
      <c r="A31" s="1">
        <v>31</v>
      </c>
      <c r="C31" s="7" t="s">
        <v>460</v>
      </c>
      <c r="D31" s="17">
        <v>23742</v>
      </c>
      <c r="E31" s="7" t="s">
        <v>11</v>
      </c>
      <c r="F31" s="7" t="s">
        <v>461</v>
      </c>
      <c r="G31" s="7" t="s">
        <v>279</v>
      </c>
      <c r="H31" s="8" t="s">
        <v>35</v>
      </c>
      <c r="I31" s="8">
        <v>335177</v>
      </c>
      <c r="J31" s="7" t="s">
        <v>465</v>
      </c>
      <c r="K31" s="44">
        <v>16</v>
      </c>
      <c r="L31" s="44">
        <v>2</v>
      </c>
      <c r="M31" s="44">
        <v>11</v>
      </c>
      <c r="N31" s="8" t="s">
        <v>120</v>
      </c>
      <c r="O31" s="8" t="s">
        <v>121</v>
      </c>
      <c r="P31" s="8" t="s">
        <v>119</v>
      </c>
      <c r="Q31" s="1">
        <f t="shared" si="1"/>
        <v>0</v>
      </c>
      <c r="W31" s="1" t="s">
        <v>890</v>
      </c>
    </row>
    <row r="32" spans="1:23" hidden="1" x14ac:dyDescent="0.25">
      <c r="A32" s="1">
        <v>36</v>
      </c>
      <c r="C32" s="7" t="s">
        <v>460</v>
      </c>
      <c r="D32" s="17">
        <v>26322</v>
      </c>
      <c r="E32" s="7" t="s">
        <v>11</v>
      </c>
      <c r="F32" s="7" t="s">
        <v>461</v>
      </c>
      <c r="G32" s="7" t="s">
        <v>159</v>
      </c>
      <c r="H32" s="8" t="s">
        <v>35</v>
      </c>
      <c r="I32" s="8">
        <v>570530</v>
      </c>
      <c r="J32" s="7" t="s">
        <v>446</v>
      </c>
      <c r="K32" s="44">
        <v>16</v>
      </c>
      <c r="L32" s="44">
        <v>2</v>
      </c>
      <c r="M32" s="44">
        <v>10</v>
      </c>
      <c r="N32" s="8" t="s">
        <v>184</v>
      </c>
      <c r="O32" s="8" t="s">
        <v>185</v>
      </c>
      <c r="P32" s="8" t="s">
        <v>173</v>
      </c>
      <c r="Q32" s="1">
        <f t="shared" si="1"/>
        <v>0</v>
      </c>
      <c r="W32" s="1" t="s">
        <v>890</v>
      </c>
    </row>
    <row r="33" spans="1:23" hidden="1" x14ac:dyDescent="0.25">
      <c r="A33" s="1">
        <v>42</v>
      </c>
      <c r="C33" s="7" t="s">
        <v>460</v>
      </c>
      <c r="D33" s="17">
        <v>23476</v>
      </c>
      <c r="E33" s="7" t="s">
        <v>11</v>
      </c>
      <c r="F33" s="7" t="s">
        <v>461</v>
      </c>
      <c r="G33" s="7" t="s">
        <v>68</v>
      </c>
      <c r="H33" s="8" t="s">
        <v>35</v>
      </c>
      <c r="I33" s="8">
        <v>570530</v>
      </c>
      <c r="J33" s="7" t="s">
        <v>446</v>
      </c>
      <c r="K33" s="44">
        <v>24</v>
      </c>
      <c r="L33" s="44">
        <v>3</v>
      </c>
      <c r="M33" s="44">
        <v>10</v>
      </c>
      <c r="N33" s="8" t="s">
        <v>203</v>
      </c>
      <c r="O33" s="8" t="s">
        <v>205</v>
      </c>
      <c r="P33" s="8" t="s">
        <v>202</v>
      </c>
      <c r="Q33" s="1">
        <f t="shared" si="1"/>
        <v>0</v>
      </c>
      <c r="W33" s="1" t="s">
        <v>890</v>
      </c>
    </row>
    <row r="34" spans="1:23" hidden="1" x14ac:dyDescent="0.25">
      <c r="A34" s="1">
        <v>43</v>
      </c>
      <c r="C34" s="7" t="s">
        <v>460</v>
      </c>
      <c r="D34" s="17">
        <v>23757</v>
      </c>
      <c r="E34" s="7" t="s">
        <v>11</v>
      </c>
      <c r="F34" s="7" t="s">
        <v>461</v>
      </c>
      <c r="G34" s="7" t="s">
        <v>40</v>
      </c>
      <c r="H34" s="8" t="s">
        <v>35</v>
      </c>
      <c r="I34" s="8">
        <v>675132</v>
      </c>
      <c r="J34" s="7" t="s">
        <v>462</v>
      </c>
      <c r="K34" s="44">
        <v>24</v>
      </c>
      <c r="L34" s="44">
        <v>3</v>
      </c>
      <c r="M34" s="44">
        <v>10</v>
      </c>
      <c r="N34" s="8" t="s">
        <v>204</v>
      </c>
      <c r="O34" s="8" t="s">
        <v>206</v>
      </c>
      <c r="P34" s="8" t="s">
        <v>202</v>
      </c>
      <c r="Q34" s="1">
        <f t="shared" si="1"/>
        <v>0</v>
      </c>
      <c r="W34" s="1" t="s">
        <v>890</v>
      </c>
    </row>
    <row r="35" spans="1:23" hidden="1" x14ac:dyDescent="0.25">
      <c r="A35" s="1">
        <v>44</v>
      </c>
      <c r="C35" s="7" t="s">
        <v>460</v>
      </c>
      <c r="D35" s="17">
        <v>28117</v>
      </c>
      <c r="E35" s="7" t="s">
        <v>11</v>
      </c>
      <c r="F35" s="7" t="s">
        <v>461</v>
      </c>
      <c r="G35" s="7" t="s">
        <v>302</v>
      </c>
      <c r="H35" s="8" t="s">
        <v>35</v>
      </c>
      <c r="I35" s="8">
        <v>331066</v>
      </c>
      <c r="J35" s="7" t="s">
        <v>473</v>
      </c>
      <c r="K35" s="44">
        <v>8</v>
      </c>
      <c r="L35" s="44">
        <v>1</v>
      </c>
      <c r="M35" s="44">
        <v>10</v>
      </c>
      <c r="N35" s="8" t="s">
        <v>208</v>
      </c>
      <c r="O35" s="8" t="s">
        <v>208</v>
      </c>
      <c r="P35" s="8" t="s">
        <v>202</v>
      </c>
      <c r="Q35" s="1">
        <f t="shared" si="1"/>
        <v>0</v>
      </c>
      <c r="W35" s="1" t="s">
        <v>890</v>
      </c>
    </row>
    <row r="36" spans="1:23" hidden="1" x14ac:dyDescent="0.25">
      <c r="A36" s="1">
        <v>45</v>
      </c>
      <c r="C36" s="7" t="s">
        <v>460</v>
      </c>
      <c r="D36" s="17">
        <v>28116</v>
      </c>
      <c r="E36" s="7" t="s">
        <v>11</v>
      </c>
      <c r="F36" s="7" t="s">
        <v>461</v>
      </c>
      <c r="G36" s="7" t="s">
        <v>302</v>
      </c>
      <c r="H36" s="8" t="s">
        <v>35</v>
      </c>
      <c r="I36" s="8">
        <v>331066</v>
      </c>
      <c r="J36" s="7" t="s">
        <v>473</v>
      </c>
      <c r="K36" s="44">
        <v>8</v>
      </c>
      <c r="L36" s="44">
        <v>1</v>
      </c>
      <c r="M36" s="44">
        <v>10</v>
      </c>
      <c r="N36" s="8" t="s">
        <v>330</v>
      </c>
      <c r="O36" s="8" t="s">
        <v>330</v>
      </c>
      <c r="P36" s="8" t="s">
        <v>202</v>
      </c>
      <c r="Q36" s="1">
        <f t="shared" si="1"/>
        <v>0</v>
      </c>
      <c r="W36" s="1" t="s">
        <v>890</v>
      </c>
    </row>
    <row r="37" spans="1:23" x14ac:dyDescent="0.25">
      <c r="A37" s="1">
        <v>46</v>
      </c>
      <c r="C37" s="7" t="s">
        <v>460</v>
      </c>
      <c r="D37" s="17">
        <v>28115</v>
      </c>
      <c r="E37" s="7" t="s">
        <v>11</v>
      </c>
      <c r="F37" s="7" t="s">
        <v>461</v>
      </c>
      <c r="G37" s="7" t="s">
        <v>302</v>
      </c>
      <c r="H37" s="8" t="s">
        <v>35</v>
      </c>
      <c r="I37" s="8">
        <v>331066</v>
      </c>
      <c r="J37" s="7" t="s">
        <v>473</v>
      </c>
      <c r="K37" s="44">
        <v>8</v>
      </c>
      <c r="L37" s="44">
        <v>1</v>
      </c>
      <c r="M37" s="44">
        <v>9</v>
      </c>
      <c r="N37" s="8" t="s">
        <v>209</v>
      </c>
      <c r="O37" s="8" t="s">
        <v>209</v>
      </c>
      <c r="P37" s="8" t="s">
        <v>202</v>
      </c>
      <c r="Q37" s="130">
        <v>1</v>
      </c>
      <c r="R37" s="241" t="s">
        <v>699</v>
      </c>
      <c r="S37">
        <v>4</v>
      </c>
      <c r="W37" s="1" t="s">
        <v>890</v>
      </c>
    </row>
    <row r="38" spans="1:23" x14ac:dyDescent="0.25">
      <c r="A38" s="1">
        <v>47</v>
      </c>
      <c r="C38" s="7" t="s">
        <v>460</v>
      </c>
      <c r="D38" s="17">
        <v>28114</v>
      </c>
      <c r="E38" s="7" t="s">
        <v>11</v>
      </c>
      <c r="F38" s="7" t="s">
        <v>461</v>
      </c>
      <c r="G38" s="7" t="s">
        <v>302</v>
      </c>
      <c r="H38" s="8" t="s">
        <v>35</v>
      </c>
      <c r="I38" s="8">
        <v>331066</v>
      </c>
      <c r="J38" s="7" t="s">
        <v>473</v>
      </c>
      <c r="K38" s="44">
        <v>8</v>
      </c>
      <c r="L38" s="44">
        <v>1</v>
      </c>
      <c r="M38" s="44">
        <v>10</v>
      </c>
      <c r="N38" s="8" t="s">
        <v>210</v>
      </c>
      <c r="O38" s="8" t="s">
        <v>210</v>
      </c>
      <c r="P38" s="8" t="s">
        <v>202</v>
      </c>
      <c r="Q38" s="130">
        <v>1</v>
      </c>
      <c r="R38" s="241" t="s">
        <v>699</v>
      </c>
      <c r="S38">
        <v>4</v>
      </c>
      <c r="W38" s="1" t="s">
        <v>890</v>
      </c>
    </row>
    <row r="39" spans="1:23" x14ac:dyDescent="0.25">
      <c r="A39" s="106">
        <v>48</v>
      </c>
      <c r="C39" s="7" t="s">
        <v>460</v>
      </c>
      <c r="D39" s="17">
        <v>28113</v>
      </c>
      <c r="E39" s="7" t="s">
        <v>11</v>
      </c>
      <c r="F39" s="7" t="s">
        <v>461</v>
      </c>
      <c r="G39" s="7" t="s">
        <v>302</v>
      </c>
      <c r="H39" s="8" t="s">
        <v>35</v>
      </c>
      <c r="I39" s="8">
        <v>331066</v>
      </c>
      <c r="J39" s="7" t="s">
        <v>473</v>
      </c>
      <c r="K39" s="44">
        <v>8</v>
      </c>
      <c r="L39" s="44">
        <v>1</v>
      </c>
      <c r="M39" s="44">
        <v>10</v>
      </c>
      <c r="N39" s="8" t="s">
        <v>211</v>
      </c>
      <c r="O39" s="8" t="s">
        <v>211</v>
      </c>
      <c r="P39" s="8" t="s">
        <v>202</v>
      </c>
      <c r="Q39" s="130">
        <v>1</v>
      </c>
      <c r="R39" s="101" t="s">
        <v>699</v>
      </c>
      <c r="S39">
        <v>4</v>
      </c>
      <c r="W39" s="1" t="s">
        <v>890</v>
      </c>
    </row>
    <row r="40" spans="1:23" x14ac:dyDescent="0.25">
      <c r="A40" s="1">
        <v>49</v>
      </c>
      <c r="C40" s="7" t="s">
        <v>460</v>
      </c>
      <c r="D40" s="17">
        <v>26238</v>
      </c>
      <c r="E40" s="7" t="s">
        <v>11</v>
      </c>
      <c r="F40" s="7" t="s">
        <v>461</v>
      </c>
      <c r="G40" s="7" t="s">
        <v>89</v>
      </c>
      <c r="H40" s="8" t="s">
        <v>35</v>
      </c>
      <c r="I40" s="8">
        <v>331066</v>
      </c>
      <c r="J40" s="7" t="s">
        <v>473</v>
      </c>
      <c r="K40" s="44">
        <v>16</v>
      </c>
      <c r="L40" s="44">
        <v>2</v>
      </c>
      <c r="M40" s="44">
        <v>11</v>
      </c>
      <c r="N40" s="18">
        <v>44333</v>
      </c>
      <c r="O40" s="18">
        <v>44334</v>
      </c>
      <c r="P40" s="8" t="s">
        <v>202</v>
      </c>
      <c r="Q40" s="130">
        <f>IF(O40&lt;=$D$3,1,0)</f>
        <v>1</v>
      </c>
      <c r="R40" s="241" t="s">
        <v>699</v>
      </c>
      <c r="S40">
        <v>9</v>
      </c>
      <c r="W40" s="1" t="s">
        <v>890</v>
      </c>
    </row>
    <row r="41" spans="1:23" x14ac:dyDescent="0.25">
      <c r="A41" s="1">
        <v>50</v>
      </c>
      <c r="C41" s="7" t="s">
        <v>460</v>
      </c>
      <c r="D41" s="17">
        <v>26239</v>
      </c>
      <c r="E41" s="7" t="s">
        <v>11</v>
      </c>
      <c r="F41" s="7" t="s">
        <v>461</v>
      </c>
      <c r="G41" s="7" t="s">
        <v>89</v>
      </c>
      <c r="H41" s="8" t="s">
        <v>35</v>
      </c>
      <c r="I41" s="8">
        <v>331066</v>
      </c>
      <c r="J41" s="7" t="s">
        <v>473</v>
      </c>
      <c r="K41" s="44">
        <v>16</v>
      </c>
      <c r="L41" s="44">
        <v>2</v>
      </c>
      <c r="M41" s="44">
        <v>11</v>
      </c>
      <c r="N41" s="8" t="s">
        <v>215</v>
      </c>
      <c r="O41" s="8" t="s">
        <v>216</v>
      </c>
      <c r="P41" s="8" t="s">
        <v>202</v>
      </c>
      <c r="Q41" s="130">
        <v>1</v>
      </c>
      <c r="R41" s="241" t="s">
        <v>699</v>
      </c>
      <c r="S41">
        <v>8</v>
      </c>
    </row>
    <row r="42" spans="1:23" x14ac:dyDescent="0.25">
      <c r="A42" s="1">
        <v>51</v>
      </c>
      <c r="C42" s="7" t="s">
        <v>460</v>
      </c>
      <c r="D42" s="17">
        <v>26240</v>
      </c>
      <c r="E42" s="7" t="s">
        <v>11</v>
      </c>
      <c r="F42" s="7" t="s">
        <v>461</v>
      </c>
      <c r="G42" s="7" t="s">
        <v>89</v>
      </c>
      <c r="H42" s="8" t="s">
        <v>35</v>
      </c>
      <c r="I42" s="8">
        <v>331066</v>
      </c>
      <c r="J42" s="7" t="s">
        <v>473</v>
      </c>
      <c r="K42" s="44">
        <v>16</v>
      </c>
      <c r="L42" s="44">
        <v>2</v>
      </c>
      <c r="M42" s="44">
        <v>11</v>
      </c>
      <c r="N42" s="8" t="s">
        <v>222</v>
      </c>
      <c r="O42" s="8" t="s">
        <v>224</v>
      </c>
      <c r="P42" s="8" t="s">
        <v>202</v>
      </c>
      <c r="Q42" s="130">
        <v>1</v>
      </c>
      <c r="R42" s="241" t="s">
        <v>699</v>
      </c>
      <c r="S42">
        <v>4</v>
      </c>
      <c r="W42" s="1" t="s">
        <v>890</v>
      </c>
    </row>
    <row r="43" spans="1:23" x14ac:dyDescent="0.25">
      <c r="A43" s="1">
        <v>52</v>
      </c>
      <c r="C43" s="7" t="s">
        <v>460</v>
      </c>
      <c r="D43" s="17">
        <v>26241</v>
      </c>
      <c r="E43" s="7" t="s">
        <v>11</v>
      </c>
      <c r="F43" s="7" t="s">
        <v>461</v>
      </c>
      <c r="G43" s="7" t="s">
        <v>89</v>
      </c>
      <c r="H43" s="8" t="s">
        <v>35</v>
      </c>
      <c r="I43" s="8">
        <v>331066</v>
      </c>
      <c r="J43" s="7" t="s">
        <v>473</v>
      </c>
      <c r="K43" s="44">
        <v>16</v>
      </c>
      <c r="L43" s="44">
        <v>2</v>
      </c>
      <c r="M43" s="44">
        <v>11</v>
      </c>
      <c r="N43" s="8" t="s">
        <v>226</v>
      </c>
      <c r="O43" s="8" t="s">
        <v>365</v>
      </c>
      <c r="P43" s="8" t="s">
        <v>227</v>
      </c>
      <c r="Q43" s="130">
        <v>1</v>
      </c>
      <c r="R43" s="241" t="s">
        <v>699</v>
      </c>
      <c r="S43">
        <v>6</v>
      </c>
      <c r="W43" s="1" t="s">
        <v>890</v>
      </c>
    </row>
    <row r="44" spans="1:23" x14ac:dyDescent="0.25">
      <c r="A44" s="1">
        <v>53</v>
      </c>
      <c r="C44" s="7" t="s">
        <v>460</v>
      </c>
      <c r="D44" s="17">
        <v>26242</v>
      </c>
      <c r="E44" s="7" t="s">
        <v>11</v>
      </c>
      <c r="F44" s="7" t="s">
        <v>461</v>
      </c>
      <c r="G44" s="7" t="s">
        <v>89</v>
      </c>
      <c r="H44" s="8" t="s">
        <v>35</v>
      </c>
      <c r="I44" s="8">
        <v>331066</v>
      </c>
      <c r="J44" s="7" t="s">
        <v>473</v>
      </c>
      <c r="K44" s="44">
        <v>16</v>
      </c>
      <c r="L44" s="44">
        <v>2</v>
      </c>
      <c r="M44" s="44">
        <v>10</v>
      </c>
      <c r="N44" s="8" t="s">
        <v>366</v>
      </c>
      <c r="O44" s="8" t="s">
        <v>232</v>
      </c>
      <c r="P44" s="8" t="s">
        <v>227</v>
      </c>
      <c r="Q44" s="130">
        <v>1</v>
      </c>
      <c r="R44" s="241" t="s">
        <v>699</v>
      </c>
      <c r="S44">
        <v>4</v>
      </c>
      <c r="W44" s="1" t="s">
        <v>890</v>
      </c>
    </row>
    <row r="45" spans="1:23" hidden="1" x14ac:dyDescent="0.25">
      <c r="A45" s="1">
        <v>54</v>
      </c>
      <c r="C45" s="7" t="s">
        <v>460</v>
      </c>
      <c r="D45" s="17">
        <v>23756</v>
      </c>
      <c r="E45" s="7" t="s">
        <v>11</v>
      </c>
      <c r="F45" s="7" t="s">
        <v>461</v>
      </c>
      <c r="G45" s="7" t="s">
        <v>40</v>
      </c>
      <c r="H45" s="8" t="s">
        <v>35</v>
      </c>
      <c r="I45" s="8">
        <v>675132</v>
      </c>
      <c r="J45" s="7" t="s">
        <v>462</v>
      </c>
      <c r="K45" s="44">
        <v>24</v>
      </c>
      <c r="L45" s="44">
        <v>3</v>
      </c>
      <c r="M45" s="44">
        <v>12</v>
      </c>
      <c r="N45" s="8" t="s">
        <v>366</v>
      </c>
      <c r="O45" s="18">
        <v>44512</v>
      </c>
      <c r="P45" s="8" t="s">
        <v>227</v>
      </c>
      <c r="Q45" s="1">
        <f t="shared" ref="Q45:Q46" si="2">IF(O45&lt;=$D$3,1,0)</f>
        <v>1</v>
      </c>
      <c r="W45" s="1" t="s">
        <v>890</v>
      </c>
    </row>
    <row r="46" spans="1:23" hidden="1" x14ac:dyDescent="0.25">
      <c r="A46" s="1">
        <v>55</v>
      </c>
      <c r="C46" s="7" t="s">
        <v>460</v>
      </c>
      <c r="D46" s="17">
        <v>26243</v>
      </c>
      <c r="E46" s="7" t="s">
        <v>11</v>
      </c>
      <c r="F46" s="7" t="s">
        <v>461</v>
      </c>
      <c r="G46" s="7" t="s">
        <v>89</v>
      </c>
      <c r="H46" s="8" t="s">
        <v>35</v>
      </c>
      <c r="I46" s="8">
        <v>331066</v>
      </c>
      <c r="J46" s="7" t="s">
        <v>473</v>
      </c>
      <c r="K46" s="44">
        <v>16</v>
      </c>
      <c r="L46" s="44">
        <v>2</v>
      </c>
      <c r="M46" s="44">
        <v>10</v>
      </c>
      <c r="N46" s="8" t="s">
        <v>238</v>
      </c>
      <c r="O46" s="18">
        <v>44518</v>
      </c>
      <c r="P46" s="8" t="s">
        <v>227</v>
      </c>
      <c r="Q46" s="1">
        <f t="shared" si="2"/>
        <v>1</v>
      </c>
      <c r="W46" s="1" t="s">
        <v>890</v>
      </c>
    </row>
    <row r="47" spans="1:23" s="131" customFormat="1" x14ac:dyDescent="0.25">
      <c r="A47" s="130">
        <v>15</v>
      </c>
      <c r="C47" s="132" t="s">
        <v>466</v>
      </c>
      <c r="D47" s="133">
        <v>25404</v>
      </c>
      <c r="E47" s="132" t="s">
        <v>11</v>
      </c>
      <c r="F47" s="132" t="s">
        <v>74</v>
      </c>
      <c r="G47" s="132" t="s">
        <v>89</v>
      </c>
      <c r="H47" s="134" t="s">
        <v>35</v>
      </c>
      <c r="I47" s="134">
        <v>432309</v>
      </c>
      <c r="J47" s="132" t="s">
        <v>467</v>
      </c>
      <c r="K47" s="135">
        <v>16</v>
      </c>
      <c r="L47" s="135">
        <v>2</v>
      </c>
      <c r="M47" s="135">
        <v>15</v>
      </c>
      <c r="N47" s="134" t="s">
        <v>91</v>
      </c>
      <c r="O47" s="136">
        <v>44341</v>
      </c>
      <c r="P47" s="134" t="s">
        <v>77</v>
      </c>
      <c r="Q47" s="130">
        <f>IF(O47&lt;=$D$3,1,0)</f>
        <v>1</v>
      </c>
      <c r="R47" s="142" t="s">
        <v>699</v>
      </c>
      <c r="S47" s="131">
        <v>10</v>
      </c>
      <c r="V47" s="131" t="s">
        <v>899</v>
      </c>
      <c r="W47" s="130" t="s">
        <v>891</v>
      </c>
    </row>
    <row r="48" spans="1:23" x14ac:dyDescent="0.25">
      <c r="A48" s="1">
        <v>21</v>
      </c>
      <c r="C48" s="7" t="s">
        <v>469</v>
      </c>
      <c r="D48" s="17">
        <v>26244</v>
      </c>
      <c r="E48" s="7" t="s">
        <v>11</v>
      </c>
      <c r="F48" s="7" t="s">
        <v>461</v>
      </c>
      <c r="G48" s="7" t="s">
        <v>89</v>
      </c>
      <c r="H48" s="8" t="s">
        <v>35</v>
      </c>
      <c r="I48" s="8">
        <v>352466</v>
      </c>
      <c r="J48" s="7" t="s">
        <v>474</v>
      </c>
      <c r="K48" s="44">
        <v>16</v>
      </c>
      <c r="L48" s="44">
        <v>2</v>
      </c>
      <c r="M48" s="44">
        <v>14</v>
      </c>
      <c r="N48" s="8" t="s">
        <v>299</v>
      </c>
      <c r="O48" s="8" t="s">
        <v>300</v>
      </c>
      <c r="P48" s="8" t="s">
        <v>100</v>
      </c>
      <c r="Q48" s="1">
        <v>1</v>
      </c>
      <c r="R48" s="101" t="s">
        <v>699</v>
      </c>
      <c r="S48">
        <v>10</v>
      </c>
      <c r="W48" s="1" t="s">
        <v>891</v>
      </c>
    </row>
    <row r="49" spans="1:23" x14ac:dyDescent="0.25">
      <c r="A49" s="1">
        <v>23</v>
      </c>
      <c r="C49" s="7" t="s">
        <v>469</v>
      </c>
      <c r="D49" s="17">
        <v>24348</v>
      </c>
      <c r="E49" s="7" t="s">
        <v>11</v>
      </c>
      <c r="F49" s="7" t="s">
        <v>461</v>
      </c>
      <c r="G49" s="7" t="s">
        <v>62</v>
      </c>
      <c r="H49" s="8" t="s">
        <v>35</v>
      </c>
      <c r="I49" s="8">
        <v>352466</v>
      </c>
      <c r="J49" s="7" t="s">
        <v>474</v>
      </c>
      <c r="K49" s="44">
        <v>24</v>
      </c>
      <c r="L49" s="44">
        <v>3</v>
      </c>
      <c r="M49" s="44">
        <v>13</v>
      </c>
      <c r="N49" s="8" t="s">
        <v>107</v>
      </c>
      <c r="O49" s="8" t="s">
        <v>303</v>
      </c>
      <c r="P49" s="8" t="s">
        <v>100</v>
      </c>
      <c r="Q49" s="1">
        <v>1</v>
      </c>
      <c r="R49" s="101" t="s">
        <v>699</v>
      </c>
      <c r="S49">
        <v>10</v>
      </c>
      <c r="W49" s="1" t="s">
        <v>891</v>
      </c>
    </row>
    <row r="50" spans="1:23" hidden="1" x14ac:dyDescent="0.25">
      <c r="A50" s="1">
        <v>24</v>
      </c>
      <c r="C50" s="7" t="s">
        <v>469</v>
      </c>
      <c r="D50" s="17">
        <v>26320</v>
      </c>
      <c r="E50" s="7" t="s">
        <v>11</v>
      </c>
      <c r="F50" s="7" t="s">
        <v>461</v>
      </c>
      <c r="G50" s="7" t="s">
        <v>159</v>
      </c>
      <c r="H50" s="8" t="s">
        <v>35</v>
      </c>
      <c r="I50" s="8">
        <v>352466</v>
      </c>
      <c r="J50" s="7" t="s">
        <v>474</v>
      </c>
      <c r="K50" s="44">
        <v>16</v>
      </c>
      <c r="L50" s="44">
        <v>2</v>
      </c>
      <c r="M50" s="44">
        <v>13</v>
      </c>
      <c r="N50" s="8" t="s">
        <v>108</v>
      </c>
      <c r="O50" s="18">
        <v>44369</v>
      </c>
      <c r="P50" s="8" t="s">
        <v>100</v>
      </c>
      <c r="Q50" s="1">
        <f t="shared" ref="Q50:Q57" si="3">IF(O50&lt;=$D$3,1,0)</f>
        <v>1</v>
      </c>
      <c r="R50" s="217" t="s">
        <v>701</v>
      </c>
      <c r="V50" t="s">
        <v>902</v>
      </c>
      <c r="W50" s="1" t="s">
        <v>891</v>
      </c>
    </row>
    <row r="51" spans="1:23" x14ac:dyDescent="0.25">
      <c r="A51" s="1">
        <v>27</v>
      </c>
      <c r="C51" s="7" t="s">
        <v>466</v>
      </c>
      <c r="D51" s="17">
        <v>25413</v>
      </c>
      <c r="E51" s="7" t="s">
        <v>11</v>
      </c>
      <c r="F51" s="7" t="s">
        <v>74</v>
      </c>
      <c r="G51" s="7" t="s">
        <v>89</v>
      </c>
      <c r="H51" s="8" t="s">
        <v>35</v>
      </c>
      <c r="I51" s="8">
        <v>432309</v>
      </c>
      <c r="J51" s="7" t="s">
        <v>467</v>
      </c>
      <c r="K51" s="44">
        <v>16</v>
      </c>
      <c r="L51" s="44">
        <v>2</v>
      </c>
      <c r="M51" s="44">
        <v>15</v>
      </c>
      <c r="N51" s="8" t="s">
        <v>306</v>
      </c>
      <c r="O51" s="18">
        <v>44376</v>
      </c>
      <c r="P51" s="8" t="s">
        <v>100</v>
      </c>
      <c r="Q51" s="1">
        <f t="shared" si="3"/>
        <v>1</v>
      </c>
      <c r="R51" s="101" t="s">
        <v>699</v>
      </c>
      <c r="S51">
        <v>8</v>
      </c>
      <c r="V51" t="s">
        <v>899</v>
      </c>
      <c r="W51" s="1" t="s">
        <v>891</v>
      </c>
    </row>
    <row r="52" spans="1:23" hidden="1" x14ac:dyDescent="0.25">
      <c r="A52" s="106">
        <v>28</v>
      </c>
      <c r="C52" s="7" t="s">
        <v>469</v>
      </c>
      <c r="D52" s="17">
        <v>26751</v>
      </c>
      <c r="E52" s="7" t="s">
        <v>6</v>
      </c>
      <c r="F52" s="7" t="s">
        <v>352</v>
      </c>
      <c r="G52" s="7" t="s">
        <v>89</v>
      </c>
      <c r="H52" s="8" t="s">
        <v>35</v>
      </c>
      <c r="I52" s="8">
        <v>365499</v>
      </c>
      <c r="J52" s="7" t="s">
        <v>291</v>
      </c>
      <c r="K52" s="44">
        <v>16</v>
      </c>
      <c r="L52" s="44">
        <v>2</v>
      </c>
      <c r="M52" s="44">
        <v>10</v>
      </c>
      <c r="N52" s="8" t="s">
        <v>310</v>
      </c>
      <c r="O52" s="18">
        <v>44383</v>
      </c>
      <c r="P52" s="8" t="s">
        <v>119</v>
      </c>
      <c r="Q52" s="1">
        <f t="shared" si="3"/>
        <v>1</v>
      </c>
      <c r="R52" s="217" t="s">
        <v>701</v>
      </c>
      <c r="W52" s="1" t="s">
        <v>891</v>
      </c>
    </row>
    <row r="53" spans="1:23" hidden="1" x14ac:dyDescent="0.25">
      <c r="A53" s="1">
        <v>30</v>
      </c>
      <c r="C53" s="7" t="s">
        <v>469</v>
      </c>
      <c r="D53" s="17">
        <v>26750</v>
      </c>
      <c r="E53" s="7" t="s">
        <v>6</v>
      </c>
      <c r="F53" s="7" t="s">
        <v>352</v>
      </c>
      <c r="G53" s="7" t="s">
        <v>89</v>
      </c>
      <c r="H53" s="8" t="s">
        <v>35</v>
      </c>
      <c r="I53" s="8">
        <v>365499</v>
      </c>
      <c r="J53" s="7" t="s">
        <v>291</v>
      </c>
      <c r="K53" s="44">
        <v>16</v>
      </c>
      <c r="L53" s="44">
        <v>2</v>
      </c>
      <c r="M53" s="44">
        <v>11</v>
      </c>
      <c r="N53" s="8" t="s">
        <v>123</v>
      </c>
      <c r="O53" s="18">
        <v>44385</v>
      </c>
      <c r="P53" s="8" t="s">
        <v>119</v>
      </c>
      <c r="Q53" s="1">
        <f t="shared" si="3"/>
        <v>1</v>
      </c>
      <c r="R53" s="217" t="s">
        <v>701</v>
      </c>
      <c r="W53" s="1" t="s">
        <v>891</v>
      </c>
    </row>
    <row r="54" spans="1:23" hidden="1" x14ac:dyDescent="0.25">
      <c r="A54" s="1">
        <v>32</v>
      </c>
      <c r="C54" s="7" t="s">
        <v>466</v>
      </c>
      <c r="D54" s="17">
        <v>25414</v>
      </c>
      <c r="E54" s="7" t="s">
        <v>11</v>
      </c>
      <c r="F54" s="7" t="s">
        <v>74</v>
      </c>
      <c r="G54" s="7" t="s">
        <v>89</v>
      </c>
      <c r="H54" s="8" t="s">
        <v>35</v>
      </c>
      <c r="I54" s="8">
        <v>432309</v>
      </c>
      <c r="J54" s="7" t="s">
        <v>467</v>
      </c>
      <c r="K54" s="44">
        <v>16</v>
      </c>
      <c r="L54" s="44">
        <v>2</v>
      </c>
      <c r="M54" s="44">
        <v>15</v>
      </c>
      <c r="N54" s="8" t="s">
        <v>134</v>
      </c>
      <c r="O54" s="18">
        <v>44404</v>
      </c>
      <c r="P54" s="8" t="s">
        <v>119</v>
      </c>
      <c r="Q54" s="1">
        <f t="shared" si="3"/>
        <v>1</v>
      </c>
      <c r="R54" s="217" t="s">
        <v>701</v>
      </c>
      <c r="V54" t="s">
        <v>899</v>
      </c>
      <c r="W54" s="1" t="s">
        <v>891</v>
      </c>
    </row>
    <row r="55" spans="1:23" hidden="1" x14ac:dyDescent="0.25">
      <c r="A55" s="1">
        <v>33</v>
      </c>
      <c r="C55" s="7" t="s">
        <v>466</v>
      </c>
      <c r="D55" s="17">
        <v>25420</v>
      </c>
      <c r="E55" s="7" t="s">
        <v>11</v>
      </c>
      <c r="F55" s="7" t="s">
        <v>74</v>
      </c>
      <c r="G55" s="7" t="s">
        <v>89</v>
      </c>
      <c r="H55" s="8" t="s">
        <v>35</v>
      </c>
      <c r="I55" s="8">
        <v>432309</v>
      </c>
      <c r="J55" s="7" t="s">
        <v>467</v>
      </c>
      <c r="K55" s="44">
        <v>16</v>
      </c>
      <c r="L55" s="44">
        <v>2</v>
      </c>
      <c r="M55" s="44">
        <v>15</v>
      </c>
      <c r="N55" s="8" t="s">
        <v>168</v>
      </c>
      <c r="O55" s="18">
        <v>44439</v>
      </c>
      <c r="P55" s="8" t="s">
        <v>141</v>
      </c>
      <c r="Q55" s="1">
        <f t="shared" si="3"/>
        <v>1</v>
      </c>
      <c r="R55" s="217" t="s">
        <v>701</v>
      </c>
      <c r="V55" t="s">
        <v>899</v>
      </c>
      <c r="W55" s="1" t="s">
        <v>891</v>
      </c>
    </row>
    <row r="56" spans="1:23" hidden="1" x14ac:dyDescent="0.25">
      <c r="A56" s="1">
        <v>34</v>
      </c>
      <c r="C56" s="7" t="s">
        <v>459</v>
      </c>
      <c r="D56" s="17">
        <v>24347</v>
      </c>
      <c r="E56" s="7" t="s">
        <v>11</v>
      </c>
      <c r="F56" s="7" t="s">
        <v>461</v>
      </c>
      <c r="G56" s="7" t="s">
        <v>62</v>
      </c>
      <c r="H56" s="45" t="s">
        <v>35</v>
      </c>
      <c r="I56" s="8">
        <v>570530</v>
      </c>
      <c r="J56" s="7" t="s">
        <v>446</v>
      </c>
      <c r="K56" s="44">
        <v>24</v>
      </c>
      <c r="L56" s="44">
        <v>3</v>
      </c>
      <c r="M56" s="44">
        <v>10</v>
      </c>
      <c r="N56" s="8" t="s">
        <v>181</v>
      </c>
      <c r="O56" s="18">
        <v>44448</v>
      </c>
      <c r="P56" s="8" t="s">
        <v>173</v>
      </c>
      <c r="Q56" s="1">
        <f t="shared" si="3"/>
        <v>1</v>
      </c>
      <c r="R56" s="217" t="s">
        <v>701</v>
      </c>
      <c r="W56" s="1" t="s">
        <v>891</v>
      </c>
    </row>
    <row r="57" spans="1:23" hidden="1" x14ac:dyDescent="0.25">
      <c r="A57" s="1">
        <v>35</v>
      </c>
      <c r="C57" s="7" t="s">
        <v>469</v>
      </c>
      <c r="D57" s="17">
        <v>26245</v>
      </c>
      <c r="E57" s="7" t="s">
        <v>11</v>
      </c>
      <c r="F57" s="7" t="s">
        <v>461</v>
      </c>
      <c r="G57" s="7" t="s">
        <v>89</v>
      </c>
      <c r="H57" s="8" t="s">
        <v>35</v>
      </c>
      <c r="I57" s="8">
        <v>352466</v>
      </c>
      <c r="J57" s="7" t="s">
        <v>474</v>
      </c>
      <c r="K57" s="44">
        <v>16</v>
      </c>
      <c r="L57" s="44">
        <v>2</v>
      </c>
      <c r="M57" s="44">
        <v>15</v>
      </c>
      <c r="N57" s="8" t="s">
        <v>184</v>
      </c>
      <c r="O57" s="18">
        <v>44453</v>
      </c>
      <c r="P57" s="8" t="s">
        <v>173</v>
      </c>
      <c r="Q57" s="1">
        <f t="shared" si="3"/>
        <v>1</v>
      </c>
      <c r="R57" s="217" t="s">
        <v>701</v>
      </c>
      <c r="W57" s="1" t="s">
        <v>891</v>
      </c>
    </row>
    <row r="58" spans="1:23" hidden="1" x14ac:dyDescent="0.25">
      <c r="A58" s="1">
        <v>37</v>
      </c>
      <c r="C58" s="7" t="s">
        <v>469</v>
      </c>
      <c r="D58" s="17">
        <v>24349</v>
      </c>
      <c r="E58" s="7" t="s">
        <v>11</v>
      </c>
      <c r="F58" s="7" t="s">
        <v>461</v>
      </c>
      <c r="G58" s="7" t="s">
        <v>62</v>
      </c>
      <c r="H58" s="8" t="s">
        <v>35</v>
      </c>
      <c r="I58" s="8">
        <v>352466</v>
      </c>
      <c r="J58" s="7" t="s">
        <v>474</v>
      </c>
      <c r="K58" s="44">
        <v>24</v>
      </c>
      <c r="L58" s="44">
        <v>3</v>
      </c>
      <c r="M58" s="44">
        <v>14</v>
      </c>
      <c r="N58" s="8" t="s">
        <v>361</v>
      </c>
      <c r="O58" s="18">
        <v>44461</v>
      </c>
      <c r="P58" s="8" t="s">
        <v>173</v>
      </c>
      <c r="Q58" s="1">
        <f>IF(O58&lt;=$D$3,1,0)</f>
        <v>1</v>
      </c>
      <c r="R58" s="217" t="s">
        <v>701</v>
      </c>
      <c r="W58" s="1" t="s">
        <v>891</v>
      </c>
    </row>
    <row r="59" spans="1:23" hidden="1" x14ac:dyDescent="0.25">
      <c r="A59" s="106">
        <v>38</v>
      </c>
      <c r="C59" s="7" t="s">
        <v>459</v>
      </c>
      <c r="D59" s="17">
        <v>24346</v>
      </c>
      <c r="E59" s="7" t="s">
        <v>11</v>
      </c>
      <c r="F59" s="7" t="s">
        <v>461</v>
      </c>
      <c r="G59" s="7" t="s">
        <v>62</v>
      </c>
      <c r="H59" s="45" t="s">
        <v>35</v>
      </c>
      <c r="I59" s="8">
        <v>570530</v>
      </c>
      <c r="J59" s="7" t="s">
        <v>446</v>
      </c>
      <c r="K59" s="44">
        <v>24</v>
      </c>
      <c r="L59" s="44">
        <v>3</v>
      </c>
      <c r="M59" s="44">
        <v>10</v>
      </c>
      <c r="N59" s="8" t="s">
        <v>190</v>
      </c>
      <c r="O59" s="18">
        <v>44462</v>
      </c>
      <c r="P59" s="8" t="s">
        <v>173</v>
      </c>
      <c r="Q59" s="1">
        <f>IF(O59&lt;=$D$3,1,0)</f>
        <v>1</v>
      </c>
      <c r="R59" s="217" t="s">
        <v>701</v>
      </c>
      <c r="W59" s="1" t="s">
        <v>891</v>
      </c>
    </row>
    <row r="60" spans="1:23" hidden="1" x14ac:dyDescent="0.25">
      <c r="A60" s="1">
        <v>39</v>
      </c>
      <c r="C60" s="7" t="s">
        <v>469</v>
      </c>
      <c r="D60" s="17">
        <v>26321</v>
      </c>
      <c r="E60" s="7" t="s">
        <v>11</v>
      </c>
      <c r="F60" s="7" t="s">
        <v>461</v>
      </c>
      <c r="G60" s="7" t="s">
        <v>159</v>
      </c>
      <c r="H60" s="8" t="s">
        <v>35</v>
      </c>
      <c r="I60" s="8">
        <v>352466</v>
      </c>
      <c r="J60" s="7" t="s">
        <v>474</v>
      </c>
      <c r="K60" s="44">
        <v>16</v>
      </c>
      <c r="L60" s="44">
        <v>2</v>
      </c>
      <c r="M60" s="44">
        <v>14</v>
      </c>
      <c r="N60" s="8" t="s">
        <v>192</v>
      </c>
      <c r="O60" s="18">
        <v>44463</v>
      </c>
      <c r="P60" s="8" t="s">
        <v>173</v>
      </c>
      <c r="Q60" s="1">
        <f>IF(O60&lt;=$D$3,1,0)</f>
        <v>1</v>
      </c>
      <c r="R60" s="217" t="s">
        <v>701</v>
      </c>
      <c r="W60" s="1" t="s">
        <v>891</v>
      </c>
    </row>
    <row r="61" spans="1:23" hidden="1" x14ac:dyDescent="0.25">
      <c r="A61" s="1">
        <v>40</v>
      </c>
      <c r="C61" s="7" t="s">
        <v>466</v>
      </c>
      <c r="D61" s="17">
        <v>25426</v>
      </c>
      <c r="E61" s="7" t="s">
        <v>11</v>
      </c>
      <c r="F61" s="7" t="s">
        <v>74</v>
      </c>
      <c r="G61" s="7" t="s">
        <v>89</v>
      </c>
      <c r="H61" s="8" t="s">
        <v>35</v>
      </c>
      <c r="I61" s="8">
        <v>432309</v>
      </c>
      <c r="J61" s="7" t="s">
        <v>467</v>
      </c>
      <c r="K61" s="44">
        <v>16</v>
      </c>
      <c r="L61" s="44">
        <v>2</v>
      </c>
      <c r="M61" s="44">
        <v>15</v>
      </c>
      <c r="N61" s="8" t="s">
        <v>195</v>
      </c>
      <c r="O61" s="18">
        <v>44467</v>
      </c>
      <c r="P61" s="8" t="s">
        <v>173</v>
      </c>
      <c r="Q61" s="1">
        <f>IF(O61&lt;=$D$3,1,0)</f>
        <v>1</v>
      </c>
      <c r="R61" s="217" t="s">
        <v>701</v>
      </c>
      <c r="V61" t="s">
        <v>899</v>
      </c>
      <c r="W61" s="1" t="s">
        <v>891</v>
      </c>
    </row>
    <row r="62" spans="1:23" hidden="1" x14ac:dyDescent="0.25">
      <c r="A62" s="1">
        <v>41</v>
      </c>
      <c r="C62" s="7" t="s">
        <v>459</v>
      </c>
      <c r="D62" s="17">
        <v>23475</v>
      </c>
      <c r="E62" s="7" t="s">
        <v>11</v>
      </c>
      <c r="F62" s="7" t="s">
        <v>461</v>
      </c>
      <c r="G62" s="7" t="s">
        <v>68</v>
      </c>
      <c r="H62" s="45" t="s">
        <v>35</v>
      </c>
      <c r="I62" s="8">
        <v>570530</v>
      </c>
      <c r="J62" s="7" t="s">
        <v>446</v>
      </c>
      <c r="K62" s="44">
        <v>24</v>
      </c>
      <c r="L62" s="44">
        <v>3</v>
      </c>
      <c r="M62" s="44">
        <v>12</v>
      </c>
      <c r="N62" s="8" t="s">
        <v>196</v>
      </c>
      <c r="O62" s="18">
        <v>44469</v>
      </c>
      <c r="P62" s="8" t="s">
        <v>173</v>
      </c>
      <c r="Q62" s="1">
        <f>IF(O62&lt;=$D$3,1,0)</f>
        <v>1</v>
      </c>
      <c r="R62" s="217" t="s">
        <v>701</v>
      </c>
      <c r="W62" s="1" t="s">
        <v>891</v>
      </c>
    </row>
    <row r="63" spans="1:23" x14ac:dyDescent="0.25">
      <c r="C63" s="7"/>
      <c r="D63" s="17"/>
    </row>
  </sheetData>
  <autoFilter ref="A7:W62" xr:uid="{00000000-0001-0000-1100-000000000000}">
    <filterColumn colId="17">
      <filters>
        <filter val="Realizado"/>
      </filters>
    </filterColumn>
  </autoFilter>
  <sortState xmlns:xlrd2="http://schemas.microsoft.com/office/spreadsheetml/2017/richdata2" ref="A8:R69">
    <sortCondition ref="O8:O69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Catalogo!$B$5:$B$6</xm:f>
          </x14:formula1>
          <xm:sqref>R8:R62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tabColor theme="9" tint="0.79998168889431442"/>
  </sheetPr>
  <dimension ref="A1:W30"/>
  <sheetViews>
    <sheetView workbookViewId="0">
      <pane xSplit="4" ySplit="7" topLeftCell="E22" activePane="bottomRight" state="frozenSplit"/>
      <selection pane="topRight" activeCell="F1" sqref="F1"/>
      <selection pane="bottomLeft" activeCell="A16" sqref="A16"/>
      <selection pane="bottomRight" activeCell="G37" sqref="G37"/>
    </sheetView>
  </sheetViews>
  <sheetFormatPr baseColWidth="10" defaultColWidth="11.42578125" defaultRowHeight="15" x14ac:dyDescent="0.25"/>
  <cols>
    <col min="1" max="1" width="8" customWidth="1"/>
    <col min="2" max="2" width="6.7109375" customWidth="1"/>
    <col min="3" max="3" width="15.42578125" customWidth="1"/>
    <col min="5" max="5" width="32.85546875" customWidth="1"/>
    <col min="6" max="6" width="43.85546875" customWidth="1"/>
    <col min="7" max="7" width="44.5703125" customWidth="1"/>
    <col min="8" max="8" width="14.28515625" style="43" customWidth="1"/>
    <col min="9" max="9" width="0" style="1" hidden="1" customWidth="1"/>
    <col min="10" max="10" width="19.7109375" hidden="1" customWidth="1"/>
    <col min="11" max="11" width="11.42578125" style="43"/>
    <col min="12" max="12" width="8" style="43" customWidth="1"/>
    <col min="13" max="13" width="11.42578125" style="43"/>
    <col min="16" max="16" width="10" customWidth="1"/>
    <col min="17" max="17" width="9.7109375" customWidth="1"/>
    <col min="18" max="18" width="11.42578125" style="99"/>
    <col min="19" max="19" width="12.28515625" customWidth="1"/>
    <col min="20" max="20" width="8.5703125" customWidth="1"/>
    <col min="21" max="21" width="31.42578125" customWidth="1"/>
    <col min="22" max="22" width="32.5703125" customWidth="1"/>
    <col min="23" max="23" width="11.42578125" style="1"/>
  </cols>
  <sheetData>
    <row r="1" spans="1:23" s="28" customFormat="1" ht="14.25" customHeight="1" x14ac:dyDescent="0.3">
      <c r="B1" s="29"/>
      <c r="C1" s="29"/>
      <c r="D1" s="29"/>
      <c r="G1" s="34" t="s">
        <v>713</v>
      </c>
      <c r="H1" s="29">
        <f>COUNT(M8:M12)</f>
        <v>5</v>
      </c>
      <c r="I1" s="30"/>
      <c r="J1" s="29"/>
      <c r="K1" s="28" t="s">
        <v>717</v>
      </c>
      <c r="L1" s="30">
        <f>COUNT(M13:M21)</f>
        <v>9</v>
      </c>
      <c r="M1" s="30"/>
      <c r="O1" s="31"/>
      <c r="P1" s="32"/>
      <c r="Q1" s="32"/>
      <c r="R1" s="98"/>
      <c r="S1" s="29"/>
      <c r="T1" s="29"/>
      <c r="W1" s="29"/>
    </row>
    <row r="2" spans="1:23" s="28" customFormat="1" x14ac:dyDescent="0.3">
      <c r="B2" s="29"/>
      <c r="C2" s="32"/>
      <c r="D2" s="29"/>
      <c r="E2" s="34" t="s">
        <v>715</v>
      </c>
      <c r="F2" s="29">
        <f>COUNT(D8:D161)</f>
        <v>22</v>
      </c>
      <c r="G2" s="34" t="s">
        <v>716</v>
      </c>
      <c r="H2" s="29">
        <f>SUM(M8:M12)</f>
        <v>16</v>
      </c>
      <c r="I2" s="41"/>
      <c r="J2" s="29"/>
      <c r="K2" s="28" t="s">
        <v>717</v>
      </c>
      <c r="L2" s="30">
        <f>SUM(M13:M21)</f>
        <v>78</v>
      </c>
      <c r="M2" s="30"/>
      <c r="O2" s="35"/>
      <c r="P2" s="29"/>
      <c r="Q2" s="32"/>
      <c r="R2" s="98"/>
      <c r="S2" s="29"/>
      <c r="T2" s="29"/>
      <c r="W2" s="29"/>
    </row>
    <row r="3" spans="1:23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SUM(M8:M161)</f>
        <v>169</v>
      </c>
      <c r="G3" s="34" t="s">
        <v>719</v>
      </c>
      <c r="H3" s="29">
        <f>COUNTIFS($Q$22:$Q$161,1,$R$22:$R$161,"Realizado")</f>
        <v>5</v>
      </c>
      <c r="I3" s="41"/>
      <c r="J3" s="29"/>
      <c r="K3" s="30" t="s">
        <v>720</v>
      </c>
      <c r="L3" s="121">
        <f>SUM(M22:M30)</f>
        <v>75</v>
      </c>
      <c r="M3" s="30"/>
      <c r="O3" s="35"/>
      <c r="P3" s="29"/>
      <c r="Q3" s="29"/>
      <c r="R3" s="99"/>
      <c r="S3" s="29"/>
      <c r="T3" s="29"/>
      <c r="W3" s="29"/>
    </row>
    <row r="4" spans="1:23" s="28" customFormat="1" x14ac:dyDescent="0.3">
      <c r="B4" s="29"/>
      <c r="C4" s="32"/>
      <c r="D4" s="29"/>
      <c r="E4" s="34" t="s">
        <v>721</v>
      </c>
      <c r="F4" s="29">
        <f>COUNTIF($Q$22:$Q$161,1)</f>
        <v>8</v>
      </c>
      <c r="G4" s="34" t="s">
        <v>722</v>
      </c>
      <c r="H4" s="29">
        <f>SUMIF($R$22:$R$161,"Realizado",$S$22:$S$161)</f>
        <v>53</v>
      </c>
      <c r="I4" s="41"/>
      <c r="J4" s="29"/>
      <c r="K4" s="30" t="s">
        <v>723</v>
      </c>
      <c r="L4" s="121">
        <f>COUNT(M22:M30)</f>
        <v>8</v>
      </c>
      <c r="M4" s="30"/>
      <c r="O4" s="35"/>
      <c r="P4" s="29"/>
      <c r="Q4" s="29"/>
      <c r="R4" s="99"/>
      <c r="S4" s="29"/>
      <c r="T4" s="29"/>
      <c r="W4" s="29"/>
    </row>
    <row r="5" spans="1:23" s="28" customFormat="1" x14ac:dyDescent="0.3">
      <c r="B5" s="29"/>
      <c r="C5" s="32"/>
      <c r="D5" s="29"/>
      <c r="E5" s="34" t="s">
        <v>724</v>
      </c>
      <c r="F5" s="29">
        <f>SUMIF(Q22:Q161,1,M22:M161)</f>
        <v>75</v>
      </c>
      <c r="G5" s="34" t="s">
        <v>725</v>
      </c>
      <c r="H5" s="29">
        <f>COUNTIFS($Q$22:$Q$161,1,$R$22:$R$161,"Cancelado")</f>
        <v>3</v>
      </c>
      <c r="I5" s="41"/>
      <c r="J5" s="29"/>
      <c r="K5" s="30"/>
      <c r="L5" s="30"/>
      <c r="M5" s="30"/>
      <c r="O5" s="35"/>
      <c r="P5" s="29"/>
      <c r="Q5" s="29"/>
      <c r="R5" s="99"/>
      <c r="S5" s="29"/>
      <c r="T5" s="29"/>
      <c r="W5" s="29"/>
    </row>
    <row r="6" spans="1:23" x14ac:dyDescent="0.25">
      <c r="B6" s="1"/>
      <c r="C6" s="1"/>
      <c r="D6" s="1"/>
      <c r="H6" s="1"/>
      <c r="I6" s="2"/>
      <c r="J6" s="1"/>
      <c r="K6" s="2"/>
      <c r="L6" s="2"/>
      <c r="M6" s="2"/>
      <c r="O6" s="19"/>
      <c r="P6" s="1"/>
      <c r="Q6" s="1"/>
      <c r="S6" s="1"/>
      <c r="T6" s="1"/>
    </row>
    <row r="7" spans="1:23" s="103" customFormat="1" ht="25.5" x14ac:dyDescent="0.25">
      <c r="A7" s="102" t="s">
        <v>20</v>
      </c>
      <c r="B7" s="102" t="s">
        <v>21</v>
      </c>
      <c r="C7" s="102" t="s">
        <v>2</v>
      </c>
      <c r="D7" s="102" t="s">
        <v>22</v>
      </c>
      <c r="E7" s="102" t="s">
        <v>23</v>
      </c>
      <c r="F7" s="102" t="s">
        <v>24</v>
      </c>
      <c r="G7" s="102" t="s">
        <v>25</v>
      </c>
      <c r="H7" s="100" t="s">
        <v>26</v>
      </c>
      <c r="I7" s="102" t="s">
        <v>27</v>
      </c>
      <c r="J7" s="102" t="s">
        <v>28</v>
      </c>
      <c r="K7" s="100" t="s">
        <v>29</v>
      </c>
      <c r="L7" s="100" t="s">
        <v>30</v>
      </c>
      <c r="M7" s="100" t="s">
        <v>31</v>
      </c>
      <c r="N7" s="100" t="s">
        <v>0</v>
      </c>
      <c r="O7" s="100" t="s">
        <v>19</v>
      </c>
      <c r="P7" s="102" t="s">
        <v>17</v>
      </c>
      <c r="Q7" s="102" t="s">
        <v>516</v>
      </c>
      <c r="R7" s="100" t="s">
        <v>727</v>
      </c>
      <c r="S7" s="102" t="s">
        <v>523</v>
      </c>
      <c r="T7" s="102" t="s">
        <v>728</v>
      </c>
      <c r="U7" s="102" t="s">
        <v>28</v>
      </c>
      <c r="V7" s="102" t="s">
        <v>599</v>
      </c>
      <c r="W7" s="100" t="s">
        <v>889</v>
      </c>
    </row>
    <row r="8" spans="1:23" hidden="1" x14ac:dyDescent="0.25">
      <c r="A8" s="1">
        <v>1</v>
      </c>
      <c r="C8" s="7" t="s">
        <v>481</v>
      </c>
      <c r="D8" s="17">
        <v>23165</v>
      </c>
      <c r="E8" s="7" t="s">
        <v>11</v>
      </c>
      <c r="F8" s="7" t="s">
        <v>74</v>
      </c>
      <c r="G8" s="7" t="s">
        <v>199</v>
      </c>
      <c r="H8" s="45" t="s">
        <v>35</v>
      </c>
      <c r="I8" s="8">
        <v>342974</v>
      </c>
      <c r="J8" s="7" t="s">
        <v>464</v>
      </c>
      <c r="K8" s="44">
        <v>8</v>
      </c>
      <c r="L8" s="44">
        <v>1</v>
      </c>
      <c r="M8" s="44">
        <v>4</v>
      </c>
      <c r="N8" s="8" t="s">
        <v>463</v>
      </c>
      <c r="O8" s="18">
        <v>44258</v>
      </c>
      <c r="P8" s="8" t="s">
        <v>50</v>
      </c>
      <c r="Q8" s="1">
        <f t="shared" ref="Q8:Q29" si="0">IF(O8&lt;=$D$3,1,0)</f>
        <v>1</v>
      </c>
      <c r="R8" s="99" t="s">
        <v>701</v>
      </c>
      <c r="W8" s="1" t="s">
        <v>890</v>
      </c>
    </row>
    <row r="9" spans="1:23" hidden="1" x14ac:dyDescent="0.25">
      <c r="A9" s="1">
        <v>2</v>
      </c>
      <c r="C9" s="7" t="s">
        <v>481</v>
      </c>
      <c r="D9" s="17">
        <v>25646</v>
      </c>
      <c r="E9" s="7" t="s">
        <v>11</v>
      </c>
      <c r="F9" s="7" t="s">
        <v>74</v>
      </c>
      <c r="G9" s="7" t="s">
        <v>34</v>
      </c>
      <c r="H9" s="45" t="s">
        <v>35</v>
      </c>
      <c r="I9" s="8">
        <v>501348</v>
      </c>
      <c r="J9" s="7" t="s">
        <v>455</v>
      </c>
      <c r="K9" s="44">
        <v>8</v>
      </c>
      <c r="L9" s="44">
        <v>1</v>
      </c>
      <c r="M9" s="44">
        <v>2</v>
      </c>
      <c r="N9" s="8" t="s">
        <v>407</v>
      </c>
      <c r="O9" s="18">
        <v>44288</v>
      </c>
      <c r="P9" s="8" t="s">
        <v>60</v>
      </c>
      <c r="Q9" s="1">
        <f t="shared" si="0"/>
        <v>1</v>
      </c>
      <c r="R9" s="99" t="s">
        <v>701</v>
      </c>
      <c r="W9" s="1" t="s">
        <v>890</v>
      </c>
    </row>
    <row r="10" spans="1:23" hidden="1" x14ac:dyDescent="0.25">
      <c r="A10" s="1">
        <v>3</v>
      </c>
      <c r="C10" s="7" t="s">
        <v>481</v>
      </c>
      <c r="D10" s="17">
        <v>22580</v>
      </c>
      <c r="E10" s="7" t="s">
        <v>11</v>
      </c>
      <c r="F10" s="7" t="s">
        <v>11</v>
      </c>
      <c r="G10" s="7" t="s">
        <v>294</v>
      </c>
      <c r="H10" s="45" t="s">
        <v>35</v>
      </c>
      <c r="I10" s="8">
        <v>386534</v>
      </c>
      <c r="J10" s="7" t="s">
        <v>482</v>
      </c>
      <c r="K10" s="44">
        <v>8</v>
      </c>
      <c r="L10" s="44">
        <v>1</v>
      </c>
      <c r="M10" s="44">
        <v>3</v>
      </c>
      <c r="N10" s="8" t="s">
        <v>64</v>
      </c>
      <c r="O10" s="18">
        <v>44300</v>
      </c>
      <c r="P10" s="8" t="s">
        <v>60</v>
      </c>
      <c r="Q10" s="1">
        <f t="shared" si="0"/>
        <v>1</v>
      </c>
      <c r="R10" s="99" t="s">
        <v>701</v>
      </c>
      <c r="W10" s="1" t="e">
        <v>#N/A</v>
      </c>
    </row>
    <row r="11" spans="1:23" hidden="1" x14ac:dyDescent="0.25">
      <c r="A11" s="1">
        <v>4</v>
      </c>
      <c r="C11" s="7" t="s">
        <v>481</v>
      </c>
      <c r="D11" s="17">
        <v>21421</v>
      </c>
      <c r="E11" s="7" t="s">
        <v>8</v>
      </c>
      <c r="F11" s="7" t="s">
        <v>8</v>
      </c>
      <c r="G11" s="7" t="s">
        <v>294</v>
      </c>
      <c r="H11" s="45" t="s">
        <v>35</v>
      </c>
      <c r="I11" s="8">
        <v>374049</v>
      </c>
      <c r="J11" s="7" t="s">
        <v>316</v>
      </c>
      <c r="K11" s="44">
        <v>8</v>
      </c>
      <c r="L11" s="44">
        <v>2</v>
      </c>
      <c r="M11" s="44">
        <v>1</v>
      </c>
      <c r="N11" s="8" t="s">
        <v>411</v>
      </c>
      <c r="O11" s="18">
        <v>44300</v>
      </c>
      <c r="P11" s="8" t="s">
        <v>60</v>
      </c>
      <c r="Q11" s="1">
        <f t="shared" si="0"/>
        <v>1</v>
      </c>
      <c r="R11" s="99" t="s">
        <v>701</v>
      </c>
      <c r="W11" s="1" t="e">
        <v>#N/A</v>
      </c>
    </row>
    <row r="12" spans="1:23" hidden="1" x14ac:dyDescent="0.25">
      <c r="A12" s="1">
        <v>5</v>
      </c>
      <c r="C12" s="7" t="s">
        <v>481</v>
      </c>
      <c r="D12" s="17">
        <v>21034</v>
      </c>
      <c r="E12" s="7" t="s">
        <v>12</v>
      </c>
      <c r="F12" s="7" t="s">
        <v>442</v>
      </c>
      <c r="G12" s="7" t="s">
        <v>302</v>
      </c>
      <c r="H12" s="45" t="s">
        <v>35</v>
      </c>
      <c r="I12" s="8">
        <v>204199</v>
      </c>
      <c r="J12" s="7" t="s">
        <v>483</v>
      </c>
      <c r="K12" s="44">
        <v>8</v>
      </c>
      <c r="L12" s="44">
        <v>1</v>
      </c>
      <c r="M12" s="44">
        <v>6</v>
      </c>
      <c r="N12" s="8" t="s">
        <v>64</v>
      </c>
      <c r="O12" s="18">
        <v>44300</v>
      </c>
      <c r="P12" s="8" t="s">
        <v>60</v>
      </c>
      <c r="Q12" s="1">
        <f t="shared" si="0"/>
        <v>1</v>
      </c>
      <c r="R12" s="99" t="s">
        <v>701</v>
      </c>
      <c r="W12" s="1" t="s">
        <v>890</v>
      </c>
    </row>
    <row r="13" spans="1:23" s="110" customFormat="1" hidden="1" x14ac:dyDescent="0.25">
      <c r="A13" s="106">
        <v>6</v>
      </c>
      <c r="C13" s="107" t="s">
        <v>481</v>
      </c>
      <c r="D13" s="108">
        <v>21035</v>
      </c>
      <c r="E13" s="107" t="s">
        <v>12</v>
      </c>
      <c r="F13" s="107" t="s">
        <v>442</v>
      </c>
      <c r="G13" s="107" t="s">
        <v>401</v>
      </c>
      <c r="H13" s="123" t="s">
        <v>72</v>
      </c>
      <c r="I13" s="46">
        <v>201741</v>
      </c>
      <c r="J13" s="107" t="s">
        <v>484</v>
      </c>
      <c r="K13" s="124">
        <v>16</v>
      </c>
      <c r="L13" s="124">
        <v>2</v>
      </c>
      <c r="M13" s="124">
        <v>12</v>
      </c>
      <c r="N13" s="46" t="s">
        <v>423</v>
      </c>
      <c r="O13" s="47">
        <v>44309</v>
      </c>
      <c r="P13" s="46" t="s">
        <v>60</v>
      </c>
      <c r="Q13" s="106">
        <f t="shared" si="0"/>
        <v>1</v>
      </c>
      <c r="R13" s="125" t="s">
        <v>701</v>
      </c>
      <c r="W13" s="1" t="s">
        <v>890</v>
      </c>
    </row>
    <row r="14" spans="1:23" hidden="1" x14ac:dyDescent="0.25">
      <c r="A14" s="1">
        <v>7</v>
      </c>
      <c r="C14" s="7" t="s">
        <v>481</v>
      </c>
      <c r="D14" s="17">
        <v>25449</v>
      </c>
      <c r="E14" s="7" t="s">
        <v>11</v>
      </c>
      <c r="F14" s="7" t="s">
        <v>74</v>
      </c>
      <c r="G14" s="7" t="s">
        <v>302</v>
      </c>
      <c r="H14" s="45" t="s">
        <v>35</v>
      </c>
      <c r="I14" s="8">
        <v>374049</v>
      </c>
      <c r="J14" s="7" t="s">
        <v>316</v>
      </c>
      <c r="K14" s="44">
        <v>8</v>
      </c>
      <c r="L14" s="44">
        <v>1</v>
      </c>
      <c r="M14" s="44">
        <v>13</v>
      </c>
      <c r="N14" s="8" t="s">
        <v>272</v>
      </c>
      <c r="O14" s="18">
        <v>44320</v>
      </c>
      <c r="P14" s="8" t="s">
        <v>77</v>
      </c>
      <c r="Q14" s="1">
        <f t="shared" si="0"/>
        <v>1</v>
      </c>
      <c r="W14" s="1" t="s">
        <v>890</v>
      </c>
    </row>
    <row r="15" spans="1:23" hidden="1" x14ac:dyDescent="0.25">
      <c r="A15" s="1">
        <v>9</v>
      </c>
      <c r="C15" s="7" t="s">
        <v>481</v>
      </c>
      <c r="D15" s="17">
        <v>25403</v>
      </c>
      <c r="E15" s="7" t="s">
        <v>11</v>
      </c>
      <c r="F15" s="7" t="s">
        <v>74</v>
      </c>
      <c r="G15" s="7" t="s">
        <v>89</v>
      </c>
      <c r="H15" s="45" t="s">
        <v>35</v>
      </c>
      <c r="I15" s="8">
        <v>359204</v>
      </c>
      <c r="J15" s="7" t="s">
        <v>447</v>
      </c>
      <c r="K15" s="44">
        <v>16</v>
      </c>
      <c r="L15" s="44">
        <v>2</v>
      </c>
      <c r="M15" s="44">
        <v>20</v>
      </c>
      <c r="N15" s="8" t="s">
        <v>76</v>
      </c>
      <c r="O15" s="18">
        <v>44329</v>
      </c>
      <c r="P15" s="8" t="s">
        <v>77</v>
      </c>
      <c r="Q15" s="1">
        <f t="shared" ref="Q15:Q21" si="1">IF(O15&lt;=$D$3,1,0)</f>
        <v>1</v>
      </c>
      <c r="W15" s="1" t="s">
        <v>890</v>
      </c>
    </row>
    <row r="16" spans="1:23" hidden="1" x14ac:dyDescent="0.25">
      <c r="A16" s="1">
        <v>18</v>
      </c>
      <c r="C16" s="7" t="s">
        <v>481</v>
      </c>
      <c r="D16" s="17">
        <v>26424</v>
      </c>
      <c r="E16" s="7" t="s">
        <v>6</v>
      </c>
      <c r="F16" s="7" t="s">
        <v>352</v>
      </c>
      <c r="G16" s="7" t="s">
        <v>302</v>
      </c>
      <c r="H16" s="45" t="s">
        <v>35</v>
      </c>
      <c r="I16" s="8">
        <v>374049</v>
      </c>
      <c r="J16" s="7" t="s">
        <v>316</v>
      </c>
      <c r="K16" s="44">
        <v>8</v>
      </c>
      <c r="L16" s="44">
        <v>1</v>
      </c>
      <c r="M16" s="44">
        <v>2</v>
      </c>
      <c r="N16" s="8" t="s">
        <v>306</v>
      </c>
      <c r="O16" s="8" t="s">
        <v>306</v>
      </c>
      <c r="P16" s="8" t="s">
        <v>100</v>
      </c>
      <c r="Q16" s="1">
        <f t="shared" si="1"/>
        <v>0</v>
      </c>
      <c r="W16" s="1" t="s">
        <v>890</v>
      </c>
    </row>
    <row r="17" spans="1:23" hidden="1" x14ac:dyDescent="0.25">
      <c r="A17" s="1">
        <v>20</v>
      </c>
      <c r="C17" s="7" t="s">
        <v>475</v>
      </c>
      <c r="D17" s="17">
        <v>26752</v>
      </c>
      <c r="E17" s="7" t="s">
        <v>6</v>
      </c>
      <c r="F17" s="7" t="s">
        <v>352</v>
      </c>
      <c r="G17" s="7" t="s">
        <v>89</v>
      </c>
      <c r="H17" s="45" t="s">
        <v>35</v>
      </c>
      <c r="I17" s="8">
        <v>428350</v>
      </c>
      <c r="J17" s="7" t="s">
        <v>448</v>
      </c>
      <c r="K17" s="44">
        <v>16</v>
      </c>
      <c r="L17" s="44">
        <v>2</v>
      </c>
      <c r="M17" s="44">
        <v>1</v>
      </c>
      <c r="N17" s="8" t="s">
        <v>123</v>
      </c>
      <c r="O17" s="8" t="s">
        <v>120</v>
      </c>
      <c r="P17" s="8" t="s">
        <v>119</v>
      </c>
      <c r="Q17" s="1">
        <f t="shared" si="1"/>
        <v>0</v>
      </c>
      <c r="W17" s="1" t="s">
        <v>890</v>
      </c>
    </row>
    <row r="18" spans="1:23" hidden="1" x14ac:dyDescent="0.25">
      <c r="A18" s="1">
        <v>10</v>
      </c>
      <c r="C18" s="7" t="s">
        <v>481</v>
      </c>
      <c r="D18" s="17">
        <v>26122</v>
      </c>
      <c r="E18" s="7" t="s">
        <v>8</v>
      </c>
      <c r="F18" s="7" t="s">
        <v>142</v>
      </c>
      <c r="G18" s="7" t="s">
        <v>94</v>
      </c>
      <c r="H18" s="45" t="s">
        <v>35</v>
      </c>
      <c r="I18" s="8">
        <v>245435</v>
      </c>
      <c r="J18" s="7" t="s">
        <v>485</v>
      </c>
      <c r="K18" s="44">
        <v>16</v>
      </c>
      <c r="L18" s="44">
        <v>2</v>
      </c>
      <c r="M18" s="44">
        <v>1</v>
      </c>
      <c r="N18" s="8" t="s">
        <v>281</v>
      </c>
      <c r="O18" s="18">
        <v>44334</v>
      </c>
      <c r="P18" s="8" t="s">
        <v>77</v>
      </c>
      <c r="Q18" s="1">
        <f t="shared" si="1"/>
        <v>1</v>
      </c>
      <c r="W18" s="50" t="s">
        <v>908</v>
      </c>
    </row>
    <row r="19" spans="1:23" hidden="1" x14ac:dyDescent="0.25">
      <c r="A19" s="1">
        <v>15</v>
      </c>
      <c r="C19" s="7" t="s">
        <v>481</v>
      </c>
      <c r="D19" s="17">
        <v>25270</v>
      </c>
      <c r="E19" s="7" t="s">
        <v>11</v>
      </c>
      <c r="F19" s="7" t="s">
        <v>74</v>
      </c>
      <c r="G19" s="7" t="s">
        <v>171</v>
      </c>
      <c r="H19" s="45" t="s">
        <v>35</v>
      </c>
      <c r="I19" s="8">
        <v>309218</v>
      </c>
      <c r="J19" s="7" t="s">
        <v>486</v>
      </c>
      <c r="K19" s="44">
        <v>8</v>
      </c>
      <c r="L19" s="44">
        <v>1</v>
      </c>
      <c r="M19" s="44">
        <v>10</v>
      </c>
      <c r="N19" s="8" t="s">
        <v>108</v>
      </c>
      <c r="O19" s="8" t="s">
        <v>108</v>
      </c>
      <c r="P19" s="8" t="s">
        <v>100</v>
      </c>
      <c r="Q19" s="1">
        <f t="shared" si="1"/>
        <v>0</v>
      </c>
      <c r="W19" s="1" t="e">
        <v>#N/A</v>
      </c>
    </row>
    <row r="20" spans="1:23" hidden="1" x14ac:dyDescent="0.25">
      <c r="A20" s="1">
        <v>17</v>
      </c>
      <c r="C20" s="7" t="s">
        <v>475</v>
      </c>
      <c r="D20" s="17">
        <v>26476</v>
      </c>
      <c r="E20" s="7" t="s">
        <v>6</v>
      </c>
      <c r="F20" s="7" t="s">
        <v>352</v>
      </c>
      <c r="G20" s="7" t="s">
        <v>390</v>
      </c>
      <c r="H20" s="45" t="s">
        <v>35</v>
      </c>
      <c r="I20" s="8">
        <v>441106</v>
      </c>
      <c r="J20" s="7" t="s">
        <v>163</v>
      </c>
      <c r="K20" s="44">
        <v>8</v>
      </c>
      <c r="L20" s="44">
        <v>1</v>
      </c>
      <c r="M20" s="44">
        <v>18</v>
      </c>
      <c r="N20" s="8" t="s">
        <v>113</v>
      </c>
      <c r="O20" s="8" t="s">
        <v>113</v>
      </c>
      <c r="P20" s="8" t="s">
        <v>100</v>
      </c>
      <c r="Q20" s="1">
        <f t="shared" si="1"/>
        <v>0</v>
      </c>
      <c r="W20" s="1" t="e">
        <v>#N/A</v>
      </c>
    </row>
    <row r="21" spans="1:23" hidden="1" x14ac:dyDescent="0.25">
      <c r="A21" s="1">
        <v>22</v>
      </c>
      <c r="C21" s="7" t="s">
        <v>481</v>
      </c>
      <c r="D21" s="17">
        <v>29558</v>
      </c>
      <c r="E21" s="7" t="s">
        <v>9</v>
      </c>
      <c r="F21" s="7" t="s">
        <v>487</v>
      </c>
      <c r="G21" s="7" t="s">
        <v>302</v>
      </c>
      <c r="H21" s="45" t="s">
        <v>35</v>
      </c>
      <c r="I21" s="8">
        <v>328467</v>
      </c>
      <c r="J21" s="7" t="s">
        <v>488</v>
      </c>
      <c r="K21" s="44">
        <v>8</v>
      </c>
      <c r="L21" s="44">
        <v>2</v>
      </c>
      <c r="M21" s="44">
        <v>1</v>
      </c>
      <c r="N21" s="8" t="s">
        <v>134</v>
      </c>
      <c r="O21" s="8" t="s">
        <v>135</v>
      </c>
      <c r="P21" s="8" t="s">
        <v>119</v>
      </c>
      <c r="Q21" s="1">
        <f t="shared" si="1"/>
        <v>0</v>
      </c>
      <c r="W21" s="1" t="e">
        <v>#N/A</v>
      </c>
    </row>
    <row r="22" spans="1:23" s="131" customFormat="1" x14ac:dyDescent="0.25">
      <c r="A22" s="130">
        <v>8</v>
      </c>
      <c r="C22" s="132" t="s">
        <v>481</v>
      </c>
      <c r="D22" s="133">
        <v>20999</v>
      </c>
      <c r="E22" s="132" t="s">
        <v>12</v>
      </c>
      <c r="F22" s="132" t="s">
        <v>442</v>
      </c>
      <c r="G22" s="132" t="s">
        <v>171</v>
      </c>
      <c r="H22" s="138" t="s">
        <v>72</v>
      </c>
      <c r="I22" s="134">
        <v>201741</v>
      </c>
      <c r="J22" s="132" t="s">
        <v>484</v>
      </c>
      <c r="K22" s="135">
        <v>8</v>
      </c>
      <c r="L22" s="135">
        <v>1</v>
      </c>
      <c r="M22" s="135">
        <v>15</v>
      </c>
      <c r="N22" s="134" t="s">
        <v>76</v>
      </c>
      <c r="O22" s="136">
        <v>44328</v>
      </c>
      <c r="P22" s="134" t="s">
        <v>77</v>
      </c>
      <c r="Q22" s="130">
        <f t="shared" si="0"/>
        <v>1</v>
      </c>
      <c r="R22" s="139" t="s">
        <v>699</v>
      </c>
      <c r="S22" s="131">
        <v>10</v>
      </c>
      <c r="U22" s="131" t="s">
        <v>484</v>
      </c>
      <c r="W22" s="130" t="s">
        <v>891</v>
      </c>
    </row>
    <row r="23" spans="1:23" x14ac:dyDescent="0.25">
      <c r="A23" s="1">
        <v>11</v>
      </c>
      <c r="C23" s="7" t="s">
        <v>481</v>
      </c>
      <c r="D23" s="17">
        <v>20998</v>
      </c>
      <c r="E23" s="7" t="s">
        <v>12</v>
      </c>
      <c r="F23" s="7" t="s">
        <v>442</v>
      </c>
      <c r="G23" s="7" t="s">
        <v>171</v>
      </c>
      <c r="H23" s="45" t="s">
        <v>72</v>
      </c>
      <c r="I23" s="8">
        <v>201741</v>
      </c>
      <c r="J23" s="7" t="s">
        <v>484</v>
      </c>
      <c r="K23" s="44">
        <v>8</v>
      </c>
      <c r="L23" s="44">
        <v>1</v>
      </c>
      <c r="M23" s="44">
        <v>9</v>
      </c>
      <c r="N23" s="8" t="s">
        <v>87</v>
      </c>
      <c r="O23" s="18">
        <v>44335</v>
      </c>
      <c r="P23" s="8" t="s">
        <v>77</v>
      </c>
      <c r="Q23" s="1">
        <f t="shared" si="0"/>
        <v>1</v>
      </c>
      <c r="R23" s="99" t="s">
        <v>699</v>
      </c>
      <c r="S23">
        <v>12</v>
      </c>
      <c r="U23" t="s">
        <v>484</v>
      </c>
      <c r="V23" s="131" t="s">
        <v>909</v>
      </c>
      <c r="W23" s="1" t="s">
        <v>891</v>
      </c>
    </row>
    <row r="24" spans="1:23" hidden="1" x14ac:dyDescent="0.25">
      <c r="A24" s="1">
        <v>12</v>
      </c>
      <c r="C24" s="7" t="s">
        <v>481</v>
      </c>
      <c r="D24" s="17">
        <v>21033</v>
      </c>
      <c r="E24" s="7" t="s">
        <v>12</v>
      </c>
      <c r="F24" s="7" t="s">
        <v>442</v>
      </c>
      <c r="G24" s="7" t="s">
        <v>331</v>
      </c>
      <c r="H24" s="45" t="s">
        <v>35</v>
      </c>
      <c r="I24" s="8">
        <v>374123</v>
      </c>
      <c r="J24" s="7" t="s">
        <v>412</v>
      </c>
      <c r="K24" s="44">
        <v>32</v>
      </c>
      <c r="L24" s="44">
        <v>4</v>
      </c>
      <c r="M24" s="44">
        <v>13</v>
      </c>
      <c r="N24" s="8" t="s">
        <v>295</v>
      </c>
      <c r="O24" s="18">
        <v>44357</v>
      </c>
      <c r="P24" s="8" t="s">
        <v>100</v>
      </c>
      <c r="Q24" s="1">
        <f t="shared" si="0"/>
        <v>1</v>
      </c>
      <c r="R24" s="216" t="s">
        <v>701</v>
      </c>
      <c r="V24" t="s">
        <v>701</v>
      </c>
      <c r="W24" s="1" t="s">
        <v>891</v>
      </c>
    </row>
    <row r="25" spans="1:23" x14ac:dyDescent="0.25">
      <c r="A25" s="1">
        <v>13</v>
      </c>
      <c r="C25" s="7" t="s">
        <v>481</v>
      </c>
      <c r="D25" s="17">
        <v>25264</v>
      </c>
      <c r="E25" s="7" t="s">
        <v>11</v>
      </c>
      <c r="F25" s="7" t="s">
        <v>74</v>
      </c>
      <c r="G25" s="7" t="s">
        <v>71</v>
      </c>
      <c r="H25" s="45" t="s">
        <v>72</v>
      </c>
      <c r="I25" s="8">
        <v>315738</v>
      </c>
      <c r="J25" s="7" t="s">
        <v>415</v>
      </c>
      <c r="K25" s="44">
        <v>16</v>
      </c>
      <c r="L25" s="44">
        <v>2</v>
      </c>
      <c r="M25" s="44">
        <v>8</v>
      </c>
      <c r="N25" s="8" t="s">
        <v>299</v>
      </c>
      <c r="O25" s="18">
        <v>44362</v>
      </c>
      <c r="P25" s="8" t="s">
        <v>100</v>
      </c>
      <c r="Q25" s="1">
        <f t="shared" si="0"/>
        <v>1</v>
      </c>
      <c r="R25" s="99" t="s">
        <v>699</v>
      </c>
      <c r="S25">
        <v>10</v>
      </c>
      <c r="U25" t="s">
        <v>910</v>
      </c>
      <c r="V25" t="s">
        <v>911</v>
      </c>
      <c r="W25" s="1" t="s">
        <v>891</v>
      </c>
    </row>
    <row r="26" spans="1:23" x14ac:dyDescent="0.25">
      <c r="A26" s="1">
        <v>14</v>
      </c>
      <c r="C26" s="7" t="s">
        <v>481</v>
      </c>
      <c r="D26" s="17">
        <v>20996</v>
      </c>
      <c r="E26" s="7" t="s">
        <v>12</v>
      </c>
      <c r="F26" s="7" t="s">
        <v>442</v>
      </c>
      <c r="G26" s="7" t="s">
        <v>71</v>
      </c>
      <c r="H26" s="45" t="s">
        <v>35</v>
      </c>
      <c r="I26" s="8">
        <v>315738</v>
      </c>
      <c r="J26" s="7" t="s">
        <v>415</v>
      </c>
      <c r="K26" s="44">
        <v>16</v>
      </c>
      <c r="L26" s="44">
        <v>2</v>
      </c>
      <c r="M26" s="44">
        <v>7</v>
      </c>
      <c r="N26" s="8" t="s">
        <v>299</v>
      </c>
      <c r="O26" s="18">
        <v>44362</v>
      </c>
      <c r="P26" s="8" t="s">
        <v>100</v>
      </c>
      <c r="Q26" s="1">
        <f t="shared" si="0"/>
        <v>1</v>
      </c>
      <c r="R26" s="99" t="s">
        <v>699</v>
      </c>
      <c r="S26">
        <v>11</v>
      </c>
      <c r="U26" t="s">
        <v>910</v>
      </c>
      <c r="V26" t="s">
        <v>912</v>
      </c>
      <c r="W26" s="1" t="s">
        <v>891</v>
      </c>
    </row>
    <row r="27" spans="1:23" x14ac:dyDescent="0.25">
      <c r="A27" s="1">
        <v>16</v>
      </c>
      <c r="C27" s="7" t="s">
        <v>481</v>
      </c>
      <c r="D27" s="17">
        <v>23904</v>
      </c>
      <c r="E27" s="7" t="s">
        <v>6</v>
      </c>
      <c r="F27" s="7" t="s">
        <v>489</v>
      </c>
      <c r="G27" s="7" t="s">
        <v>127</v>
      </c>
      <c r="H27" s="45" t="s">
        <v>35</v>
      </c>
      <c r="I27" s="8">
        <v>324620</v>
      </c>
      <c r="J27" s="7" t="s">
        <v>329</v>
      </c>
      <c r="K27" s="44">
        <v>16</v>
      </c>
      <c r="L27" s="44">
        <v>2</v>
      </c>
      <c r="M27" s="44">
        <v>2</v>
      </c>
      <c r="N27" s="8" t="s">
        <v>108</v>
      </c>
      <c r="O27" s="8" t="s">
        <v>304</v>
      </c>
      <c r="P27" s="8" t="s">
        <v>100</v>
      </c>
      <c r="Q27" s="1">
        <v>1</v>
      </c>
      <c r="R27" s="99" t="s">
        <v>699</v>
      </c>
      <c r="S27">
        <v>10</v>
      </c>
      <c r="W27" s="1" t="s">
        <v>891</v>
      </c>
    </row>
    <row r="28" spans="1:23" hidden="1" x14ac:dyDescent="0.25">
      <c r="A28" s="1">
        <v>19</v>
      </c>
      <c r="C28" s="7" t="s">
        <v>481</v>
      </c>
      <c r="D28" s="17">
        <v>22300</v>
      </c>
      <c r="E28" s="7" t="s">
        <v>12</v>
      </c>
      <c r="F28" s="7" t="s">
        <v>442</v>
      </c>
      <c r="G28" s="7" t="s">
        <v>84</v>
      </c>
      <c r="H28" s="45" t="s">
        <v>72</v>
      </c>
      <c r="I28" s="8">
        <v>201741</v>
      </c>
      <c r="J28" s="7" t="s">
        <v>484</v>
      </c>
      <c r="K28" s="44">
        <v>16</v>
      </c>
      <c r="L28" s="44">
        <v>2</v>
      </c>
      <c r="M28" s="44">
        <v>12</v>
      </c>
      <c r="N28" s="8" t="s">
        <v>310</v>
      </c>
      <c r="O28" s="18">
        <v>44383</v>
      </c>
      <c r="P28" s="8" t="s">
        <v>119</v>
      </c>
      <c r="Q28" s="1">
        <f t="shared" si="0"/>
        <v>1</v>
      </c>
      <c r="R28" s="216" t="s">
        <v>701</v>
      </c>
      <c r="V28" t="s">
        <v>701</v>
      </c>
      <c r="W28" s="1" t="s">
        <v>891</v>
      </c>
    </row>
    <row r="29" spans="1:23" hidden="1" x14ac:dyDescent="0.25">
      <c r="A29" s="1">
        <v>21</v>
      </c>
      <c r="C29" s="7" t="s">
        <v>481</v>
      </c>
      <c r="D29" s="17">
        <v>21004</v>
      </c>
      <c r="E29" s="7" t="s">
        <v>12</v>
      </c>
      <c r="F29" s="7" t="s">
        <v>442</v>
      </c>
      <c r="G29" s="7" t="s">
        <v>127</v>
      </c>
      <c r="H29" s="45" t="s">
        <v>72</v>
      </c>
      <c r="I29" s="8">
        <v>374123</v>
      </c>
      <c r="J29" s="7" t="s">
        <v>412</v>
      </c>
      <c r="K29" s="44">
        <v>16</v>
      </c>
      <c r="L29" s="44">
        <v>2</v>
      </c>
      <c r="M29" s="44">
        <v>9</v>
      </c>
      <c r="N29" s="8" t="s">
        <v>126</v>
      </c>
      <c r="O29" s="18">
        <v>44390</v>
      </c>
      <c r="P29" s="8" t="s">
        <v>119</v>
      </c>
      <c r="Q29" s="1">
        <f t="shared" si="0"/>
        <v>1</v>
      </c>
      <c r="R29" s="216" t="s">
        <v>701</v>
      </c>
      <c r="W29" s="1" t="s">
        <v>891</v>
      </c>
    </row>
    <row r="30" spans="1:23" x14ac:dyDescent="0.25">
      <c r="E30" s="7"/>
      <c r="F30" s="7"/>
      <c r="N30" s="18"/>
      <c r="O30" s="18"/>
      <c r="P30" s="8"/>
      <c r="Q30" s="1"/>
    </row>
  </sheetData>
  <autoFilter ref="A7:W29" xr:uid="{00000000-0001-0000-1300-000000000000}">
    <filterColumn colId="17">
      <filters>
        <filter val="Realizado"/>
      </filters>
    </filterColumn>
  </autoFilter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0000000}">
          <x14:formula1>
            <xm:f>Catalogo!$B$5:$B$6</xm:f>
          </x14:formula1>
          <xm:sqref>R8:R29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1"/>
  <sheetViews>
    <sheetView workbookViewId="0">
      <pane xSplit="4" ySplit="7" topLeftCell="F8" activePane="bottomRight" state="frozenSplit"/>
      <selection pane="topRight" activeCell="E1" sqref="E1"/>
      <selection pane="bottomLeft" activeCell="A21" sqref="A21"/>
      <selection pane="bottomRight" activeCell="S14" sqref="S14"/>
    </sheetView>
  </sheetViews>
  <sheetFormatPr baseColWidth="10" defaultColWidth="11.42578125" defaultRowHeight="15" x14ac:dyDescent="0.25"/>
  <cols>
    <col min="1" max="1" width="6.85546875" customWidth="1"/>
    <col min="2" max="2" width="10.140625" customWidth="1"/>
    <col min="3" max="3" width="14.42578125" customWidth="1"/>
    <col min="5" max="5" width="31.28515625" customWidth="1"/>
    <col min="6" max="6" width="28.42578125" customWidth="1"/>
    <col min="7" max="7" width="45.42578125" customWidth="1"/>
    <col min="8" max="8" width="13.85546875" style="2" customWidth="1"/>
    <col min="9" max="9" width="11.7109375" style="1" hidden="1" customWidth="1"/>
    <col min="10" max="10" width="18.5703125" hidden="1" customWidth="1"/>
    <col min="11" max="13" width="11.42578125" style="2"/>
    <col min="19" max="19" width="16.42578125" customWidth="1"/>
    <col min="22" max="22" width="17.28515625" customWidth="1"/>
  </cols>
  <sheetData>
    <row r="1" spans="1:22" s="28" customFormat="1" ht="14.25" customHeight="1" x14ac:dyDescent="0.3">
      <c r="B1" s="29"/>
      <c r="C1" s="29"/>
      <c r="D1" s="29"/>
      <c r="G1" s="34" t="s">
        <v>713</v>
      </c>
      <c r="H1" s="30">
        <v>0</v>
      </c>
      <c r="I1" s="30"/>
      <c r="J1" s="29"/>
      <c r="K1" s="28" t="s">
        <v>717</v>
      </c>
      <c r="L1" s="30">
        <f>COUNT(M8:M11)</f>
        <v>4</v>
      </c>
      <c r="M1" s="30"/>
      <c r="O1" s="31"/>
      <c r="P1" s="32"/>
      <c r="Q1" s="32"/>
      <c r="R1" s="32"/>
      <c r="S1" s="29"/>
      <c r="T1" s="29"/>
    </row>
    <row r="2" spans="1:22" s="28" customFormat="1" x14ac:dyDescent="0.3">
      <c r="B2" s="29"/>
      <c r="C2" s="32"/>
      <c r="D2" s="29"/>
      <c r="E2" s="34" t="s">
        <v>715</v>
      </c>
      <c r="F2" s="29">
        <f>COUNT(D8:D162)</f>
        <v>4</v>
      </c>
      <c r="G2" s="34" t="s">
        <v>716</v>
      </c>
      <c r="H2" s="29">
        <v>0</v>
      </c>
      <c r="I2" s="41"/>
      <c r="J2" s="29"/>
      <c r="K2" s="28" t="s">
        <v>717</v>
      </c>
      <c r="L2" s="30">
        <f>SUM(M8:M11)</f>
        <v>8</v>
      </c>
      <c r="M2" s="30"/>
      <c r="O2" s="35"/>
      <c r="P2" s="29"/>
      <c r="Q2" s="32"/>
      <c r="R2" s="32"/>
      <c r="S2" s="29"/>
      <c r="T2" s="29"/>
    </row>
    <row r="3" spans="1:22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SUM(M8:M162)</f>
        <v>8</v>
      </c>
      <c r="G3" s="34" t="s">
        <v>719</v>
      </c>
      <c r="H3" s="30">
        <f>COUNTIFS($Q$8:$Q$162,1,$R$8:$R$162,"Realizado")</f>
        <v>0</v>
      </c>
      <c r="I3" s="41"/>
      <c r="J3" s="29"/>
      <c r="K3" s="30" t="s">
        <v>720</v>
      </c>
      <c r="L3" s="30">
        <v>0</v>
      </c>
      <c r="M3" s="30"/>
      <c r="O3" s="35"/>
      <c r="P3" s="29"/>
      <c r="Q3" s="29"/>
      <c r="R3" s="29"/>
      <c r="S3" s="29"/>
      <c r="T3" s="29"/>
    </row>
    <row r="4" spans="1:22" s="28" customFormat="1" x14ac:dyDescent="0.3">
      <c r="B4" s="29"/>
      <c r="C4" s="32"/>
      <c r="D4" s="29"/>
      <c r="E4" s="34" t="s">
        <v>721</v>
      </c>
      <c r="F4" s="29">
        <f>COUNTIF($Q$8:$Q$162,1)</f>
        <v>4</v>
      </c>
      <c r="G4" s="34" t="s">
        <v>722</v>
      </c>
      <c r="H4" s="30">
        <f>SUMIF($R$8:$R$162,"Realizado",$S$8:$S$162)</f>
        <v>0</v>
      </c>
      <c r="I4" s="41"/>
      <c r="J4" s="29"/>
      <c r="K4" s="30" t="s">
        <v>723</v>
      </c>
      <c r="L4" s="30">
        <v>0</v>
      </c>
      <c r="M4" s="30"/>
      <c r="O4" s="35"/>
      <c r="P4" s="29"/>
      <c r="Q4" s="29"/>
      <c r="R4" s="29"/>
      <c r="S4" s="29"/>
      <c r="T4" s="29"/>
    </row>
    <row r="5" spans="1:22" s="28" customFormat="1" x14ac:dyDescent="0.3">
      <c r="B5" s="29"/>
      <c r="C5" s="32"/>
      <c r="D5" s="29"/>
      <c r="E5" s="34" t="s">
        <v>724</v>
      </c>
      <c r="F5" s="29">
        <f>SUMIF(Q8:Q162,1,M8:M162)</f>
        <v>8</v>
      </c>
      <c r="G5" s="34" t="s">
        <v>725</v>
      </c>
      <c r="H5" s="30">
        <f>COUNTIFS($Q$8:$Q$162,1,$R$8:$R$162,"Cancelado")</f>
        <v>2</v>
      </c>
      <c r="I5" s="41"/>
      <c r="J5" s="29"/>
      <c r="K5" s="30"/>
      <c r="L5" s="30"/>
      <c r="M5" s="30"/>
      <c r="O5" s="35"/>
      <c r="P5" s="29"/>
      <c r="Q5" s="29"/>
      <c r="R5" s="29"/>
      <c r="S5" s="29"/>
      <c r="T5" s="29"/>
    </row>
    <row r="6" spans="1:22" x14ac:dyDescent="0.25">
      <c r="B6" s="1"/>
      <c r="C6" s="1"/>
      <c r="D6" s="1"/>
      <c r="I6" s="2"/>
      <c r="J6" s="1"/>
      <c r="O6" s="19"/>
      <c r="P6" s="1"/>
      <c r="Q6" s="1"/>
      <c r="R6" s="1"/>
      <c r="S6" s="1"/>
      <c r="T6" s="1"/>
    </row>
    <row r="7" spans="1:22" s="103" customFormat="1" ht="25.5" x14ac:dyDescent="0.25">
      <c r="A7" s="102" t="s">
        <v>20</v>
      </c>
      <c r="B7" s="102" t="s">
        <v>21</v>
      </c>
      <c r="C7" s="102" t="s">
        <v>2</v>
      </c>
      <c r="D7" s="102" t="s">
        <v>22</v>
      </c>
      <c r="E7" s="102" t="s">
        <v>23</v>
      </c>
      <c r="F7" s="102" t="s">
        <v>24</v>
      </c>
      <c r="G7" s="102" t="s">
        <v>25</v>
      </c>
      <c r="H7" s="100" t="s">
        <v>26</v>
      </c>
      <c r="I7" s="102" t="s">
        <v>27</v>
      </c>
      <c r="J7" s="102" t="s">
        <v>28</v>
      </c>
      <c r="K7" s="100" t="s">
        <v>29</v>
      </c>
      <c r="L7" s="102" t="s">
        <v>30</v>
      </c>
      <c r="M7" s="100" t="s">
        <v>31</v>
      </c>
      <c r="N7" s="100" t="s">
        <v>0</v>
      </c>
      <c r="O7" s="100" t="s">
        <v>19</v>
      </c>
      <c r="P7" s="102" t="s">
        <v>17</v>
      </c>
      <c r="Q7" s="102" t="s">
        <v>516</v>
      </c>
      <c r="R7" s="100" t="s">
        <v>727</v>
      </c>
      <c r="S7" s="100" t="s">
        <v>523</v>
      </c>
      <c r="T7" s="100" t="s">
        <v>728</v>
      </c>
      <c r="U7" s="100" t="s">
        <v>28</v>
      </c>
      <c r="V7" s="100" t="s">
        <v>599</v>
      </c>
    </row>
    <row r="8" spans="1:22" x14ac:dyDescent="0.25">
      <c r="A8" s="1">
        <v>1</v>
      </c>
      <c r="C8" s="7" t="s">
        <v>490</v>
      </c>
      <c r="D8" s="17">
        <v>21954</v>
      </c>
      <c r="E8" s="7" t="s">
        <v>7</v>
      </c>
      <c r="F8" s="7" t="s">
        <v>491</v>
      </c>
      <c r="G8" s="7" t="s">
        <v>362</v>
      </c>
      <c r="H8" s="42" t="s">
        <v>35</v>
      </c>
      <c r="I8" s="8">
        <v>336327</v>
      </c>
      <c r="J8" s="7" t="s">
        <v>492</v>
      </c>
      <c r="K8" s="40">
        <v>24</v>
      </c>
      <c r="L8" s="40">
        <v>3</v>
      </c>
      <c r="M8" s="40">
        <v>1</v>
      </c>
      <c r="N8" s="8" t="s">
        <v>126</v>
      </c>
      <c r="O8" s="18">
        <v>44391</v>
      </c>
      <c r="P8" s="8" t="s">
        <v>119</v>
      </c>
      <c r="Q8" s="1">
        <f>IF(O8&lt;=$D$3,1,0)</f>
        <v>1</v>
      </c>
      <c r="R8" t="s">
        <v>701</v>
      </c>
    </row>
    <row r="9" spans="1:22" x14ac:dyDescent="0.25">
      <c r="A9" s="1">
        <v>2</v>
      </c>
      <c r="C9" s="7" t="s">
        <v>490</v>
      </c>
      <c r="D9" s="17">
        <v>21750</v>
      </c>
      <c r="E9" s="7" t="s">
        <v>7</v>
      </c>
      <c r="F9" s="7" t="s">
        <v>7</v>
      </c>
      <c r="G9" s="7" t="s">
        <v>294</v>
      </c>
      <c r="H9" s="42" t="s">
        <v>35</v>
      </c>
      <c r="I9" s="8">
        <v>374049</v>
      </c>
      <c r="J9" s="7" t="s">
        <v>316</v>
      </c>
      <c r="K9" s="40">
        <v>8</v>
      </c>
      <c r="L9" s="40">
        <v>1</v>
      </c>
      <c r="M9" s="40">
        <v>1</v>
      </c>
      <c r="N9" s="8" t="s">
        <v>132</v>
      </c>
      <c r="O9" s="18">
        <v>44399</v>
      </c>
      <c r="P9" s="8" t="s">
        <v>119</v>
      </c>
      <c r="Q9" s="1">
        <f t="shared" ref="Q9:Q11" si="0">IF(O9&lt;=$D$3,1,0)</f>
        <v>1</v>
      </c>
      <c r="R9" t="s">
        <v>701</v>
      </c>
    </row>
    <row r="10" spans="1:22" x14ac:dyDescent="0.25">
      <c r="A10" s="1">
        <v>3</v>
      </c>
      <c r="C10" s="7" t="s">
        <v>490</v>
      </c>
      <c r="D10" s="17">
        <v>27720</v>
      </c>
      <c r="E10" s="7" t="s">
        <v>9</v>
      </c>
      <c r="F10" s="7" t="s">
        <v>9</v>
      </c>
      <c r="G10" s="7" t="s">
        <v>171</v>
      </c>
      <c r="H10" s="42" t="s">
        <v>35</v>
      </c>
      <c r="I10" s="8">
        <v>107392</v>
      </c>
      <c r="J10" s="7" t="s">
        <v>355</v>
      </c>
      <c r="K10" s="40">
        <v>8</v>
      </c>
      <c r="L10" s="40">
        <v>1</v>
      </c>
      <c r="M10" s="40">
        <v>1</v>
      </c>
      <c r="N10" s="8" t="s">
        <v>168</v>
      </c>
      <c r="O10" s="18">
        <v>44438</v>
      </c>
      <c r="P10" s="8" t="s">
        <v>141</v>
      </c>
      <c r="Q10" s="1">
        <f t="shared" si="0"/>
        <v>1</v>
      </c>
    </row>
    <row r="11" spans="1:22" x14ac:dyDescent="0.25">
      <c r="A11" s="1">
        <v>4</v>
      </c>
      <c r="C11" s="7" t="s">
        <v>493</v>
      </c>
      <c r="D11" s="17">
        <v>21982</v>
      </c>
      <c r="E11" s="7" t="s">
        <v>8</v>
      </c>
      <c r="F11" s="7" t="s">
        <v>142</v>
      </c>
      <c r="G11" s="7" t="s">
        <v>40</v>
      </c>
      <c r="H11" s="42" t="s">
        <v>35</v>
      </c>
      <c r="I11" s="8">
        <v>214350</v>
      </c>
      <c r="J11" s="7" t="s">
        <v>324</v>
      </c>
      <c r="K11" s="40">
        <v>24</v>
      </c>
      <c r="L11" s="40">
        <v>3</v>
      </c>
      <c r="M11" s="40">
        <v>5</v>
      </c>
      <c r="N11" s="8" t="s">
        <v>361</v>
      </c>
      <c r="O11" s="18">
        <v>44461</v>
      </c>
      <c r="P11" s="8" t="s">
        <v>173</v>
      </c>
      <c r="Q11" s="1">
        <f t="shared" si="0"/>
        <v>1</v>
      </c>
    </row>
  </sheetData>
  <sortState xmlns:xlrd2="http://schemas.microsoft.com/office/spreadsheetml/2017/richdata2" ref="A8:P11">
    <sortCondition ref="O8:O1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0000000}">
          <x14:formula1>
            <xm:f>Catalogo!$B$5:$B$6</xm:f>
          </x14:formula1>
          <xm:sqref>R8:R11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 tint="0.79998168889431442"/>
  </sheetPr>
  <dimension ref="A1:V11"/>
  <sheetViews>
    <sheetView tabSelected="1" workbookViewId="0">
      <pane xSplit="4" ySplit="7" topLeftCell="E8" activePane="bottomRight" state="frozenSplit"/>
      <selection pane="topRight" activeCell="B1" sqref="B1"/>
      <selection pane="bottomLeft" activeCell="B17" sqref="B17"/>
      <selection pane="bottomRight" activeCell="K23" sqref="K23"/>
    </sheetView>
  </sheetViews>
  <sheetFormatPr baseColWidth="10" defaultColWidth="11.42578125" defaultRowHeight="15" x14ac:dyDescent="0.25"/>
  <cols>
    <col min="1" max="1" width="7.7109375" customWidth="1"/>
    <col min="2" max="2" width="9.7109375" customWidth="1"/>
    <col min="3" max="3" width="21.42578125" customWidth="1"/>
    <col min="5" max="5" width="33.85546875" customWidth="1"/>
    <col min="6" max="6" width="25.7109375" customWidth="1"/>
    <col min="7" max="7" width="48.85546875" customWidth="1"/>
    <col min="8" max="8" width="14.42578125" customWidth="1"/>
    <col min="9" max="9" width="0" hidden="1" customWidth="1"/>
    <col min="10" max="10" width="21.28515625" hidden="1" customWidth="1"/>
    <col min="19" max="19" width="13.28515625" customWidth="1"/>
    <col min="22" max="22" width="15.5703125" customWidth="1"/>
  </cols>
  <sheetData>
    <row r="1" spans="1:22" s="28" customFormat="1" ht="14.25" customHeight="1" x14ac:dyDescent="0.3">
      <c r="B1" s="29"/>
      <c r="C1" s="29"/>
      <c r="D1" s="29"/>
      <c r="G1" s="34" t="s">
        <v>713</v>
      </c>
      <c r="H1" s="30">
        <v>0</v>
      </c>
      <c r="I1" s="30"/>
      <c r="J1" s="29"/>
      <c r="K1" s="28" t="s">
        <v>717</v>
      </c>
      <c r="L1" s="30">
        <v>1</v>
      </c>
      <c r="M1" s="30"/>
      <c r="O1" s="31"/>
      <c r="P1" s="32"/>
      <c r="Q1" s="32"/>
      <c r="R1" s="32"/>
      <c r="S1" s="29"/>
      <c r="T1" s="29"/>
    </row>
    <row r="2" spans="1:22" s="28" customFormat="1" x14ac:dyDescent="0.3">
      <c r="B2" s="29"/>
      <c r="C2" s="32"/>
      <c r="D2" s="29"/>
      <c r="E2" s="34" t="s">
        <v>715</v>
      </c>
      <c r="F2" s="29">
        <f>COUNT(D8:D161)</f>
        <v>4</v>
      </c>
      <c r="G2" s="34" t="s">
        <v>716</v>
      </c>
      <c r="H2" s="29">
        <v>0</v>
      </c>
      <c r="I2" s="41"/>
      <c r="J2" s="29"/>
      <c r="K2" s="28" t="s">
        <v>717</v>
      </c>
      <c r="L2" s="30">
        <f>M11</f>
        <v>4</v>
      </c>
      <c r="M2" s="30"/>
      <c r="O2" s="35"/>
      <c r="P2" s="29"/>
      <c r="Q2" s="32"/>
      <c r="R2" s="32"/>
      <c r="S2" s="29"/>
      <c r="T2" s="29"/>
    </row>
    <row r="3" spans="1:22" s="28" customFormat="1" x14ac:dyDescent="0.3">
      <c r="B3" s="29"/>
      <c r="C3" s="32"/>
      <c r="D3" s="36">
        <f>Seguimiento!T3</f>
        <v>44561</v>
      </c>
      <c r="E3" s="34" t="s">
        <v>718</v>
      </c>
      <c r="F3" s="37">
        <f>SUM(M8:M161)</f>
        <v>21</v>
      </c>
      <c r="G3" s="34" t="s">
        <v>719</v>
      </c>
      <c r="H3" s="30">
        <f>COUNTIFS($Q$8:$Q$161,1,$R$8:$R$161,"Realizado")</f>
        <v>0</v>
      </c>
      <c r="I3" s="41"/>
      <c r="J3" s="29"/>
      <c r="K3" s="143" t="s">
        <v>720</v>
      </c>
      <c r="L3" s="30">
        <f>SUM(M8:M10)</f>
        <v>17</v>
      </c>
      <c r="M3" s="30"/>
      <c r="O3" s="35"/>
      <c r="P3" s="29"/>
      <c r="Q3" s="29"/>
      <c r="R3" s="29"/>
      <c r="S3" s="29"/>
      <c r="T3" s="29"/>
    </row>
    <row r="4" spans="1:22" s="28" customFormat="1" x14ac:dyDescent="0.3">
      <c r="B4" s="29"/>
      <c r="C4" s="32"/>
      <c r="D4" s="29"/>
      <c r="E4" s="34" t="s">
        <v>721</v>
      </c>
      <c r="F4" s="29">
        <f>COUNTIF($Q$8:$Q$161,1)</f>
        <v>4</v>
      </c>
      <c r="G4" s="34" t="s">
        <v>722</v>
      </c>
      <c r="H4" s="30">
        <f>SUMIF($R$8:$R$161,"Realizado",$S$8:$S$161)</f>
        <v>0</v>
      </c>
      <c r="I4" s="41"/>
      <c r="J4" s="29"/>
      <c r="K4" s="143" t="s">
        <v>723</v>
      </c>
      <c r="L4" s="30">
        <v>3</v>
      </c>
      <c r="M4" s="30"/>
      <c r="O4" s="35"/>
      <c r="P4" s="29"/>
      <c r="Q4" s="29"/>
      <c r="R4" s="29"/>
      <c r="S4" s="29"/>
      <c r="T4" s="29"/>
    </row>
    <row r="5" spans="1:22" s="28" customFormat="1" x14ac:dyDescent="0.3">
      <c r="B5" s="29"/>
      <c r="C5" s="32"/>
      <c r="D5" s="29"/>
      <c r="E5" s="34" t="s">
        <v>724</v>
      </c>
      <c r="F5" s="29">
        <f>SUMIF(Q8:Q161,1,M8:M161)</f>
        <v>21</v>
      </c>
      <c r="G5" s="34" t="s">
        <v>725</v>
      </c>
      <c r="H5" s="30">
        <f>COUNTIFS($Q$8:$Q$161,1,$R$8:$R$161,"Cancelado")</f>
        <v>4</v>
      </c>
      <c r="I5" s="41"/>
      <c r="J5" s="29"/>
      <c r="K5" s="30"/>
      <c r="L5" s="30"/>
      <c r="M5" s="30"/>
      <c r="O5" s="35"/>
      <c r="P5" s="29"/>
      <c r="Q5" s="29"/>
      <c r="R5" s="29"/>
      <c r="S5" s="29"/>
      <c r="T5" s="29"/>
    </row>
    <row r="6" spans="1:22" x14ac:dyDescent="0.25">
      <c r="B6" s="1"/>
      <c r="C6" s="1"/>
      <c r="D6" s="1"/>
      <c r="H6" s="2"/>
      <c r="I6" s="2"/>
      <c r="J6" s="1"/>
      <c r="K6" s="2"/>
      <c r="L6" s="2"/>
      <c r="M6" s="2"/>
      <c r="O6" s="19"/>
      <c r="P6" s="1"/>
      <c r="Q6" s="1"/>
      <c r="R6" s="1"/>
      <c r="S6" s="1"/>
      <c r="T6" s="1"/>
    </row>
    <row r="7" spans="1:22" s="103" customFormat="1" ht="25.5" x14ac:dyDescent="0.25">
      <c r="A7" s="102" t="s">
        <v>20</v>
      </c>
      <c r="B7" s="102" t="s">
        <v>21</v>
      </c>
      <c r="C7" s="102" t="s">
        <v>2</v>
      </c>
      <c r="D7" s="102" t="s">
        <v>22</v>
      </c>
      <c r="E7" s="102" t="s">
        <v>23</v>
      </c>
      <c r="F7" s="102" t="s">
        <v>24</v>
      </c>
      <c r="G7" s="102" t="s">
        <v>25</v>
      </c>
      <c r="H7" s="100" t="s">
        <v>26</v>
      </c>
      <c r="I7" s="102" t="s">
        <v>27</v>
      </c>
      <c r="J7" s="102" t="s">
        <v>28</v>
      </c>
      <c r="K7" s="100" t="s">
        <v>29</v>
      </c>
      <c r="L7" s="102" t="s">
        <v>30</v>
      </c>
      <c r="M7" s="100" t="s">
        <v>31</v>
      </c>
      <c r="N7" s="100" t="s">
        <v>0</v>
      </c>
      <c r="O7" s="100" t="s">
        <v>19</v>
      </c>
      <c r="P7" s="102" t="s">
        <v>17</v>
      </c>
      <c r="Q7" s="102" t="s">
        <v>516</v>
      </c>
      <c r="R7" s="100" t="s">
        <v>727</v>
      </c>
      <c r="S7" s="100" t="s">
        <v>523</v>
      </c>
      <c r="T7" s="100" t="s">
        <v>728</v>
      </c>
      <c r="U7" s="100" t="s">
        <v>28</v>
      </c>
      <c r="V7" s="100" t="s">
        <v>599</v>
      </c>
    </row>
    <row r="8" spans="1:22" x14ac:dyDescent="0.25">
      <c r="A8" s="1">
        <v>1</v>
      </c>
      <c r="C8" s="7" t="s">
        <v>481</v>
      </c>
      <c r="D8" s="17">
        <v>21743</v>
      </c>
      <c r="E8" s="7" t="s">
        <v>12</v>
      </c>
      <c r="F8" s="7" t="s">
        <v>494</v>
      </c>
      <c r="G8" s="7" t="s">
        <v>71</v>
      </c>
      <c r="H8" s="45" t="s">
        <v>72</v>
      </c>
      <c r="I8" s="8">
        <v>315738</v>
      </c>
      <c r="J8" s="7" t="s">
        <v>415</v>
      </c>
      <c r="K8" s="44">
        <v>16</v>
      </c>
      <c r="L8" s="44">
        <v>2</v>
      </c>
      <c r="M8" s="44">
        <v>10</v>
      </c>
      <c r="N8" s="8" t="s">
        <v>99</v>
      </c>
      <c r="O8" s="18">
        <v>44351</v>
      </c>
      <c r="P8" s="8" t="s">
        <v>100</v>
      </c>
      <c r="Q8" s="1">
        <v>1</v>
      </c>
      <c r="R8" s="16" t="s">
        <v>701</v>
      </c>
    </row>
    <row r="9" spans="1:22" x14ac:dyDescent="0.25">
      <c r="A9" s="1">
        <v>2</v>
      </c>
      <c r="C9" s="7" t="s">
        <v>319</v>
      </c>
      <c r="D9" s="17">
        <v>21063</v>
      </c>
      <c r="E9" s="7" t="s">
        <v>12</v>
      </c>
      <c r="F9" s="7" t="s">
        <v>494</v>
      </c>
      <c r="G9" s="7" t="s">
        <v>235</v>
      </c>
      <c r="H9" s="8" t="s">
        <v>35</v>
      </c>
      <c r="I9" s="8">
        <v>598519</v>
      </c>
      <c r="J9" s="7" t="s">
        <v>495</v>
      </c>
      <c r="K9" s="38">
        <v>8</v>
      </c>
      <c r="L9" s="38">
        <v>1</v>
      </c>
      <c r="M9" s="38">
        <v>4</v>
      </c>
      <c r="N9" s="8" t="s">
        <v>192</v>
      </c>
      <c r="O9" s="18">
        <v>44462</v>
      </c>
      <c r="P9" s="8" t="s">
        <v>173</v>
      </c>
      <c r="Q9" s="1">
        <v>1</v>
      </c>
      <c r="R9" s="16" t="s">
        <v>701</v>
      </c>
    </row>
    <row r="10" spans="1:22" x14ac:dyDescent="0.25">
      <c r="A10" s="1">
        <v>3</v>
      </c>
      <c r="C10" s="7" t="s">
        <v>319</v>
      </c>
      <c r="D10" s="17">
        <v>21064</v>
      </c>
      <c r="E10" s="7" t="s">
        <v>12</v>
      </c>
      <c r="F10" s="7" t="s">
        <v>494</v>
      </c>
      <c r="G10" s="7" t="s">
        <v>235</v>
      </c>
      <c r="H10" s="8" t="s">
        <v>35</v>
      </c>
      <c r="I10" s="8">
        <v>598519</v>
      </c>
      <c r="J10" s="7" t="s">
        <v>495</v>
      </c>
      <c r="K10" s="38">
        <v>8</v>
      </c>
      <c r="L10" s="38">
        <v>1</v>
      </c>
      <c r="M10" s="38">
        <v>3</v>
      </c>
      <c r="N10" s="8" t="s">
        <v>205</v>
      </c>
      <c r="O10" s="18">
        <v>44476</v>
      </c>
      <c r="P10" s="8" t="s">
        <v>202</v>
      </c>
      <c r="Q10" s="1">
        <v>1</v>
      </c>
      <c r="R10" s="16" t="s">
        <v>701</v>
      </c>
    </row>
    <row r="11" spans="1:22" x14ac:dyDescent="0.25">
      <c r="A11" s="1">
        <v>4</v>
      </c>
      <c r="C11" s="7" t="s">
        <v>481</v>
      </c>
      <c r="D11" s="17">
        <v>21938</v>
      </c>
      <c r="E11" s="7" t="s">
        <v>12</v>
      </c>
      <c r="F11" s="7" t="s">
        <v>496</v>
      </c>
      <c r="G11" s="7" t="s">
        <v>223</v>
      </c>
      <c r="H11" s="45" t="s">
        <v>35</v>
      </c>
      <c r="I11" s="8">
        <v>361756</v>
      </c>
      <c r="J11" s="7" t="s">
        <v>360</v>
      </c>
      <c r="K11" s="44">
        <v>16</v>
      </c>
      <c r="L11" s="44">
        <v>4</v>
      </c>
      <c r="M11" s="44">
        <v>4</v>
      </c>
      <c r="N11" s="8" t="s">
        <v>330</v>
      </c>
      <c r="O11" s="18">
        <v>44484</v>
      </c>
      <c r="P11" s="8" t="s">
        <v>202</v>
      </c>
      <c r="Q11" s="1">
        <v>1</v>
      </c>
      <c r="R11" s="16" t="s">
        <v>701</v>
      </c>
      <c r="V11" t="s">
        <v>890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0000000}">
          <x14:formula1>
            <xm:f>Catalogo!$B$5:$B$6</xm:f>
          </x14:formula1>
          <xm:sqref>R8:R11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</vt:i4>
      </vt:variant>
    </vt:vector>
  </HeadingPairs>
  <TitlesOfParts>
    <vt:vector size="25" baseType="lpstr">
      <vt:lpstr>Hoja1</vt:lpstr>
      <vt:lpstr>PICADE</vt:lpstr>
      <vt:lpstr>Seguimiento</vt:lpstr>
      <vt:lpstr>Cursos</vt:lpstr>
      <vt:lpstr>Mensual</vt:lpstr>
      <vt:lpstr>Adicionales</vt:lpstr>
      <vt:lpstr>Ajustado</vt:lpstr>
      <vt:lpstr>Catalogo</vt:lpstr>
      <vt:lpstr>Dos Bocas</vt:lpstr>
      <vt:lpstr>Cd. Carmen</vt:lpstr>
      <vt:lpstr>Perforación</vt:lpstr>
      <vt:lpstr>Reynosa</vt:lpstr>
      <vt:lpstr>Altamira</vt:lpstr>
      <vt:lpstr>Poza Rica</vt:lpstr>
      <vt:lpstr>Veracruz</vt:lpstr>
      <vt:lpstr>Naranjos-Cerro A</vt:lpstr>
      <vt:lpstr>Samaria Luna</vt:lpstr>
      <vt:lpstr>Cinco Presidentes</vt:lpstr>
      <vt:lpstr>Bellota Jujo</vt:lpstr>
      <vt:lpstr>Macuspana</vt:lpstr>
      <vt:lpstr>Villahermosa</vt:lpstr>
      <vt:lpstr>Cd. Méx</vt:lpstr>
      <vt:lpstr>Sede</vt:lpstr>
      <vt:lpstr>Altamira!Área_de_impresión</vt:lpstr>
      <vt:lpstr>Altamira!Títulos_a_imprimir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Huerta Reza Dayana</dc:creator>
  <cp:keywords/>
  <dc:description/>
  <cp:lastModifiedBy>Torres Hernandez Norma Alicia</cp:lastModifiedBy>
  <cp:revision/>
  <dcterms:created xsi:type="dcterms:W3CDTF">2021-04-21T18:23:36Z</dcterms:created>
  <dcterms:modified xsi:type="dcterms:W3CDTF">2025-03-20T19:33:21Z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2025-03-20T19:33:21Z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11a220b1-26a0-4f4f-b8e0-41a84ae0544b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